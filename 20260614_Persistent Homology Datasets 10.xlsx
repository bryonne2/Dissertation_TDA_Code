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joseph/Desktop/Dissertation_TDA_Code/"/>
    </mc:Choice>
  </mc:AlternateContent>
  <xr:revisionPtr revIDLastSave="0" documentId="8_{F5C98A13-628C-7842-84C0-D4B0FC4B6B38}" xr6:coauthVersionLast="47" xr6:coauthVersionMax="47" xr10:uidLastSave="{00000000-0000-0000-0000-000000000000}"/>
  <bookViews>
    <workbookView xWindow="1700" yWindow="760" windowWidth="31600" windowHeight="21240" firstSheet="2" activeTab="5" xr2:uid="{2AE9490E-1687-1F4B-AA89-712307712D68}"/>
  </bookViews>
  <sheets>
    <sheet name="Persistent Homology Overview" sheetId="1" r:id="rId1"/>
    <sheet name="Mapper Sensitivity Matrix" sheetId="9" r:id="rId2"/>
    <sheet name="output 5.40.5 Datasets (2)" sheetId="6" r:id="rId3"/>
    <sheet name="output 5.50.5 Datasets" sheetId="2" r:id="rId4"/>
    <sheet name="output 5.60.5 Datasets (2)" sheetId="5" r:id="rId5"/>
    <sheet name="Final Test-DryBean Prec Rec F1" sheetId="31" r:id="rId6"/>
    <sheet name="Final Test-Adult Prec Rec F1" sheetId="29" r:id="rId7"/>
    <sheet name="Final Test-HTRU2 Prec Rec F1 " sheetId="28" r:id="rId8"/>
    <sheet name="Final 3-Fold 3-HTRU2 Compare " sheetId="7" r:id="rId9"/>
    <sheet name="Final 3-Fold 3-HTRU2 P-HDI" sheetId="13" r:id="rId10"/>
    <sheet name="Final Test 3-HTRU2 Compare" sheetId="21" r:id="rId11"/>
    <sheet name="Final Test-HTRU2 P-HDI" sheetId="30" r:id="rId12"/>
    <sheet name="Final 3-Fold 3-DryBean Compare " sheetId="15" r:id="rId13"/>
    <sheet name="Final 3-Fold 3-DryBean P-HDI" sheetId="18" r:id="rId14"/>
    <sheet name="Final Test 3-DryBean Compare" sheetId="22" r:id="rId15"/>
    <sheet name="Final Test-DryBean P-HDI" sheetId="27" r:id="rId16"/>
    <sheet name="Final 3-Fold 3-Adult Compare " sheetId="16" r:id="rId17"/>
    <sheet name="Final 3-Fold 3-Adult P-HDI" sheetId="19" r:id="rId18"/>
    <sheet name="Final Test 3-Adult Compare" sheetId="23" r:id="rId19"/>
    <sheet name="Final Test-Adult P-HDI " sheetId="24" r:id="rId20"/>
    <sheet name="Final 3-Fold 3-dataset Compare" sheetId="20" r:id="rId21"/>
    <sheet name="Final 3-Fold 3-datasets P-HDI" sheetId="17" r:id="rId22"/>
    <sheet name="Final Test 3-dataset Compare" sheetId="14" r:id="rId23"/>
    <sheet name="Final Test 3-dataset P-HDII" sheetId="8" r:id="rId24"/>
    <sheet name="Adult Dataset Optimal Parameter" sheetId="10" r:id="rId25"/>
    <sheet name="Dry Bean Optimal Parameters" sheetId="11" r:id="rId26"/>
    <sheet name="HTRU2 Optimal Parameters" sheetId="1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30" l="1"/>
  <c r="I62" i="30"/>
  <c r="C62" i="30"/>
  <c r="I61" i="30"/>
  <c r="C61" i="30"/>
  <c r="O60" i="30"/>
  <c r="I60" i="30"/>
  <c r="C60" i="30"/>
  <c r="O56" i="30"/>
  <c r="I56" i="30"/>
  <c r="C56" i="30"/>
  <c r="O54" i="30"/>
  <c r="I54" i="30"/>
  <c r="C54" i="30"/>
  <c r="O53" i="30"/>
  <c r="I53" i="30"/>
  <c r="C53" i="30"/>
  <c r="O51" i="30"/>
  <c r="I51" i="30"/>
  <c r="C51" i="30"/>
  <c r="C50" i="30"/>
  <c r="O45" i="30"/>
  <c r="I45" i="30"/>
  <c r="I44" i="30"/>
  <c r="C44" i="30"/>
  <c r="I43" i="30"/>
  <c r="C43" i="30"/>
  <c r="I42" i="30"/>
  <c r="O41" i="30"/>
  <c r="I41" i="30"/>
  <c r="C41" i="30"/>
  <c r="I39" i="30"/>
  <c r="C39" i="30"/>
  <c r="I38" i="30"/>
  <c r="C38" i="30"/>
  <c r="C37" i="30"/>
  <c r="C36" i="30"/>
  <c r="O33" i="30"/>
  <c r="I33" i="30"/>
  <c r="O32" i="30"/>
  <c r="I32" i="30"/>
  <c r="C32" i="30"/>
  <c r="I31" i="30"/>
  <c r="C31" i="30"/>
  <c r="O30" i="30"/>
  <c r="I30" i="30"/>
  <c r="C30" i="30"/>
  <c r="O29" i="30"/>
  <c r="I29" i="30"/>
  <c r="C29" i="30"/>
  <c r="O27" i="30"/>
  <c r="I27" i="30"/>
  <c r="C27" i="30"/>
  <c r="O26" i="30"/>
  <c r="I26" i="30"/>
  <c r="C26" i="30"/>
  <c r="O25" i="30"/>
  <c r="I25" i="30"/>
  <c r="C25" i="30"/>
  <c r="O24" i="30"/>
  <c r="I24" i="30"/>
  <c r="C24" i="30"/>
  <c r="O23" i="30"/>
  <c r="I23" i="30"/>
  <c r="C23" i="30"/>
  <c r="O21" i="30"/>
  <c r="I21" i="30"/>
  <c r="O20" i="30"/>
  <c r="I20" i="30"/>
  <c r="C20" i="30"/>
  <c r="O19" i="30"/>
  <c r="I19" i="30"/>
  <c r="C19" i="30"/>
  <c r="O18" i="30"/>
  <c r="I18" i="30"/>
  <c r="C18" i="30"/>
  <c r="O17" i="30"/>
  <c r="I17" i="30"/>
  <c r="C17" i="30"/>
  <c r="O15" i="30"/>
  <c r="I15" i="30"/>
  <c r="C15" i="30"/>
  <c r="O14" i="30"/>
  <c r="I14" i="30"/>
  <c r="C14" i="30"/>
  <c r="O13" i="30"/>
  <c r="O12" i="30"/>
  <c r="I12" i="30"/>
  <c r="C12" i="30"/>
  <c r="O11" i="30"/>
  <c r="O9" i="30"/>
  <c r="I9" i="30"/>
  <c r="O8" i="30"/>
  <c r="I8" i="30"/>
  <c r="C8" i="30"/>
  <c r="O7" i="30"/>
  <c r="I7" i="30"/>
  <c r="C7" i="30"/>
  <c r="O6" i="30"/>
  <c r="I6" i="30"/>
  <c r="C6" i="30"/>
  <c r="O5" i="30"/>
  <c r="I5" i="30"/>
  <c r="C5" i="30"/>
  <c r="O46" i="8"/>
  <c r="O10" i="8"/>
  <c r="C34" i="8"/>
  <c r="C22" i="8"/>
  <c r="C46" i="8"/>
  <c r="O64" i="8"/>
  <c r="O63" i="8"/>
  <c r="O62" i="8"/>
  <c r="O58" i="8"/>
  <c r="O56" i="8"/>
  <c r="I64" i="8"/>
  <c r="I63" i="8"/>
  <c r="I62" i="8"/>
  <c r="I61" i="8"/>
  <c r="I60" i="8"/>
  <c r="I58" i="8"/>
  <c r="I57" i="8"/>
  <c r="I56" i="8"/>
  <c r="I55" i="8"/>
  <c r="C64" i="8"/>
  <c r="C63" i="8"/>
  <c r="C62" i="8"/>
  <c r="C58" i="8"/>
  <c r="C57" i="8"/>
  <c r="C56" i="8"/>
  <c r="O62" i="17"/>
  <c r="O56" i="17"/>
  <c r="I62" i="17"/>
  <c r="C62" i="13"/>
  <c r="C61" i="13"/>
  <c r="C60" i="13"/>
  <c r="C59" i="13"/>
  <c r="C56" i="13"/>
  <c r="C55" i="13"/>
  <c r="I45" i="13"/>
  <c r="I33" i="13"/>
  <c r="O62" i="13"/>
  <c r="O61" i="13"/>
  <c r="O60" i="13"/>
  <c r="O59" i="13"/>
  <c r="O56" i="13"/>
  <c r="O55" i="13"/>
  <c r="O47" i="13"/>
  <c r="O44" i="13"/>
  <c r="O43" i="13"/>
  <c r="O42" i="13"/>
  <c r="O41" i="13"/>
  <c r="O35" i="13"/>
  <c r="O32" i="13"/>
  <c r="O31" i="13"/>
  <c r="O21" i="13"/>
  <c r="O20" i="13"/>
  <c r="O19" i="13"/>
  <c r="O18" i="13"/>
  <c r="O17" i="13"/>
  <c r="O11" i="13"/>
  <c r="O8" i="13"/>
  <c r="O7" i="13"/>
  <c r="O6" i="13"/>
  <c r="O5" i="13"/>
  <c r="I62" i="13"/>
  <c r="I61" i="13"/>
  <c r="I55" i="13"/>
  <c r="I59" i="13"/>
  <c r="I56" i="13"/>
  <c r="I47" i="13"/>
  <c r="I44" i="13"/>
  <c r="I43" i="13"/>
  <c r="I42" i="13"/>
  <c r="I41" i="13"/>
  <c r="I35" i="13"/>
  <c r="I32" i="13"/>
  <c r="I31" i="13"/>
  <c r="I20" i="13"/>
  <c r="I19" i="13"/>
  <c r="I18" i="13"/>
  <c r="I17" i="13"/>
  <c r="I11" i="13"/>
  <c r="I8" i="13"/>
  <c r="I7" i="13"/>
  <c r="I6" i="13"/>
  <c r="I5" i="13"/>
  <c r="EA66" i="6"/>
  <c r="O62" i="27"/>
  <c r="O60" i="27"/>
  <c r="O56" i="27"/>
  <c r="O54" i="27"/>
  <c r="O53" i="27"/>
  <c r="O51" i="27"/>
  <c r="O50" i="27"/>
  <c r="O49" i="27"/>
  <c r="O48" i="27"/>
  <c r="O47" i="27"/>
  <c r="O44" i="27"/>
  <c r="O43" i="27"/>
  <c r="O42" i="27"/>
  <c r="O41" i="27"/>
  <c r="O35" i="27"/>
  <c r="O32" i="27"/>
  <c r="O31" i="27"/>
  <c r="O27" i="27"/>
  <c r="O26" i="27"/>
  <c r="O25" i="27"/>
  <c r="O24" i="27"/>
  <c r="O23" i="27"/>
  <c r="O20" i="27"/>
  <c r="O19" i="27"/>
  <c r="O18" i="27"/>
  <c r="O17" i="27"/>
  <c r="O15" i="27"/>
  <c r="O14" i="27"/>
  <c r="O13" i="27"/>
  <c r="O12" i="27"/>
  <c r="O11" i="27"/>
  <c r="O8" i="27"/>
  <c r="O7" i="27"/>
  <c r="O6" i="27"/>
  <c r="O5" i="27"/>
  <c r="I62" i="27"/>
  <c r="I56" i="27"/>
  <c r="I53" i="27"/>
  <c r="I51" i="27"/>
  <c r="I50" i="27"/>
  <c r="I49" i="27"/>
  <c r="I48" i="27"/>
  <c r="I47" i="27"/>
  <c r="I45" i="27"/>
  <c r="I44" i="27"/>
  <c r="I43" i="27"/>
  <c r="I41" i="27"/>
  <c r="I39" i="27"/>
  <c r="I38" i="27"/>
  <c r="I37" i="27"/>
  <c r="I36" i="27"/>
  <c r="I35" i="27"/>
  <c r="I33" i="27"/>
  <c r="I32" i="27"/>
  <c r="I31" i="27"/>
  <c r="I30" i="27"/>
  <c r="I29" i="27"/>
  <c r="I27" i="27"/>
  <c r="I26" i="27"/>
  <c r="I25" i="27"/>
  <c r="I24" i="27"/>
  <c r="I23" i="27"/>
  <c r="I21" i="27"/>
  <c r="I20" i="27"/>
  <c r="I19" i="27"/>
  <c r="I18" i="27"/>
  <c r="I17" i="27"/>
  <c r="I15" i="27"/>
  <c r="I14" i="27"/>
  <c r="I13" i="27"/>
  <c r="I12" i="27"/>
  <c r="I11" i="27"/>
  <c r="I9" i="27"/>
  <c r="I8" i="27"/>
  <c r="I7" i="27"/>
  <c r="I6" i="27"/>
  <c r="I5" i="27"/>
  <c r="C62" i="27"/>
  <c r="C60" i="27"/>
  <c r="C59" i="27"/>
  <c r="C56" i="27"/>
  <c r="C54" i="27"/>
  <c r="C53" i="27"/>
  <c r="C51" i="27"/>
  <c r="C50" i="27"/>
  <c r="C49" i="27"/>
  <c r="C48" i="27"/>
  <c r="C47" i="27"/>
  <c r="C44" i="27"/>
  <c r="C43" i="27"/>
  <c r="C42" i="27"/>
  <c r="C41" i="27"/>
  <c r="C35" i="27"/>
  <c r="C32" i="27"/>
  <c r="C31" i="27"/>
  <c r="C27" i="27"/>
  <c r="C26" i="27"/>
  <c r="C25" i="27"/>
  <c r="C24" i="27"/>
  <c r="C23" i="27"/>
  <c r="C20" i="27"/>
  <c r="C19" i="27"/>
  <c r="C18" i="27"/>
  <c r="C17" i="27"/>
  <c r="C15" i="27"/>
  <c r="C14" i="27"/>
  <c r="C13" i="27"/>
  <c r="C12" i="27"/>
  <c r="C11" i="27"/>
  <c r="C8" i="27"/>
  <c r="C7" i="27"/>
  <c r="C6" i="27"/>
  <c r="C5" i="27"/>
  <c r="I15" i="18"/>
  <c r="CK65" i="5"/>
  <c r="O63" i="24"/>
  <c r="O62" i="24"/>
  <c r="O57" i="24"/>
  <c r="O56" i="24"/>
  <c r="O53" i="24"/>
  <c r="O51" i="24"/>
  <c r="O50" i="24"/>
  <c r="O45" i="24"/>
  <c r="O44" i="24"/>
  <c r="O43" i="24"/>
  <c r="O42" i="24"/>
  <c r="O41" i="24"/>
  <c r="O33" i="24"/>
  <c r="O32" i="24"/>
  <c r="O31" i="24"/>
  <c r="O30" i="24"/>
  <c r="O29" i="24"/>
  <c r="O21" i="24"/>
  <c r="O20" i="24"/>
  <c r="O19" i="24"/>
  <c r="O18" i="24"/>
  <c r="O17" i="24"/>
  <c r="O9" i="24"/>
  <c r="O8" i="24"/>
  <c r="O7" i="24"/>
  <c r="O6" i="24"/>
  <c r="O5" i="24"/>
  <c r="I63" i="24"/>
  <c r="I62" i="24"/>
  <c r="I61" i="24"/>
  <c r="I60" i="24"/>
  <c r="I57" i="24"/>
  <c r="I56" i="24"/>
  <c r="I55" i="24"/>
  <c r="I54" i="24"/>
  <c r="I53" i="24"/>
  <c r="I51" i="24"/>
  <c r="I50" i="24"/>
  <c r="I45" i="24"/>
  <c r="I44" i="24"/>
  <c r="I43" i="24"/>
  <c r="I42" i="24"/>
  <c r="I41" i="24"/>
  <c r="I39" i="24"/>
  <c r="I38" i="24"/>
  <c r="I36" i="24"/>
  <c r="I35" i="24"/>
  <c r="I33" i="24"/>
  <c r="I32" i="24"/>
  <c r="I31" i="24"/>
  <c r="I30" i="24"/>
  <c r="I29" i="24"/>
  <c r="I21" i="24"/>
  <c r="I20" i="24"/>
  <c r="I19" i="24"/>
  <c r="I18" i="24"/>
  <c r="I17" i="24"/>
  <c r="I15" i="24"/>
  <c r="I9" i="24"/>
  <c r="I8" i="24"/>
  <c r="I7" i="24"/>
  <c r="I6" i="24"/>
  <c r="I5" i="24"/>
  <c r="C63" i="24"/>
  <c r="C62" i="24"/>
  <c r="C61" i="24"/>
  <c r="C60" i="24"/>
  <c r="C57" i="24"/>
  <c r="C56" i="24"/>
  <c r="C55" i="24"/>
  <c r="C54" i="24"/>
  <c r="C53" i="24"/>
  <c r="C51" i="24"/>
  <c r="C50" i="24"/>
  <c r="C45" i="24"/>
  <c r="C44" i="24"/>
  <c r="C43" i="24"/>
  <c r="C42" i="24"/>
  <c r="C41" i="24"/>
  <c r="C39" i="24"/>
  <c r="C38" i="24"/>
  <c r="C31" i="24"/>
  <c r="C30" i="24"/>
  <c r="C29" i="24"/>
  <c r="C25" i="24"/>
  <c r="C24" i="24"/>
  <c r="C23" i="24"/>
  <c r="C20" i="24"/>
  <c r="C19" i="24"/>
  <c r="C18" i="24"/>
  <c r="C17" i="24"/>
  <c r="C9" i="24"/>
  <c r="C8" i="24"/>
  <c r="C7" i="24"/>
  <c r="C6" i="24"/>
  <c r="C5" i="24"/>
  <c r="O61" i="19"/>
  <c r="O55" i="19"/>
  <c r="I60" i="19"/>
  <c r="I59" i="19"/>
  <c r="I54" i="19"/>
  <c r="O37" i="19"/>
  <c r="C27" i="19"/>
  <c r="C7" i="13"/>
  <c r="C11" i="13"/>
  <c r="C19" i="13"/>
  <c r="C31" i="13"/>
  <c r="C35" i="13"/>
  <c r="C47" i="13"/>
  <c r="C54" i="13"/>
  <c r="O60" i="19"/>
  <c r="C60" i="19"/>
  <c r="O59" i="19"/>
  <c r="C59" i="19"/>
  <c r="O54" i="19"/>
  <c r="C54" i="19"/>
  <c r="I51" i="19"/>
  <c r="C51" i="19"/>
  <c r="O50" i="19"/>
  <c r="I50" i="19"/>
  <c r="O49" i="19"/>
  <c r="I49" i="19"/>
  <c r="C49" i="19"/>
  <c r="O48" i="19"/>
  <c r="I48" i="19"/>
  <c r="C48" i="19"/>
  <c r="I47" i="19"/>
  <c r="C47" i="19"/>
  <c r="O43" i="19"/>
  <c r="I43" i="19"/>
  <c r="C43" i="19"/>
  <c r="O42" i="19"/>
  <c r="I42" i="19"/>
  <c r="C42" i="19"/>
  <c r="O41" i="19"/>
  <c r="I41" i="19"/>
  <c r="I37" i="19"/>
  <c r="C37" i="19"/>
  <c r="O36" i="19"/>
  <c r="I36" i="19"/>
  <c r="C36" i="19"/>
  <c r="O35" i="19"/>
  <c r="I35" i="19"/>
  <c r="O31" i="19"/>
  <c r="I31" i="19"/>
  <c r="O30" i="19"/>
  <c r="I30" i="19"/>
  <c r="C30" i="19"/>
  <c r="O27" i="19"/>
  <c r="I27" i="19"/>
  <c r="C26" i="19"/>
  <c r="O25" i="19"/>
  <c r="I25" i="19"/>
  <c r="C25" i="19"/>
  <c r="O24" i="19"/>
  <c r="I24" i="19"/>
  <c r="C24" i="19"/>
  <c r="O23" i="19"/>
  <c r="C23" i="19"/>
  <c r="O19" i="19"/>
  <c r="I19" i="19"/>
  <c r="O18" i="19"/>
  <c r="I18" i="19"/>
  <c r="C18" i="19"/>
  <c r="O17" i="19"/>
  <c r="I17" i="19"/>
  <c r="C17" i="19"/>
  <c r="O13" i="19"/>
  <c r="I13" i="19"/>
  <c r="C13" i="19"/>
  <c r="O12" i="19"/>
  <c r="I12" i="19"/>
  <c r="C12" i="19"/>
  <c r="O7" i="19"/>
  <c r="I7" i="19"/>
  <c r="O6" i="19"/>
  <c r="I6" i="19"/>
  <c r="C6" i="19"/>
  <c r="I62" i="18"/>
  <c r="O60" i="18"/>
  <c r="C60" i="18"/>
  <c r="I56" i="18"/>
  <c r="O54" i="18"/>
  <c r="C54" i="18"/>
  <c r="O53" i="18"/>
  <c r="I53" i="18"/>
  <c r="C53" i="18"/>
  <c r="O51" i="18"/>
  <c r="I51" i="18"/>
  <c r="C51" i="18"/>
  <c r="O50" i="18"/>
  <c r="I50" i="18"/>
  <c r="C50" i="18"/>
  <c r="O49" i="18"/>
  <c r="I49" i="18"/>
  <c r="O48" i="18"/>
  <c r="I48" i="18"/>
  <c r="O47" i="18"/>
  <c r="I47" i="18"/>
  <c r="O44" i="18"/>
  <c r="I44" i="18"/>
  <c r="O43" i="18"/>
  <c r="I43" i="18"/>
  <c r="C43" i="18"/>
  <c r="O42" i="18"/>
  <c r="I42" i="18"/>
  <c r="C42" i="18"/>
  <c r="O41" i="18"/>
  <c r="I41" i="18"/>
  <c r="C41" i="18"/>
  <c r="O39" i="18"/>
  <c r="C39" i="18"/>
  <c r="O37" i="18"/>
  <c r="C37" i="18"/>
  <c r="O36" i="18"/>
  <c r="I36" i="18"/>
  <c r="C36" i="18"/>
  <c r="O35" i="18"/>
  <c r="I35" i="18"/>
  <c r="O30" i="18"/>
  <c r="I30" i="18"/>
  <c r="C30" i="18"/>
  <c r="O27" i="18"/>
  <c r="I27" i="18"/>
  <c r="C27" i="18"/>
  <c r="O26" i="18"/>
  <c r="I26" i="18"/>
  <c r="C26" i="18"/>
  <c r="O25" i="18"/>
  <c r="I25" i="18"/>
  <c r="C25" i="18"/>
  <c r="O19" i="18"/>
  <c r="C19" i="18"/>
  <c r="O18" i="18"/>
  <c r="I18" i="18"/>
  <c r="C18" i="18"/>
  <c r="O17" i="18"/>
  <c r="I17" i="18"/>
  <c r="C17" i="18"/>
  <c r="O14" i="18"/>
  <c r="I14" i="18"/>
  <c r="C14" i="18"/>
  <c r="I13" i="18"/>
  <c r="O6" i="18"/>
  <c r="O5" i="18"/>
  <c r="I5" i="18"/>
  <c r="C5" i="18"/>
  <c r="C62" i="17"/>
  <c r="O60" i="17"/>
  <c r="C60" i="17"/>
  <c r="O59" i="17"/>
  <c r="C59" i="17"/>
  <c r="I56" i="17"/>
  <c r="C56" i="17"/>
  <c r="O54" i="17"/>
  <c r="C54" i="17"/>
  <c r="O53" i="17"/>
  <c r="I53" i="17"/>
  <c r="C53" i="17"/>
  <c r="O51" i="17"/>
  <c r="I51" i="17"/>
  <c r="C51" i="17"/>
  <c r="O50" i="17"/>
  <c r="I50" i="17"/>
  <c r="C50" i="17"/>
  <c r="O49" i="17"/>
  <c r="I49" i="17"/>
  <c r="C49" i="17"/>
  <c r="O48" i="17"/>
  <c r="I48" i="17"/>
  <c r="O47" i="17"/>
  <c r="I47" i="17"/>
  <c r="C47" i="17"/>
  <c r="I45" i="17"/>
  <c r="O44" i="17"/>
  <c r="I44" i="17"/>
  <c r="O43" i="17"/>
  <c r="I43" i="17"/>
  <c r="C43" i="17"/>
  <c r="O42" i="17"/>
  <c r="I42" i="17"/>
  <c r="C42" i="17"/>
  <c r="O41" i="17"/>
  <c r="I41" i="17"/>
  <c r="I37" i="17"/>
  <c r="C37" i="17"/>
  <c r="I36" i="17"/>
  <c r="C36" i="17"/>
  <c r="O35" i="17"/>
  <c r="I35" i="17"/>
  <c r="C35" i="17"/>
  <c r="I33" i="17"/>
  <c r="O32" i="17"/>
  <c r="I32" i="17"/>
  <c r="O31" i="17"/>
  <c r="I31" i="17"/>
  <c r="C31" i="17"/>
  <c r="O30" i="17"/>
  <c r="I30" i="17"/>
  <c r="C30" i="17"/>
  <c r="O27" i="17"/>
  <c r="I27" i="17"/>
  <c r="C27" i="17"/>
  <c r="O26" i="17"/>
  <c r="I26" i="17"/>
  <c r="C26" i="17"/>
  <c r="O25" i="17"/>
  <c r="I25" i="17"/>
  <c r="C25" i="17"/>
  <c r="O24" i="17"/>
  <c r="I24" i="17"/>
  <c r="C24" i="17"/>
  <c r="C23" i="17"/>
  <c r="O20" i="17"/>
  <c r="I20" i="17"/>
  <c r="O19" i="17"/>
  <c r="I19" i="17"/>
  <c r="C19" i="17"/>
  <c r="O18" i="17"/>
  <c r="I18" i="17"/>
  <c r="C18" i="17"/>
  <c r="O17" i="17"/>
  <c r="I17" i="17"/>
  <c r="C17" i="17"/>
  <c r="O15" i="17"/>
  <c r="O14" i="17"/>
  <c r="I14" i="17"/>
  <c r="C14" i="17"/>
  <c r="O13" i="17"/>
  <c r="I13" i="17"/>
  <c r="C13" i="17"/>
  <c r="O12" i="17"/>
  <c r="O11" i="17"/>
  <c r="I11" i="17"/>
  <c r="C11" i="17"/>
  <c r="O8" i="17"/>
  <c r="O7" i="17"/>
  <c r="I7" i="17"/>
  <c r="C7" i="17"/>
  <c r="O6" i="17"/>
  <c r="I6" i="17"/>
  <c r="C6" i="17"/>
  <c r="O5" i="17"/>
  <c r="I5" i="17"/>
  <c r="C5" i="17"/>
  <c r="Y33" i="6"/>
  <c r="Y27" i="6"/>
  <c r="Y21" i="6"/>
  <c r="Y14" i="6"/>
  <c r="O61" i="8"/>
  <c r="O60" i="8"/>
  <c r="O57" i="8"/>
  <c r="O55" i="8"/>
  <c r="O54" i="8"/>
  <c r="O52" i="8"/>
  <c r="O51" i="8"/>
  <c r="O50" i="8"/>
  <c r="O49" i="8"/>
  <c r="O48" i="8"/>
  <c r="O45" i="8"/>
  <c r="O44" i="8"/>
  <c r="O43" i="8"/>
  <c r="O42" i="8"/>
  <c r="O40" i="8"/>
  <c r="O39" i="8"/>
  <c r="O38" i="8"/>
  <c r="O37" i="8"/>
  <c r="O36" i="8"/>
  <c r="O34" i="8"/>
  <c r="O33" i="8"/>
  <c r="O32" i="8"/>
  <c r="O31" i="8"/>
  <c r="O30" i="8"/>
  <c r="O28" i="8"/>
  <c r="O27" i="8"/>
  <c r="O26" i="8"/>
  <c r="O25" i="8"/>
  <c r="O24" i="8"/>
  <c r="O21" i="8"/>
  <c r="O20" i="8"/>
  <c r="O19" i="8"/>
  <c r="O18" i="8"/>
  <c r="O16" i="8"/>
  <c r="O15" i="8"/>
  <c r="O14" i="8"/>
  <c r="O13" i="8"/>
  <c r="O12" i="8"/>
  <c r="O9" i="8"/>
  <c r="O8" i="8"/>
  <c r="O7" i="8"/>
  <c r="O6" i="8"/>
  <c r="I10" i="8"/>
  <c r="I9" i="8"/>
  <c r="I8" i="8"/>
  <c r="I7" i="8"/>
  <c r="I6" i="8"/>
  <c r="I16" i="8"/>
  <c r="I15" i="8"/>
  <c r="I14" i="8"/>
  <c r="I13" i="8"/>
  <c r="I12" i="8"/>
  <c r="I22" i="8"/>
  <c r="I21" i="8"/>
  <c r="I20" i="8"/>
  <c r="I19" i="8"/>
  <c r="I18" i="8"/>
  <c r="I28" i="8"/>
  <c r="I27" i="8"/>
  <c r="I26" i="8"/>
  <c r="I25" i="8"/>
  <c r="I24" i="8"/>
  <c r="I34" i="8"/>
  <c r="I33" i="8"/>
  <c r="I32" i="8"/>
  <c r="I31" i="8"/>
  <c r="I30" i="8"/>
  <c r="I40" i="8"/>
  <c r="I39" i="8"/>
  <c r="I38" i="8"/>
  <c r="I37" i="8"/>
  <c r="I36" i="8"/>
  <c r="I46" i="8"/>
  <c r="I45" i="8"/>
  <c r="I44" i="8"/>
  <c r="I43" i="8"/>
  <c r="I42" i="8"/>
  <c r="I52" i="8"/>
  <c r="I51" i="8"/>
  <c r="I50" i="8"/>
  <c r="I49" i="8"/>
  <c r="I48" i="8"/>
  <c r="I54" i="8"/>
  <c r="C61" i="8"/>
  <c r="C60" i="8"/>
  <c r="C55" i="8"/>
  <c r="C54" i="8"/>
  <c r="C52" i="8"/>
  <c r="C51" i="8"/>
  <c r="C50" i="8"/>
  <c r="C49" i="8"/>
  <c r="C48" i="8"/>
  <c r="C45" i="8"/>
  <c r="C44" i="8"/>
  <c r="C43" i="8"/>
  <c r="C42" i="8"/>
  <c r="C40" i="8"/>
  <c r="C39" i="8"/>
  <c r="C38" i="8"/>
  <c r="C37" i="8"/>
  <c r="C36" i="8"/>
  <c r="C33" i="8"/>
  <c r="C32" i="8"/>
  <c r="C31" i="8"/>
  <c r="C30" i="8"/>
  <c r="C28" i="8"/>
  <c r="C27" i="8"/>
  <c r="C26" i="8"/>
  <c r="C25" i="8"/>
  <c r="C24" i="8"/>
  <c r="C21" i="8"/>
  <c r="C20" i="8"/>
  <c r="C19" i="8"/>
  <c r="C18" i="8"/>
  <c r="C16" i="8"/>
  <c r="C15" i="8"/>
  <c r="C14" i="8"/>
  <c r="C13" i="8"/>
  <c r="C12" i="8"/>
  <c r="C9" i="8"/>
  <c r="C8" i="8"/>
  <c r="C7" i="8"/>
  <c r="C6" i="8"/>
  <c r="K80" i="5" l="1"/>
  <c r="EW59" i="5" l="1"/>
  <c r="EI92" i="5"/>
  <c r="DQ98" i="5"/>
  <c r="DC86" i="5"/>
  <c r="DC53" i="5"/>
  <c r="CK47" i="5"/>
  <c r="BW80" i="5"/>
  <c r="Y47" i="5"/>
  <c r="K92" i="5"/>
  <c r="K74" i="5"/>
  <c r="K59" i="5"/>
  <c r="AQ92" i="5"/>
  <c r="K33" i="5"/>
  <c r="K14" i="5"/>
  <c r="K47" i="5"/>
  <c r="EW92" i="5"/>
  <c r="EW86" i="5"/>
  <c r="EW80" i="5"/>
  <c r="EW74" i="5"/>
  <c r="EI86" i="5"/>
  <c r="EI80" i="5"/>
  <c r="EI74" i="5"/>
  <c r="EE98" i="5"/>
  <c r="EE92" i="5"/>
  <c r="EE86" i="5"/>
  <c r="EE80" i="5"/>
  <c r="EE74" i="5"/>
  <c r="DQ92" i="5"/>
  <c r="DQ86" i="5"/>
  <c r="DQ80" i="5"/>
  <c r="DQ74" i="5"/>
  <c r="DC98" i="5"/>
  <c r="DC92" i="5"/>
  <c r="DC80" i="5"/>
  <c r="DC74" i="5"/>
  <c r="CY98" i="5"/>
  <c r="CY92" i="5"/>
  <c r="CY86" i="5"/>
  <c r="CY80" i="5"/>
  <c r="CY74" i="5"/>
  <c r="CK98" i="5"/>
  <c r="CK92" i="5"/>
  <c r="CK86" i="5"/>
  <c r="CK80" i="5"/>
  <c r="CK74" i="5"/>
  <c r="BW98" i="5"/>
  <c r="BW92" i="5"/>
  <c r="BW86" i="5"/>
  <c r="BW74" i="5"/>
  <c r="BS98" i="5"/>
  <c r="BS92" i="5"/>
  <c r="BS86" i="5"/>
  <c r="BS80" i="5"/>
  <c r="BS74" i="5"/>
  <c r="BE98" i="5"/>
  <c r="BE92" i="5"/>
  <c r="BE86" i="5"/>
  <c r="BE80" i="5"/>
  <c r="BE74" i="5"/>
  <c r="AQ98" i="5"/>
  <c r="AQ86" i="5"/>
  <c r="AQ80" i="5"/>
  <c r="AM98" i="5"/>
  <c r="AM92" i="5"/>
  <c r="AM86" i="5"/>
  <c r="AM80" i="5"/>
  <c r="AQ74" i="5"/>
  <c r="AM74" i="5"/>
  <c r="Y98" i="5"/>
  <c r="Y92" i="5"/>
  <c r="Y86" i="5"/>
  <c r="Y80" i="5"/>
  <c r="Y74" i="5"/>
  <c r="K98" i="5"/>
  <c r="K86" i="5"/>
  <c r="G98" i="5"/>
  <c r="G92" i="5"/>
  <c r="G86" i="5"/>
  <c r="G80" i="5"/>
  <c r="G74" i="5"/>
  <c r="EW47" i="5"/>
  <c r="EW41" i="5"/>
  <c r="EI59" i="5"/>
  <c r="EI47" i="5"/>
  <c r="EI41" i="5"/>
  <c r="EE65" i="5"/>
  <c r="EE59" i="5"/>
  <c r="EE53" i="5"/>
  <c r="EE47" i="5"/>
  <c r="EE41" i="5"/>
  <c r="DQ65" i="5"/>
  <c r="DQ59" i="5"/>
  <c r="DQ53" i="5"/>
  <c r="DQ47" i="5"/>
  <c r="DQ41" i="5"/>
  <c r="DC59" i="5"/>
  <c r="DC47" i="5"/>
  <c r="DC41" i="5"/>
  <c r="CY65" i="5"/>
  <c r="CY59" i="5"/>
  <c r="CY53" i="5"/>
  <c r="CY47" i="5"/>
  <c r="CY41" i="5"/>
  <c r="CK59" i="5"/>
  <c r="CK53" i="5"/>
  <c r="CK41" i="5"/>
  <c r="BW59" i="5"/>
  <c r="BW53" i="5"/>
  <c r="BW47" i="5"/>
  <c r="BW41" i="5"/>
  <c r="BS65" i="5"/>
  <c r="BS59" i="5"/>
  <c r="BS53" i="5"/>
  <c r="BS47" i="5"/>
  <c r="BS41" i="5"/>
  <c r="BE65" i="5"/>
  <c r="BE59" i="5"/>
  <c r="BE53" i="5"/>
  <c r="BE47" i="5"/>
  <c r="BE41" i="5"/>
  <c r="AQ59" i="5"/>
  <c r="AQ53" i="5"/>
  <c r="AQ47" i="5"/>
  <c r="AQ41" i="5"/>
  <c r="AM65" i="5"/>
  <c r="AM59" i="5"/>
  <c r="AM53" i="5"/>
  <c r="AM47" i="5"/>
  <c r="AM41" i="5"/>
  <c r="Y65" i="5"/>
  <c r="Y59" i="5"/>
  <c r="Y53" i="5"/>
  <c r="Y41" i="5"/>
  <c r="K53" i="5"/>
  <c r="K41" i="5"/>
  <c r="G65" i="5"/>
  <c r="G59" i="5"/>
  <c r="G53" i="5"/>
  <c r="G47" i="5"/>
  <c r="G41" i="5"/>
  <c r="EW33" i="5"/>
  <c r="EW27" i="5"/>
  <c r="EW21" i="5"/>
  <c r="EW14" i="5"/>
  <c r="EW8" i="5"/>
  <c r="EI33" i="5"/>
  <c r="EI27" i="5"/>
  <c r="EI21" i="5"/>
  <c r="EI14" i="5"/>
  <c r="EI8" i="5"/>
  <c r="EE33" i="5"/>
  <c r="EE27" i="5"/>
  <c r="EE21" i="5"/>
  <c r="EE14" i="5"/>
  <c r="EE8" i="5"/>
  <c r="DQ33" i="5"/>
  <c r="DQ27" i="5"/>
  <c r="DQ21" i="5"/>
  <c r="DQ14" i="5"/>
  <c r="DQ8" i="5"/>
  <c r="DC33" i="5"/>
  <c r="DC27" i="5"/>
  <c r="DC21" i="5"/>
  <c r="DC14" i="5"/>
  <c r="DC8" i="5"/>
  <c r="CY33" i="5"/>
  <c r="CY27" i="5"/>
  <c r="CY21" i="5"/>
  <c r="CY14" i="5"/>
  <c r="CY8" i="5"/>
  <c r="CK33" i="5"/>
  <c r="CK27" i="5"/>
  <c r="CK21" i="5"/>
  <c r="CK14" i="5"/>
  <c r="CK8" i="5"/>
  <c r="BW33" i="5"/>
  <c r="BW27" i="5"/>
  <c r="BW21" i="5"/>
  <c r="BW14" i="5"/>
  <c r="BW8" i="5"/>
  <c r="BS33" i="5"/>
  <c r="BS27" i="5"/>
  <c r="BS21" i="5"/>
  <c r="BS14" i="5"/>
  <c r="BS8" i="5"/>
  <c r="BE33" i="5"/>
  <c r="BE27" i="5"/>
  <c r="BE21" i="5"/>
  <c r="BE14" i="5"/>
  <c r="BE8" i="5"/>
  <c r="AQ33" i="5"/>
  <c r="AQ27" i="5"/>
  <c r="AQ21" i="5"/>
  <c r="AQ14" i="5"/>
  <c r="AQ8" i="5"/>
  <c r="AM33" i="5"/>
  <c r="AM27" i="5"/>
  <c r="AM21" i="5"/>
  <c r="AM14" i="5"/>
  <c r="AM8" i="5"/>
  <c r="Y33" i="5"/>
  <c r="Y27" i="5"/>
  <c r="Y21" i="5"/>
  <c r="AQ98" i="2"/>
  <c r="Y53" i="6"/>
  <c r="K53" i="6"/>
  <c r="K85" i="6"/>
  <c r="K21" i="6"/>
  <c r="EI79" i="6"/>
  <c r="EW91" i="6"/>
  <c r="EW85" i="6"/>
  <c r="EW73" i="6"/>
  <c r="EI91" i="6"/>
  <c r="EI85" i="6"/>
  <c r="EI73" i="6"/>
  <c r="EE97" i="6"/>
  <c r="EE91" i="6"/>
  <c r="EE85" i="6"/>
  <c r="EE79" i="6"/>
  <c r="EE73" i="6"/>
  <c r="DQ97" i="6"/>
  <c r="DQ91" i="6"/>
  <c r="DQ85" i="6"/>
  <c r="DQ79" i="6"/>
  <c r="DQ73" i="6"/>
  <c r="DC91" i="6"/>
  <c r="DC85" i="6"/>
  <c r="DC79" i="6"/>
  <c r="CY97" i="6"/>
  <c r="CY91" i="6"/>
  <c r="CY85" i="6"/>
  <c r="CY79" i="6"/>
  <c r="DC73" i="6"/>
  <c r="CY73" i="6"/>
  <c r="CK97" i="6"/>
  <c r="CK91" i="6"/>
  <c r="CK85" i="6"/>
  <c r="CK79" i="6"/>
  <c r="CK73" i="6"/>
  <c r="BW91" i="6"/>
  <c r="BW85" i="6"/>
  <c r="BW79" i="6"/>
  <c r="BW73" i="6"/>
  <c r="BS97" i="6"/>
  <c r="BS91" i="6"/>
  <c r="BS85" i="6"/>
  <c r="BS79" i="6"/>
  <c r="BS73" i="6"/>
  <c r="BE97" i="6"/>
  <c r="BE91" i="6"/>
  <c r="BE85" i="6"/>
  <c r="BE79" i="6"/>
  <c r="BE73" i="6"/>
  <c r="AQ91" i="6"/>
  <c r="AQ85" i="6"/>
  <c r="AQ79" i="6"/>
  <c r="AQ73" i="6"/>
  <c r="AM97" i="6"/>
  <c r="AM91" i="6"/>
  <c r="AM85" i="6"/>
  <c r="AM79" i="6"/>
  <c r="AM73" i="6"/>
  <c r="Y97" i="6"/>
  <c r="Y91" i="6"/>
  <c r="Y85" i="6"/>
  <c r="Y79" i="6"/>
  <c r="Y73" i="6"/>
  <c r="K91" i="6"/>
  <c r="K79" i="6"/>
  <c r="K73" i="6"/>
  <c r="G97" i="6"/>
  <c r="G91" i="6"/>
  <c r="G85" i="6"/>
  <c r="G79" i="6"/>
  <c r="G73" i="6"/>
  <c r="EW59" i="6"/>
  <c r="EW47" i="6"/>
  <c r="EW41" i="6"/>
  <c r="EI59" i="6"/>
  <c r="EI47" i="6"/>
  <c r="EI41" i="6"/>
  <c r="EE65" i="6"/>
  <c r="EE59" i="6"/>
  <c r="EE53" i="6"/>
  <c r="EE47" i="6"/>
  <c r="EE41" i="6"/>
  <c r="DQ65" i="6"/>
  <c r="DQ59" i="6"/>
  <c r="DQ53" i="6"/>
  <c r="DQ47" i="6"/>
  <c r="DQ41" i="6"/>
  <c r="CY65" i="6"/>
  <c r="CY59" i="6"/>
  <c r="CY53" i="6"/>
  <c r="CY47" i="6"/>
  <c r="CY41" i="6"/>
  <c r="CK65" i="6"/>
  <c r="CK59" i="6"/>
  <c r="CK53" i="6"/>
  <c r="CK47" i="6"/>
  <c r="CK41" i="6"/>
  <c r="BW59" i="6"/>
  <c r="BW53" i="6"/>
  <c r="BW47" i="6"/>
  <c r="BW41" i="6"/>
  <c r="BS65" i="6"/>
  <c r="BS59" i="6"/>
  <c r="BS53" i="6"/>
  <c r="BS47" i="6"/>
  <c r="BS41" i="6"/>
  <c r="BE65" i="6"/>
  <c r="BE59" i="6"/>
  <c r="BE53" i="6"/>
  <c r="BE47" i="6"/>
  <c r="BE41" i="6"/>
  <c r="AQ59" i="6"/>
  <c r="AQ53" i="6"/>
  <c r="AQ47" i="6"/>
  <c r="AQ41" i="6"/>
  <c r="AM65" i="6"/>
  <c r="AM59" i="6"/>
  <c r="AM53" i="6"/>
  <c r="AM47" i="6"/>
  <c r="AM41" i="6"/>
  <c r="Y59" i="6"/>
  <c r="Y47" i="6"/>
  <c r="Y41" i="6"/>
  <c r="K59" i="6"/>
  <c r="K47" i="6"/>
  <c r="K41" i="6"/>
  <c r="G65" i="6"/>
  <c r="G59" i="6"/>
  <c r="G53" i="6"/>
  <c r="G47" i="6"/>
  <c r="G41" i="6"/>
  <c r="EW33" i="6"/>
  <c r="EW27" i="6"/>
  <c r="EW21" i="6"/>
  <c r="EW14" i="6"/>
  <c r="EW8" i="6"/>
  <c r="EI33" i="6"/>
  <c r="EI27" i="6"/>
  <c r="EI21" i="6"/>
  <c r="EI14" i="6"/>
  <c r="EI8" i="6"/>
  <c r="EE33" i="6"/>
  <c r="EE27" i="6"/>
  <c r="EE21" i="6"/>
  <c r="EE14" i="6"/>
  <c r="EE8" i="6"/>
  <c r="DQ33" i="6"/>
  <c r="DQ27" i="6"/>
  <c r="DQ21" i="6"/>
  <c r="DQ14" i="6"/>
  <c r="DQ8" i="6"/>
  <c r="DC33" i="6"/>
  <c r="DC27" i="6"/>
  <c r="DC21" i="6"/>
  <c r="DC14" i="6"/>
  <c r="DC8" i="6"/>
  <c r="CY33" i="6"/>
  <c r="CY27" i="6"/>
  <c r="CY21" i="6"/>
  <c r="CY14" i="6"/>
  <c r="CY8" i="6"/>
  <c r="CK33" i="6"/>
  <c r="CK27" i="6"/>
  <c r="CK21" i="6"/>
  <c r="CK14" i="6"/>
  <c r="CK8" i="6"/>
  <c r="BW33" i="6"/>
  <c r="BW27" i="6"/>
  <c r="BW21" i="6"/>
  <c r="BW14" i="6"/>
  <c r="BW8" i="6"/>
  <c r="BS33" i="6"/>
  <c r="BS27" i="6"/>
  <c r="BS21" i="6"/>
  <c r="BS14" i="6"/>
  <c r="BS8" i="6"/>
  <c r="BE33" i="6"/>
  <c r="BE27" i="6"/>
  <c r="BE21" i="6"/>
  <c r="BE14" i="6"/>
  <c r="BE8" i="6"/>
  <c r="AQ33" i="6"/>
  <c r="AQ27" i="6"/>
  <c r="AQ21" i="6"/>
  <c r="AQ14" i="6"/>
  <c r="AQ8" i="6"/>
  <c r="AM33" i="6"/>
  <c r="AM27" i="6"/>
  <c r="AM21" i="6"/>
  <c r="AM14" i="6"/>
  <c r="AM8" i="6"/>
  <c r="K8" i="6"/>
  <c r="Y8" i="6"/>
  <c r="G33" i="5"/>
  <c r="K27" i="5"/>
  <c r="G27" i="5"/>
  <c r="K21" i="5"/>
  <c r="G21" i="5"/>
  <c r="Y14" i="5"/>
  <c r="G14" i="5"/>
  <c r="Y8" i="5"/>
  <c r="K8" i="5"/>
  <c r="G8" i="5"/>
  <c r="K27" i="6" l="1"/>
  <c r="G33" i="6"/>
  <c r="G27" i="6"/>
  <c r="G14" i="6"/>
  <c r="K14" i="6"/>
  <c r="G8" i="6"/>
  <c r="DC14" i="2" l="1"/>
  <c r="BS98" i="2"/>
  <c r="BS92" i="2"/>
  <c r="BS86" i="2"/>
  <c r="BS80" i="2"/>
  <c r="Y65" i="2"/>
  <c r="EW59" i="2"/>
  <c r="EI59" i="2"/>
  <c r="EI41" i="2"/>
  <c r="EE65" i="2"/>
  <c r="EE59" i="2"/>
  <c r="EE53" i="2"/>
  <c r="EE47" i="2"/>
  <c r="EE41" i="2"/>
  <c r="DQ65" i="2"/>
  <c r="DQ59" i="2"/>
  <c r="DQ53" i="2"/>
  <c r="DQ47" i="2"/>
  <c r="DQ41" i="2"/>
  <c r="CY65" i="2"/>
  <c r="CY59" i="2"/>
  <c r="CY53" i="2"/>
  <c r="CY47" i="2"/>
  <c r="DC65" i="2"/>
  <c r="DC59" i="2"/>
  <c r="DC53" i="2"/>
  <c r="DC47" i="2"/>
  <c r="DC41" i="2"/>
  <c r="CY41" i="2"/>
  <c r="CK65" i="2"/>
  <c r="CK59" i="2"/>
  <c r="CK53" i="2"/>
  <c r="CK47" i="2"/>
  <c r="CK41" i="2"/>
  <c r="BW65" i="2"/>
  <c r="BW59" i="2"/>
  <c r="BW53" i="2"/>
  <c r="BW47" i="2"/>
  <c r="BW41" i="2"/>
  <c r="BS65" i="2"/>
  <c r="BS59" i="2"/>
  <c r="BS53" i="2"/>
  <c r="BS47" i="2"/>
  <c r="BS41" i="2"/>
  <c r="BE65" i="2"/>
  <c r="BE59" i="2"/>
  <c r="BE53" i="2"/>
  <c r="BE47" i="2"/>
  <c r="BE41" i="2"/>
  <c r="AQ65" i="2"/>
  <c r="AQ59" i="2"/>
  <c r="AQ53" i="2"/>
  <c r="AQ47" i="2"/>
  <c r="AQ41" i="2"/>
  <c r="AM65" i="2"/>
  <c r="AM59" i="2"/>
  <c r="AM53" i="2"/>
  <c r="AM47" i="2"/>
  <c r="AM41" i="2"/>
  <c r="Y66" i="2"/>
  <c r="Y59" i="2"/>
  <c r="Y53" i="2"/>
  <c r="Y47" i="2"/>
  <c r="Y41" i="2"/>
  <c r="K65" i="2"/>
  <c r="K59" i="2"/>
  <c r="K53" i="2"/>
  <c r="K47" i="2"/>
  <c r="K41" i="2"/>
  <c r="G65" i="2"/>
  <c r="G59" i="2"/>
  <c r="G53" i="2"/>
  <c r="G47" i="2"/>
  <c r="EW92" i="2"/>
  <c r="EW86" i="2"/>
  <c r="EW80" i="2"/>
  <c r="EW74" i="2"/>
  <c r="EI92" i="2"/>
  <c r="EI86" i="2"/>
  <c r="EI80" i="2"/>
  <c r="EI74" i="2"/>
  <c r="EE98" i="2"/>
  <c r="EE92" i="2"/>
  <c r="EE86" i="2"/>
  <c r="EE80" i="2"/>
  <c r="EE74" i="2"/>
  <c r="DQ98" i="2"/>
  <c r="DQ92" i="2"/>
  <c r="DQ86" i="2"/>
  <c r="DQ80" i="2"/>
  <c r="DQ74" i="2"/>
  <c r="DC98" i="2"/>
  <c r="DC92" i="2"/>
  <c r="DC86" i="2"/>
  <c r="DC80" i="2"/>
  <c r="DC74" i="2"/>
  <c r="CY98" i="2"/>
  <c r="CY92" i="2"/>
  <c r="CY86" i="2"/>
  <c r="CY80" i="2"/>
  <c r="CY74" i="2"/>
  <c r="CK98" i="2"/>
  <c r="CK92" i="2"/>
  <c r="CK86" i="2"/>
  <c r="CK80" i="2"/>
  <c r="CK74" i="2"/>
  <c r="BW98" i="2"/>
  <c r="BW92" i="2"/>
  <c r="BW86" i="2"/>
  <c r="BW80" i="2"/>
  <c r="BW74" i="2"/>
  <c r="BS74" i="2"/>
  <c r="BE98" i="2"/>
  <c r="BE92" i="2"/>
  <c r="BE86" i="2"/>
  <c r="BE80" i="2"/>
  <c r="BE74" i="2"/>
  <c r="AQ92" i="2"/>
  <c r="AQ86" i="2"/>
  <c r="AQ80" i="2"/>
  <c r="AQ74" i="2"/>
  <c r="AM98" i="2"/>
  <c r="AM92" i="2"/>
  <c r="AM86" i="2"/>
  <c r="AM80" i="2"/>
  <c r="AM74" i="2"/>
  <c r="Y98" i="2"/>
  <c r="Y92" i="2"/>
  <c r="Y86" i="2"/>
  <c r="Y80" i="2"/>
  <c r="Y74" i="2"/>
  <c r="G98" i="2"/>
  <c r="G92" i="2"/>
  <c r="G86" i="2"/>
  <c r="G80" i="2"/>
  <c r="K74" i="2"/>
  <c r="G74" i="2"/>
  <c r="G41" i="2"/>
  <c r="EW33" i="2"/>
  <c r="EW27" i="2"/>
  <c r="EW21" i="2"/>
  <c r="EW14" i="2"/>
  <c r="EW8" i="2"/>
  <c r="EI33" i="2"/>
  <c r="EI27" i="2"/>
  <c r="EI21" i="2"/>
  <c r="EI14" i="2"/>
  <c r="EI8" i="2"/>
  <c r="EE33" i="2"/>
  <c r="EE27" i="2"/>
  <c r="EE21" i="2"/>
  <c r="EE14" i="2"/>
  <c r="EE8" i="2"/>
  <c r="DQ33" i="2"/>
  <c r="DQ27" i="2"/>
  <c r="DQ21" i="2"/>
  <c r="DQ14" i="2"/>
  <c r="DQ8" i="2"/>
  <c r="DC33" i="2"/>
  <c r="DC27" i="2"/>
  <c r="DC21" i="2"/>
  <c r="CY33" i="2"/>
  <c r="CY27" i="2"/>
  <c r="CY21" i="2"/>
  <c r="CY14" i="2"/>
  <c r="DC8" i="2"/>
  <c r="CY8" i="2"/>
  <c r="CK33" i="2"/>
  <c r="CK27" i="2"/>
  <c r="CK21" i="2"/>
  <c r="CK14" i="2"/>
  <c r="CK8" i="2"/>
  <c r="BW33" i="2"/>
  <c r="BW27" i="2"/>
  <c r="BW21" i="2"/>
  <c r="BW14" i="2"/>
  <c r="BS33" i="2"/>
  <c r="BS27" i="2"/>
  <c r="BS21" i="2"/>
  <c r="BS14" i="2"/>
  <c r="BW8" i="2"/>
  <c r="BS8" i="2"/>
  <c r="BE33" i="2"/>
  <c r="BE27" i="2"/>
  <c r="BE21" i="2"/>
  <c r="BE14" i="2"/>
  <c r="BE8" i="2"/>
  <c r="AQ33" i="2"/>
  <c r="AQ27" i="2"/>
  <c r="AQ21" i="2"/>
  <c r="AQ14" i="2"/>
  <c r="AQ8" i="2"/>
  <c r="AM33" i="2"/>
  <c r="AM27" i="2"/>
  <c r="AM21" i="2"/>
  <c r="AM14" i="2"/>
  <c r="AM8" i="2"/>
  <c r="Y33" i="2"/>
  <c r="Y27" i="2"/>
  <c r="Y21" i="2"/>
  <c r="Y14" i="2"/>
  <c r="Y8" i="2"/>
  <c r="K33" i="2"/>
  <c r="K27" i="2"/>
  <c r="K21" i="2"/>
  <c r="K14" i="2"/>
  <c r="G33" i="2"/>
  <c r="G27" i="2"/>
  <c r="G21" i="2"/>
  <c r="G14" i="2"/>
  <c r="K8" i="2"/>
  <c r="G8" i="2"/>
</calcChain>
</file>

<file path=xl/sharedStrings.xml><?xml version="1.0" encoding="utf-8"?>
<sst xmlns="http://schemas.openxmlformats.org/spreadsheetml/2006/main" count="9388" uniqueCount="514">
  <si>
    <t>Dataset</t>
  </si>
  <si>
    <t>N</t>
  </si>
  <si>
    <t>P</t>
  </si>
  <si>
    <t>B0</t>
  </si>
  <si>
    <t>B1</t>
  </si>
  <si>
    <t>B2</t>
  </si>
  <si>
    <t>B3</t>
  </si>
  <si>
    <t>Adult</t>
  </si>
  <si>
    <t>Dry Bean</t>
  </si>
  <si>
    <t>Pokerhand_training_True_1000 sample</t>
  </si>
  <si>
    <t>Taiwanese Bankruptcy Dataset</t>
  </si>
  <si>
    <t>HTRU2 Dataset</t>
  </si>
  <si>
    <t>In Vehicle Registration Dataset</t>
  </si>
  <si>
    <t>RT_IOT2022 Dataset</t>
  </si>
  <si>
    <t>Traditional</t>
  </si>
  <si>
    <t>Y</t>
  </si>
  <si>
    <t>BitcoinHeist Dataset</t>
  </si>
  <si>
    <t>PhiUSIIL_Phishing_URL_Dataset</t>
  </si>
  <si>
    <t>Failed</t>
  </si>
  <si>
    <t>Diabetic 130 Dataset</t>
  </si>
  <si>
    <t>Comment Persistent Homology</t>
  </si>
  <si>
    <t>Contrasts</t>
  </si>
  <si>
    <t>Contrasts. No classifier worked due to contrasts error</t>
  </si>
  <si>
    <t>Internet Firewall Data Set</t>
  </si>
  <si>
    <t>NA</t>
  </si>
  <si>
    <t xml:space="preserve">Naïve Baye had zero probability for each class and Logistic Regression classisfiers had rank deficiency issues </t>
  </si>
  <si>
    <t xml:space="preserve">NA </t>
  </si>
  <si>
    <t>memory Exhausted</t>
  </si>
  <si>
    <t>Logistic regression failed produced NAN's. All other fits passed but confusion matrix did nnot resolve for Logistic regression, neural net, and Naïve Bayes</t>
  </si>
  <si>
    <t>Partially Failed</t>
  </si>
  <si>
    <t>Traditional Classifiers</t>
  </si>
  <si>
    <t>Comment  Traditional Classsifiers</t>
  </si>
  <si>
    <t>TDA-Assisted Classifiers</t>
  </si>
  <si>
    <t>Comment TDA-Assisted Classifiers</t>
  </si>
  <si>
    <t>Y,</t>
  </si>
  <si>
    <t>Acurracy</t>
  </si>
  <si>
    <t>Precision</t>
  </si>
  <si>
    <t>Recall</t>
  </si>
  <si>
    <t>F1</t>
  </si>
  <si>
    <t>Partition</t>
  </si>
  <si>
    <t>Fold1</t>
  </si>
  <si>
    <t>Fold2</t>
  </si>
  <si>
    <t>Fold3</t>
  </si>
  <si>
    <t>Test</t>
  </si>
  <si>
    <t>Node</t>
  </si>
  <si>
    <t>Random Forest</t>
  </si>
  <si>
    <t>Support Vector Machine</t>
  </si>
  <si>
    <t>Logistic Regression</t>
  </si>
  <si>
    <t>Naïve Bayes</t>
  </si>
  <si>
    <t>Average</t>
  </si>
  <si>
    <t>Neural Network1</t>
  </si>
  <si>
    <t>TDA-Assisted  PCA</t>
  </si>
  <si>
    <t>BST</t>
  </si>
  <si>
    <t>BSR</t>
  </si>
  <si>
    <t>BCT</t>
  </si>
  <si>
    <t>Left</t>
  </si>
  <si>
    <t>Rope</t>
  </si>
  <si>
    <t>Right</t>
  </si>
  <si>
    <t>T_Test</t>
  </si>
  <si>
    <t>TDA-Assisted  KDE</t>
  </si>
  <si>
    <t xml:space="preserve">Average </t>
  </si>
  <si>
    <t>TDA-Assisted KDE</t>
  </si>
  <si>
    <t>TDA-Assisted PCA</t>
  </si>
  <si>
    <t>TDA-Assisted-PCA</t>
  </si>
  <si>
    <t>TDA-Assisted -KDE</t>
  </si>
  <si>
    <t>naïve Bayes</t>
  </si>
  <si>
    <t>o</t>
  </si>
  <si>
    <t>1 0.9117647</t>
  </si>
  <si>
    <t>0.9994137</t>
  </si>
  <si>
    <t>MA</t>
  </si>
  <si>
    <t>,5</t>
  </si>
  <si>
    <t>NaN</t>
  </si>
  <si>
    <t>ROPE</t>
  </si>
  <si>
    <t>Random Forest PCA</t>
  </si>
  <si>
    <t>Random Forest KDE</t>
  </si>
  <si>
    <t>Support Vector Machine PCA</t>
  </si>
  <si>
    <t>Support Vector Machine KDE</t>
  </si>
  <si>
    <t>Neural Network PCA</t>
  </si>
  <si>
    <t>Neural Network KDE</t>
  </si>
  <si>
    <t>Logistic  Regression PCA</t>
  </si>
  <si>
    <t>Logistic  Regression KDE</t>
  </si>
  <si>
    <t>Naïve Bayes PCA</t>
  </si>
  <si>
    <t>Naïve Bayes KDE</t>
  </si>
  <si>
    <t>5.40.5</t>
  </si>
  <si>
    <t>5.50.5</t>
  </si>
  <si>
    <t>5.60.5</t>
  </si>
  <si>
    <t>X</t>
  </si>
  <si>
    <t>TDA-Treated vs Traditional</t>
  </si>
  <si>
    <t>[</t>
  </si>
  <si>
    <t>A</t>
  </si>
  <si>
    <t>B</t>
  </si>
  <si>
    <t>C</t>
  </si>
  <si>
    <t>D</t>
  </si>
  <si>
    <t>E</t>
  </si>
  <si>
    <t>F</t>
  </si>
  <si>
    <t>Percent Overlap</t>
  </si>
  <si>
    <t>PCA</t>
  </si>
  <si>
    <t>Filter</t>
  </si>
  <si>
    <t>KDE</t>
  </si>
  <si>
    <t>PCA_5.40.5</t>
  </si>
  <si>
    <t>PCA_5.50.5</t>
  </si>
  <si>
    <t>PCA_5.60.5</t>
  </si>
  <si>
    <t>KDE_5.40.5</t>
  </si>
  <si>
    <t>KDE_5.50.5</t>
  </si>
  <si>
    <t>KDE_5.60.5</t>
  </si>
  <si>
    <t>Maapper Algorithm filter by Perceent Overlap Parrameter Matirx</t>
  </si>
  <si>
    <t>N-Final</t>
  </si>
  <si>
    <t>Data Set Type</t>
  </si>
  <si>
    <t>Internet</t>
  </si>
  <si>
    <t>Financial Bitcoin</t>
  </si>
  <si>
    <t>Internet URLs</t>
  </si>
  <si>
    <t>Internet of Things data set</t>
  </si>
  <si>
    <t>Driving conditions</t>
  </si>
  <si>
    <t>Pulsar star candidates</t>
  </si>
  <si>
    <t>Pokerhand_training_True</t>
  </si>
  <si>
    <t>Financial</t>
  </si>
  <si>
    <t>Poker Gaming</t>
  </si>
  <si>
    <t>Agriculture</t>
  </si>
  <si>
    <t>Census</t>
  </si>
  <si>
    <t>In Vehicle Coupon Recommendation</t>
  </si>
  <si>
    <t>PhiUSIIL_Phishing_URL</t>
  </si>
  <si>
    <t xml:space="preserve">Internet Firewall </t>
  </si>
  <si>
    <t xml:space="preserve">RT-IoT2022 </t>
  </si>
  <si>
    <t>Classifier</t>
  </si>
  <si>
    <t>Non-TDA-Treated</t>
  </si>
  <si>
    <t>50 trees</t>
  </si>
  <si>
    <t>350 trees</t>
  </si>
  <si>
    <t>500 trees</t>
  </si>
  <si>
    <t>100 trees</t>
  </si>
  <si>
    <t>950 trees</t>
  </si>
  <si>
    <t>sigma=0.1, c=1.25</t>
  </si>
  <si>
    <t>sigma=0.1, c=0.75</t>
  </si>
  <si>
    <t>sigma=0.1, c=1.0</t>
  </si>
  <si>
    <t>sigma=10, c=0.25</t>
  </si>
  <si>
    <t>sigma=0.1, c=.5</t>
  </si>
  <si>
    <t>sigma=1.0, c=0.75</t>
  </si>
  <si>
    <t>sigma=0.1, c=1.00</t>
  </si>
  <si>
    <t>Neural Network</t>
  </si>
  <si>
    <t>size=7, decay=0.7</t>
  </si>
  <si>
    <t>size=2, decay=0.7</t>
  </si>
  <si>
    <t>size=2, decay=0.5</t>
  </si>
  <si>
    <t>size=7, decay=0.5</t>
  </si>
  <si>
    <t>size=3, decay=0.7</t>
  </si>
  <si>
    <t>size=7, decay=0.3</t>
  </si>
  <si>
    <t>size=2, decay=0.3</t>
  </si>
  <si>
    <t>size=3, decay=0.3</t>
  </si>
  <si>
    <t>size=3, decay=0.5</t>
  </si>
  <si>
    <t>size=5, decay=0.3</t>
  </si>
  <si>
    <t>fl=0, kernel =True, adjust=1</t>
  </si>
  <si>
    <t>Adult Dataset</t>
  </si>
  <si>
    <t>750 trees</t>
  </si>
  <si>
    <t>150 trees</t>
  </si>
  <si>
    <t>1000 trees</t>
  </si>
  <si>
    <t>850 trees</t>
  </si>
  <si>
    <t>700 trees</t>
  </si>
  <si>
    <t>300 trees</t>
  </si>
  <si>
    <t>800 trees</t>
  </si>
  <si>
    <t>200 trees</t>
  </si>
  <si>
    <t>600 trees</t>
  </si>
  <si>
    <t>250 trees</t>
  </si>
  <si>
    <t>sigma=0.1, c=0.50</t>
  </si>
  <si>
    <t>size=5, decay=0.7</t>
  </si>
  <si>
    <t>decay=0.0</t>
  </si>
  <si>
    <t>decay=0.1</t>
  </si>
  <si>
    <t>decay = 1e-04</t>
  </si>
  <si>
    <t>650 trees</t>
  </si>
  <si>
    <t>550 trees</t>
  </si>
  <si>
    <t>450 trees</t>
  </si>
  <si>
    <t>900 trees</t>
  </si>
  <si>
    <t>sigma=1.0, c=1.25</t>
  </si>
  <si>
    <t>sigma=1.0, c=1..00</t>
  </si>
  <si>
    <t>sigma=1.0, c=1.00</t>
  </si>
  <si>
    <t>size=5, decay=0.5</t>
  </si>
  <si>
    <t>Dry Bean Dataset</t>
  </si>
  <si>
    <t xml:space="preserve"> Optimal Hypertuning Parameters</t>
  </si>
  <si>
    <t>Optimal Hypertuning parameters</t>
  </si>
  <si>
    <t>Accuracy</t>
  </si>
  <si>
    <t>Odds-Left</t>
  </si>
  <si>
    <t xml:space="preserve">  </t>
  </si>
  <si>
    <t>Weeak</t>
  </si>
  <si>
    <t>Weak</t>
  </si>
  <si>
    <t>Strong</t>
  </si>
  <si>
    <t>Positive</t>
  </si>
  <si>
    <t>Stong</t>
  </si>
  <si>
    <t>Stroog</t>
  </si>
  <si>
    <t xml:space="preserve">Taiwanese Bankruptcy </t>
  </si>
  <si>
    <t>Data Type</t>
  </si>
  <si>
    <t>x</t>
  </si>
  <si>
    <t>Srong</t>
  </si>
  <si>
    <t>weak</t>
  </si>
  <si>
    <t xml:space="preserve">weak </t>
  </si>
  <si>
    <t>Stromg</t>
  </si>
  <si>
    <t xml:space="preserve">Strong </t>
  </si>
  <si>
    <t>non-TDA-treated Accuracy</t>
  </si>
  <si>
    <t>TDA-treated Accuracy</t>
  </si>
  <si>
    <t xml:space="preserve">Weak </t>
  </si>
  <si>
    <t>Strpng</t>
  </si>
  <si>
    <t>3-Fold Cross Validation HTRU2 Dataset</t>
  </si>
  <si>
    <t>Testing HTRU2 Dataset</t>
  </si>
  <si>
    <t>3-Fold Cross Validation Dry Bean Dataset</t>
  </si>
  <si>
    <t>Testing Sry Bean Dataset</t>
  </si>
  <si>
    <t>3-Fold Cross Validation Adult Dataset</t>
  </si>
  <si>
    <t>Testing Adult Dataset</t>
  </si>
  <si>
    <t>0.8572, 0.9205, 0.9802</t>
  </si>
  <si>
    <t>0.7336, 0.8872, 0.9852</t>
  </si>
  <si>
    <t>0.8754, 0.9377, 0.9027</t>
  </si>
  <si>
    <t>0.9644, 0.9743, 0.9770</t>
  </si>
  <si>
    <t>0.9998, NA, NA</t>
  </si>
  <si>
    <t>0.8637, 0.9492, 0.9651</t>
  </si>
  <si>
    <t>0.9998, 0.9460, 0.9860</t>
  </si>
  <si>
    <t>0.9998, 0.9098, 0.9887</t>
  </si>
  <si>
    <t>0.9998, 0.8113, 0.9916</t>
  </si>
  <si>
    <t>0.9998, NA, 0.9916</t>
  </si>
  <si>
    <t>0.8238, 0.9312, 0.9796</t>
  </si>
  <si>
    <t>0.6960, 0.9160, 0.9994</t>
  </si>
  <si>
    <t>0.6987, 0.8937, 0.9850</t>
  </si>
  <si>
    <t>0.9929, 0.9078, 0.9990</t>
  </si>
  <si>
    <t>0.8283, 0.8040, 0.9109</t>
  </si>
  <si>
    <t>0.9579, 0.9844, 0.9820</t>
  </si>
  <si>
    <t>0.9997, NA, NA</t>
  </si>
  <si>
    <t>0.8126, 0.9528, 0.9887</t>
  </si>
  <si>
    <t>0.8038, 0.9487, 0.9783</t>
  </si>
  <si>
    <t>0.7938, 0.6117, 0.9861</t>
  </si>
  <si>
    <t>0.8388, 0.8181, 0.9892</t>
  </si>
  <si>
    <t>0.7989, 0.6499, 0.9909</t>
  </si>
  <si>
    <t>0.8200, 0.4913, 0.9806</t>
  </si>
  <si>
    <t>0.9923, 0.8828, 0.9994</t>
  </si>
  <si>
    <t>0.6729, 0.6380, 0.9851</t>
  </si>
  <si>
    <t>0.8628, 0.6827, 0.8962</t>
  </si>
  <si>
    <t>0.9635, 0.9542, 0.9820</t>
  </si>
  <si>
    <t>0.8567, 0.6145, 0.9665</t>
  </si>
  <si>
    <t>0.8074, 0.7469, 0.9851</t>
  </si>
  <si>
    <t>0.8064, 0.6686, 0.9852</t>
  </si>
  <si>
    <t>0.8469, 0.7828, 0.9887</t>
  </si>
  <si>
    <t>0.8702, 0.6681, 0.9909</t>
  </si>
  <si>
    <t>0.8511, 0.9262, 0.9797</t>
  </si>
  <si>
    <t>0.9671, 0.9262, 0.9994</t>
  </si>
  <si>
    <t>0.6710, 0.9262, 0.9845</t>
  </si>
  <si>
    <t>0.8642, 0.9262, 0.8767</t>
  </si>
  <si>
    <t>0.9437, 0.9799, 0.9830</t>
  </si>
  <si>
    <t>0.8202, 0.9491, 0.9632</t>
  </si>
  <si>
    <t>0.8427, 0.9493, 0.9795</t>
  </si>
  <si>
    <t>0.8308, 0.9120, 0.9861</t>
  </si>
  <si>
    <t>0.8612, 0.8181, 0.9890</t>
  </si>
  <si>
    <t>0.8636, 0.7364, 0.9902</t>
  </si>
  <si>
    <t>0.7666, 0.9028, 0.9621</t>
  </si>
  <si>
    <t>0.9923, 0.8348, 0.9736</t>
  </si>
  <si>
    <t>0.6108, 0.8589, 0.9541</t>
  </si>
  <si>
    <t>0.7917, NA, 0.7794</t>
  </si>
  <si>
    <t>0.9574, 0.9743, 0.9102</t>
  </si>
  <si>
    <t>0.7522, 0.9162, 0.9489</t>
  </si>
  <si>
    <t>0.6108, 0.8586, 0.9385</t>
  </si>
  <si>
    <t>0.7917, NA, 0.7820</t>
  </si>
  <si>
    <t>0.9574, 0.9687, 0.9162</t>
  </si>
  <si>
    <t>0.8552, 0.9265, 0.9787</t>
  </si>
  <si>
    <t>0.8444, 0.9389, 0.9847</t>
  </si>
  <si>
    <t>0.9719, 0.9118, 0.9984</t>
  </si>
  <si>
    <t>0.8627, 0.9510, 0.9664</t>
  </si>
  <si>
    <t>0.8467, 0.9440, 0.9786</t>
  </si>
  <si>
    <t>0.8349, 0.9130, 0.9840</t>
  </si>
  <si>
    <t>0.9983, 1.0000, 0.9847</t>
  </si>
  <si>
    <t>0.9536, 0.9710, 0.9847</t>
  </si>
  <si>
    <t>0.7323, 0.9020, 0.9847</t>
  </si>
  <si>
    <t>0.8536, 0.8201, 0.9878</t>
  </si>
  <si>
    <t>0.8682, 0.7292, 0.9888</t>
  </si>
  <si>
    <t>0.8204, 0.9294, 0.9767</t>
  </si>
  <si>
    <t>0.9980, 1.0000, 1.0000</t>
  </si>
  <si>
    <t>0.6973, 0.9151, 0.9984</t>
  </si>
  <si>
    <t>0.6970, 0.6454, 0.9837</t>
  </si>
  <si>
    <t>0.8014, 0.9479, 0.9199</t>
  </si>
  <si>
    <t>0.9460, 0.9813, 0.9582</t>
  </si>
  <si>
    <t>0.8147, 0.9556, 0.9880</t>
  </si>
  <si>
    <t>0.8076, 0.9475, 0.9800</t>
  </si>
  <si>
    <t>0.8026, 0.9188, 0.9850</t>
  </si>
  <si>
    <t>0.8388, 0.8201, 0.9886</t>
  </si>
  <si>
    <t>0.8051, 0.7545, 0.9892</t>
  </si>
  <si>
    <t>0.8295, 0.6022, 0.9785</t>
  </si>
  <si>
    <t>0.8486, 0.927, 0.9774</t>
  </si>
  <si>
    <t>0.8954, 0.910, 0.9984</t>
  </si>
  <si>
    <t>0.7171, 0.900, 0.9833</t>
  </si>
  <si>
    <t>0.8289, 0.945, 0.8995</t>
  </si>
  <si>
    <t>0.9485, 0.984, 0.9599</t>
  </si>
  <si>
    <t>0.9338, 1.000, 0.6666</t>
  </si>
  <si>
    <t>0.953, 0.572, 0.96429</t>
  </si>
  <si>
    <t>0.947, 0.746, 0.9800</t>
  </si>
  <si>
    <t>0.917, 0.876, 0.9862</t>
  </si>
  <si>
    <t>0.827, 0.788, 0.9884</t>
  </si>
  <si>
    <t>0.617, 0.740, 0.9890</t>
  </si>
  <si>
    <t>0.7620, 0.9019, 0.9592</t>
  </si>
  <si>
    <t>0.8572, 0.9205, 0.9796</t>
  </si>
  <si>
    <t>0.8992, 0.9078, 0.9944</t>
  </si>
  <si>
    <t>0.7492, 0.8872, 0.9820</t>
  </si>
  <si>
    <t>0.8068, 0.9377, 0.9399</t>
  </si>
  <si>
    <t>0.9482, 0.9743, 0.9424</t>
  </si>
  <si>
    <t>0.9931, NA, 0.9937</t>
  </si>
  <si>
    <t>0.8604, 0.9475, 0.9675</t>
  </si>
  <si>
    <t>0.8442, 0.9460, 0.9805</t>
  </si>
  <si>
    <t>0.8366, 0.9098, 0.9828</t>
  </si>
  <si>
    <t>0.8538, 0.8113, 0.9875</t>
  </si>
  <si>
    <t>0.8735, 0.7262, 0.9891</t>
  </si>
  <si>
    <t>0.8234, 0.9312, 0.9792</t>
  </si>
  <si>
    <t>0.7062, 0.9146, 0.9943</t>
  </si>
  <si>
    <t>0.7093, 0.8937, 0.9817</t>
  </si>
  <si>
    <t>0.7670, 0.8040, 0.9410</t>
  </si>
  <si>
    <t>0.9364, 0.9844, 0.9367</t>
  </si>
  <si>
    <t>0.9834, NA, NA</t>
  </si>
  <si>
    <t>0.9921, NA, 0.9937)</t>
  </si>
  <si>
    <t>0.8159, 0.9528, 0.9881</t>
  </si>
  <si>
    <t>0.8058, 0.9487, 0.9799</t>
  </si>
  <si>
    <t>0.8053, 0.6117, 0.9836</t>
  </si>
  <si>
    <t>0.8331, 0.8181, 0.9881</t>
  </si>
  <si>
    <t>0.8035, 0.6499, 0.9892</t>
  </si>
  <si>
    <t>0.8198, 0.4913, 0.9799</t>
  </si>
  <si>
    <t>0.9009, 0.8828, 0.9943</t>
  </si>
  <si>
    <t>0.6780, 0.6380, 0.9823</t>
  </si>
  <si>
    <t>0.7816, 0.6827, 0.9385</t>
  </si>
  <si>
    <t>0.9456, 0.9542, 0.9381</t>
  </si>
  <si>
    <t>0.9930, NA, 0.9937</t>
  </si>
  <si>
    <t>0.8250, 0.6145, 0.9690</t>
  </si>
  <si>
    <t>0.8250, 0.7469, 0.9835</t>
  </si>
  <si>
    <t>0.8126, 0.6686, 0.9841</t>
  </si>
  <si>
    <t>0.8426, 0.7828, 0.9881</t>
  </si>
  <si>
    <t>0.8685, 0.6681, 0.9891</t>
  </si>
  <si>
    <t>0.8511, 0.9262, 0.9793</t>
  </si>
  <si>
    <t>0.8459, 0.9093, 0.9943</t>
  </si>
  <si>
    <t>0.7418, 0.8885, 0.9809</t>
  </si>
  <si>
    <t>0.7859, 0.9453, 0.9334</t>
  </si>
  <si>
    <t>0.9419, 0.9866, 0.9452</t>
  </si>
  <si>
    <t>0.9792, NA, 0.9924</t>
  </si>
  <si>
    <t>0.9531, 0.5723, 0.9665</t>
  </si>
  <si>
    <t>0.9175, 0.8763, 0.9842</t>
  </si>
  <si>
    <t>0.9474, 0.7468, 0.9801</t>
  </si>
  <si>
    <t>0.8277, 0.7882, 0.9885</t>
  </si>
  <si>
    <t>0.6171, 0.7406, 0.9892</t>
  </si>
  <si>
    <t>0.7649, 0.9028, 0.9627</t>
  </si>
  <si>
    <t>0.8948, 0.8348, 0.9900</t>
  </si>
  <si>
    <t>0.5163, 0.8589, 0.9543</t>
  </si>
  <si>
    <t>0.7447, NA, 0.9236</t>
  </si>
  <si>
    <t>0.9351, 0.9743, 0.9033</t>
  </si>
  <si>
    <t>0.9921, NA, NA</t>
  </si>
  <si>
    <t>0.7507, 0.9162, 0.9524</t>
  </si>
  <si>
    <t>0.5231, 0.8586, 0.9536</t>
  </si>
  <si>
    <t>0.7444, NA, 0.9234</t>
  </si>
  <si>
    <t>0.9351, 0.9687, 0.9054</t>
  </si>
  <si>
    <t>0.9733, 0.8647, 0.9984</t>
  </si>
  <si>
    <t>0.6904, 0.4683, 0.9837</t>
  </si>
  <si>
    <t>0.8221, 0.8568, 0.9119</t>
  </si>
  <si>
    <t>0.9531, 0.8623, 0.9600</t>
  </si>
  <si>
    <t>0.9979, 0.9987, 0.6682</t>
  </si>
  <si>
    <t>0.5557, 0.5726, 0.9671</t>
  </si>
  <si>
    <t>0.8085, 0.7462, 0.9856</t>
  </si>
  <si>
    <t>0.8093, 0.8767, 0.9854</t>
  </si>
  <si>
    <t>0.8354, 0.7885, 0.9880</t>
  </si>
  <si>
    <t>0.8686, 0.7403, 0.9892</t>
  </si>
  <si>
    <t>0.9733, 0.8585, 0.9784</t>
  </si>
  <si>
    <t>0.9578, 0.9843, 0.8939</t>
  </si>
  <si>
    <t>0.9449, 0.9565, 0.8965</t>
  </si>
  <si>
    <t xml:space="preserve">3-Fold Cross Validation 3-Datasets Combined </t>
  </si>
  <si>
    <t>3-Fold Cross Validation  3-Datasets Combined</t>
  </si>
  <si>
    <t>Testing 3-Datasets Combined</t>
  </si>
  <si>
    <t>0.8589, 0.9240, 0.9797</t>
  </si>
  <si>
    <t>0.2413, 0.5473, 0.9629</t>
  </si>
  <si>
    <t>0.3800, 0.8208, 0.9184</t>
  </si>
  <si>
    <t>0.5292, 0.4373, 0.1982</t>
  </si>
  <si>
    <t>0.8174, 0.3127, 0.1082</t>
  </si>
  <si>
    <t>0.7592, NA, NA</t>
  </si>
  <si>
    <t>0.9074, 0.9135, 0.9909</t>
  </si>
  <si>
    <t>0.9068, 0.8922, 0.9348</t>
  </si>
  <si>
    <t>0.9036, 0.7078, 0.9717</t>
  </si>
  <si>
    <t>0.8727, 0.4971, 0.9609</t>
  </si>
  <si>
    <t>0.8489, 0.4191, 0.9296</t>
  </si>
  <si>
    <t>0.8270, 0.9275, 0.9769</t>
  </si>
  <si>
    <t>0.3076, 0.5336, 0.8983</t>
  </si>
  <si>
    <t>0.3135, 0.8576, 0.9045</t>
  </si>
  <si>
    <t>0.7360, 0.4341, 0.3384</t>
  </si>
  <si>
    <t>0.7733, 0.3370, 0.1017</t>
  </si>
  <si>
    <t>0.8500, 0.9047, 0.8992</t>
  </si>
  <si>
    <t>0.8548, 0.8713, 0.9022</t>
  </si>
  <si>
    <t>0.8455, 0.6194, 0.8998</t>
  </si>
  <si>
    <t>0.8140, 0.3931, 0.8994</t>
  </si>
  <si>
    <t>0.8374, 0.3005, 0.8983</t>
  </si>
  <si>
    <t>0.7592, 0.3779, 0.9799</t>
  </si>
  <si>
    <t>0.2408, 0.3995, 0.8983</t>
  </si>
  <si>
    <t>0.3060, 0.5468, 0.9523</t>
  </si>
  <si>
    <t>0.5026, 0.3311, 0.3753</t>
  </si>
  <si>
    <t>0.7878, 0.2647, 0.1017</t>
  </si>
  <si>
    <t>0.8300, 0.2059, 0.9808</t>
  </si>
  <si>
    <t>0.7592, 0.4429, 0.9309</t>
  </si>
  <si>
    <t>0.7893, 0.5488, 0.9570</t>
  </si>
  <si>
    <t>0.7054, 0.3961, 0.9570</t>
  </si>
  <si>
    <t>0.7690, 0.3801, 0.8983</t>
  </si>
  <si>
    <t>0.8533, 0.9245, 0.9778</t>
  </si>
  <si>
    <t>0.2488, 0.5740, 0.8985</t>
  </si>
  <si>
    <t>0.3047, 0.8836, 0.9445</t>
  </si>
  <si>
    <t>0.4532, 0.6105, 0.7772</t>
  </si>
  <si>
    <t>0.7752, 0.3431, 0.1026</t>
  </si>
  <si>
    <t>0.6868, NA, NA</t>
  </si>
  <si>
    <t>0.8507, 0.8968, 0.9786</t>
  </si>
  <si>
    <t>0.8449, 0.8787, 0.9788</t>
  </si>
  <si>
    <t>0.8349, 0.7556, 0.9717</t>
  </si>
  <si>
    <t>0.8266, 0.6623, 0.9659</t>
  </si>
  <si>
    <t>0.8140, 0.5659, 0.9333</t>
  </si>
  <si>
    <t>0.7728, 0.8944, 0.9618</t>
  </si>
  <si>
    <t>0.2408, 0.5980, 0.8942</t>
  </si>
  <si>
    <t>0.2408, 0.8417, 0.9385</t>
  </si>
  <si>
    <t>0.7613, NA, 0.4772</t>
  </si>
  <si>
    <t>0.7592, 0.3473, 0.6929</t>
  </si>
  <si>
    <t>0.7742, 0.8485, 0.9695</t>
  </si>
  <si>
    <t>0.7613, NA, 0.4772)</t>
  </si>
  <si>
    <t>0.7592, 0.3473, 0.6929)</t>
  </si>
  <si>
    <t>.7592, NA, NA</t>
  </si>
  <si>
    <t>0.8603, 0.9179, 0.9829</t>
  </si>
  <si>
    <t>0.2447, 0.6625, 0.9721</t>
  </si>
  <si>
    <t>0.4421, 0.8968, 0.9350</t>
  </si>
  <si>
    <t>0.6138, 0.5603, 0.2911</t>
  </si>
  <si>
    <t>0.8232, 0.3583, 0.0974</t>
  </si>
  <si>
    <t>0.7808, 0.1581, 0.0905</t>
  </si>
  <si>
    <t>0.9157, 0.9164, 0.9935</t>
  </si>
  <si>
    <t>0.9181, 0.8968, 0.9221</t>
  </si>
  <si>
    <t>0.9080, 0.7784, 0.9762</t>
  </si>
  <si>
    <t>0.8903, 0.4966, 0.9076</t>
  </si>
  <si>
    <t>0.8479, 0.7290, 0.9715</t>
  </si>
  <si>
    <t>0.8112, 0.6098, 0.9829</t>
  </si>
  <si>
    <t>0.2408, 0.3762, 0.9104</t>
  </si>
  <si>
    <t>0.7940, 0.1936, 0.9262</t>
  </si>
  <si>
    <t>0.7921, 0.2667, 0.8648</t>
  </si>
  <si>
    <t>0.7908, 0.2806, 0.0896</t>
  </si>
  <si>
    <t>.7592, 0.0382, 0.0896</t>
  </si>
  <si>
    <t>0.7874, 0.1417, 0.9836</t>
  </si>
  <si>
    <t>0.7970, 0.5127, 0.9814</t>
  </si>
  <si>
    <t>0.8021, 0.5179, 0.9814</t>
  </si>
  <si>
    <t>0.7879, 0.2605, 0.9104</t>
  </si>
  <si>
    <t>0.7971, 0.3983, 0.9600</t>
  </si>
  <si>
    <t>0.8570, 0.9201, 0.9829</t>
  </si>
  <si>
    <t>0.2445, 0.5934, 0.9829</t>
  </si>
  <si>
    <t>0.3665, 0.9228, 0.9620</t>
  </si>
  <si>
    <t>0.5870, 0.6684, 0.8968</t>
  </si>
  <si>
    <t>0.7250, 0.3689, 0.5709</t>
  </si>
  <si>
    <t>0.7581, 0.0382, 0.0898</t>
  </si>
  <si>
    <t>0.8576, 0.9137, 0.9832</t>
  </si>
  <si>
    <t>0.8485, 0.8797, 0.9810</t>
  </si>
  <si>
    <t>0.8434, 0.8206, 0.9767</t>
  </si>
  <si>
    <t>0.8283, 0.6468, 0.9749</t>
  </si>
  <si>
    <t>0.8221, 0.5000, 0.9592</t>
  </si>
  <si>
    <t>0.7592, 0.0382, 0.0896</t>
  </si>
  <si>
    <t>0.7879, 0.2605, 0.9104)</t>
  </si>
  <si>
    <t>0.7751, 0.8944, 0.9706</t>
  </si>
  <si>
    <t>0.2408, 0.6196, 0.9268</t>
  </si>
  <si>
    <t>0.7592, 0.3615, 0.7500</t>
  </si>
  <si>
    <t>0.8589, 0.9240, 0.9803</t>
  </si>
  <si>
    <t>0.2739, 0.5473, 0.9069</t>
  </si>
  <si>
    <t>0.4662, 0.8208, 0.9438</t>
  </si>
  <si>
    <t>0.6669, 0.4373, 0.5187</t>
  </si>
  <si>
    <t>0.8345, 0.3127, 0.1265</t>
  </si>
  <si>
    <t>0.7890, NA, 0.1004</t>
  </si>
  <si>
    <t>0.9239, 0.9135, 0.9914</t>
  </si>
  <si>
    <t>0.9266, 0.8922, 0.9179</t>
  </si>
  <si>
    <t>0.9167, 0.7078, 0.8473</t>
  </si>
  <si>
    <t>0.8757, 0.4971, 0.9475</t>
  </si>
  <si>
    <t>0.8692, 0.4191, 0.9568</t>
  </si>
  <si>
    <t>0.8270, 0.9275, 0.9778</t>
  </si>
  <si>
    <t>0.3774, 0.5336, 0.9015</t>
  </si>
  <si>
    <t>0.3774, 0.8576, 0.9249</t>
  </si>
  <si>
    <t>0.7659, 0.4341, 0.4804</t>
  </si>
  <si>
    <t>0.7640, 0.3370, 0.1222</t>
  </si>
  <si>
    <t>0.7592, NA, 0.0985</t>
  </si>
  <si>
    <t>0.8604, 0.9047, 0.9030</t>
  </si>
  <si>
    <t>0.8657, 0.9470, 0.9082</t>
  </si>
  <si>
    <t>0.8504, 0.6194, 0.9031</t>
  </si>
  <si>
    <t>0.8231, 0.3931, 0.9026</t>
  </si>
  <si>
    <t>0.8529, 0.3005, 0.9026</t>
  </si>
  <si>
    <t>0.8051, 0.3779, 0.9812</t>
  </si>
  <si>
    <t>0.2408, 0.3995, 0.9015</t>
  </si>
  <si>
    <t>0.4930, 0.5468, 0.9303</t>
  </si>
  <si>
    <t>0.7439, 0.3311, 0.9747</t>
  </si>
  <si>
    <t>0.7592, 0.2806, 0.1190</t>
  </si>
  <si>
    <t>0.7790, 0.0382, 0.0985</t>
  </si>
  <si>
    <t>0.7987, 0.2059, 0.9808</t>
  </si>
  <si>
    <t>0.8003, 0.4429, 0.9778</t>
  </si>
  <si>
    <t>0.8010, 0.5488, 0.9775</t>
  </si>
  <si>
    <t>0.8007, 0.3961, 0.9745</t>
  </si>
  <si>
    <t>0.7483, 0.3801, 0.9015</t>
  </si>
  <si>
    <t>0.8533, 0.9245, 0.9808</t>
  </si>
  <si>
    <t>0.2436, 0.5740, 0.9033</t>
  </si>
  <si>
    <t>0.4611, 0.8836, 0.9724</t>
  </si>
  <si>
    <t>0.7656, 0.6105, 0.9704</t>
  </si>
  <si>
    <t>0.7829, 0.3431, 0.3524</t>
  </si>
  <si>
    <t>0.7629, NA, 0.0982</t>
  </si>
  <si>
    <t>0.8519, 0.8968, 0.9795</t>
  </si>
  <si>
    <t>0.8458, 0.8787, 0.9791</t>
  </si>
  <si>
    <t>0.8382, 0.7556, 0.9743</t>
  </si>
  <si>
    <t>0.7817, 0.6623, 0.9685</t>
  </si>
  <si>
    <t>0.8199, 0.5659, 0.9629</t>
  </si>
  <si>
    <t>0.7728, 0.8944, 0.9667</t>
  </si>
  <si>
    <t>0.2408, 0.5980, 0.9290</t>
  </si>
  <si>
    <t>0.7634, 0.8417, 0.9555</t>
  </si>
  <si>
    <t>0.7592, 0.3473, 0.7500</t>
  </si>
  <si>
    <t>0.7631, 0.8485, 0.9711</t>
  </si>
  <si>
    <t>0.7592, 0.3473, 0.7156</t>
  </si>
  <si>
    <t>0.4466, NA, 0.9557</t>
  </si>
  <si>
    <t>0.7600, NA, 0.9011</t>
  </si>
  <si>
    <t>0.7734, NA, 0.9750</t>
  </si>
  <si>
    <t>0.5846, NA, 0.9557</t>
  </si>
  <si>
    <t>0.7743, NA, 0.9637)</t>
  </si>
  <si>
    <t>0.7743, NA, 0.9637</t>
  </si>
  <si>
    <t>Interval.Overlap.Bins</t>
  </si>
  <si>
    <t xml:space="preserve">   </t>
  </si>
  <si>
    <t xml:space="preserve"> </t>
  </si>
  <si>
    <t>TDA Precesion</t>
  </si>
  <si>
    <t>TDA Recall</t>
  </si>
  <si>
    <t>TDA F1</t>
  </si>
  <si>
    <t>non-TDA Precesion</t>
  </si>
  <si>
    <t>non-TDA Recall</t>
  </si>
  <si>
    <t>non-TDA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</si>
</sst>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333333"/>
      <name val="Courier New"/>
      <family val="1"/>
    </font>
    <font>
      <b/>
      <sz val="10"/>
      <color rgb="FF333333"/>
      <name val="Courier New"/>
      <family val="1"/>
    </font>
    <font>
      <sz val="12"/>
      <color rgb="FF00B050"/>
      <name val="Calibri"/>
      <family val="2"/>
      <scheme val="minor"/>
    </font>
    <font>
      <sz val="10"/>
      <color rgb="FF00B050"/>
      <name val="Courier New"/>
      <family val="1"/>
    </font>
    <font>
      <sz val="10"/>
      <color rgb="FFFF0000"/>
      <name val="Courier New"/>
      <family val="1"/>
    </font>
    <font>
      <sz val="10"/>
      <color rgb="FFC00000"/>
      <name val="Courier New"/>
      <family val="1"/>
    </font>
    <font>
      <sz val="12"/>
      <color rgb="FFC00000"/>
      <name val="Calibri"/>
      <family val="2"/>
      <scheme val="minor"/>
    </font>
    <font>
      <sz val="12"/>
      <color rgb="FFFFC000"/>
      <name val="Calibri"/>
      <family val="2"/>
      <scheme val="minor"/>
    </font>
    <font>
      <sz val="10"/>
      <color theme="1"/>
      <name val="Courier New"/>
      <family val="1"/>
    </font>
    <font>
      <b/>
      <sz val="10"/>
      <color rgb="FF00B050"/>
      <name val="Courier New"/>
      <family val="1"/>
    </font>
    <font>
      <b/>
      <sz val="10"/>
      <color rgb="FFFF0000"/>
      <name val="Courier New"/>
      <family val="1"/>
    </font>
    <font>
      <b/>
      <sz val="10"/>
      <color rgb="FFC00000"/>
      <name val="Courier New"/>
      <family val="1"/>
    </font>
    <font>
      <b/>
      <sz val="10"/>
      <color rgb="FFFFC000"/>
      <name val="Courier New"/>
      <family val="1"/>
    </font>
    <font>
      <b/>
      <sz val="12"/>
      <color rgb="FFFFC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Courier New"/>
      <family val="1"/>
    </font>
    <font>
      <b/>
      <sz val="10"/>
      <color rgb="FF00B050"/>
      <name val="Courier New"/>
      <family val="3"/>
    </font>
    <font>
      <b/>
      <sz val="10"/>
      <color rgb="FFC00000"/>
      <name val="Courier New"/>
      <family val="3"/>
    </font>
    <font>
      <sz val="10"/>
      <color rgb="FF333333"/>
      <name val="Courier New"/>
      <family val="3"/>
    </font>
    <font>
      <b/>
      <sz val="12"/>
      <color rgb="FF000000"/>
      <name val="Calibri"/>
      <family val="2"/>
      <scheme val="minor"/>
    </font>
    <font>
      <sz val="10"/>
      <color rgb="FFC00000"/>
      <name val="Courier New"/>
      <family val="3"/>
    </font>
    <font>
      <sz val="10"/>
      <color theme="1"/>
      <name val="Courier New"/>
      <family val="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  <font>
      <b/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4" fillId="0" borderId="0" xfId="0" applyFont="1"/>
    <xf numFmtId="164" fontId="4" fillId="0" borderId="0" xfId="0" applyNumberFormat="1" applyFont="1"/>
    <xf numFmtId="0" fontId="0" fillId="0" borderId="2" xfId="0" applyBorder="1"/>
    <xf numFmtId="0" fontId="4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 applyAlignment="1">
      <alignment horizontal="right"/>
    </xf>
    <xf numFmtId="164" fontId="0" fillId="0" borderId="3" xfId="0" applyNumberFormat="1" applyBorder="1"/>
    <xf numFmtId="0" fontId="0" fillId="0" borderId="2" xfId="0" applyBorder="1" applyAlignment="1">
      <alignment horizontal="center"/>
    </xf>
    <xf numFmtId="164" fontId="6" fillId="0" borderId="2" xfId="0" applyNumberFormat="1" applyFont="1" applyBorder="1"/>
    <xf numFmtId="164" fontId="3" fillId="0" borderId="2" xfId="0" applyNumberFormat="1" applyFont="1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5" xfId="0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164" fontId="5" fillId="0" borderId="0" xfId="0" applyNumberFormat="1" applyFont="1"/>
    <xf numFmtId="164" fontId="13" fillId="0" borderId="0" xfId="0" applyNumberFormat="1" applyFont="1"/>
    <xf numFmtId="164" fontId="19" fillId="0" borderId="2" xfId="0" applyNumberFormat="1" applyFont="1" applyBorder="1" applyAlignment="1">
      <alignment horizontal="right"/>
    </xf>
    <xf numFmtId="164" fontId="7" fillId="0" borderId="0" xfId="0" applyNumberFormat="1" applyFont="1"/>
    <xf numFmtId="164" fontId="11" fillId="0" borderId="0" xfId="0" applyNumberFormat="1" applyFont="1"/>
    <xf numFmtId="164" fontId="17" fillId="0" borderId="0" xfId="0" applyNumberFormat="1" applyFont="1"/>
    <xf numFmtId="164" fontId="1" fillId="0" borderId="0" xfId="0" applyNumberFormat="1" applyFont="1"/>
    <xf numFmtId="164" fontId="10" fillId="0" borderId="2" xfId="0" applyNumberFormat="1" applyFont="1" applyBorder="1"/>
    <xf numFmtId="164" fontId="20" fillId="0" borderId="2" xfId="0" applyNumberFormat="1" applyFont="1" applyBorder="1"/>
    <xf numFmtId="164" fontId="11" fillId="0" borderId="2" xfId="0" applyNumberFormat="1" applyFont="1" applyBorder="1"/>
    <xf numFmtId="164" fontId="1" fillId="0" borderId="2" xfId="0" applyNumberFormat="1" applyFont="1" applyBorder="1"/>
    <xf numFmtId="164" fontId="19" fillId="0" borderId="2" xfId="0" applyNumberFormat="1" applyFont="1" applyBorder="1"/>
    <xf numFmtId="164" fontId="0" fillId="4" borderId="2" xfId="0" applyNumberFormat="1" applyFill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164" fontId="20" fillId="0" borderId="0" xfId="0" applyNumberFormat="1" applyFont="1"/>
    <xf numFmtId="164" fontId="20" fillId="0" borderId="2" xfId="0" applyNumberFormat="1" applyFont="1" applyBorder="1" applyAlignment="1">
      <alignment horizontal="right"/>
    </xf>
    <xf numFmtId="164" fontId="17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4" fillId="0" borderId="2" xfId="0" applyNumberFormat="1" applyFont="1" applyBorder="1"/>
    <xf numFmtId="164" fontId="12" fillId="0" borderId="2" xfId="0" applyNumberFormat="1" applyFont="1" applyBorder="1"/>
    <xf numFmtId="164" fontId="7" fillId="0" borderId="2" xfId="0" applyNumberFormat="1" applyFont="1" applyBorder="1"/>
    <xf numFmtId="164" fontId="9" fillId="0" borderId="2" xfId="0" applyNumberFormat="1" applyFont="1" applyBorder="1"/>
    <xf numFmtId="164" fontId="15" fillId="0" borderId="0" xfId="0" applyNumberFormat="1" applyFont="1"/>
    <xf numFmtId="164" fontId="16" fillId="0" borderId="0" xfId="0" applyNumberFormat="1" applyFont="1"/>
    <xf numFmtId="164" fontId="5" fillId="0" borderId="2" xfId="0" applyNumberFormat="1" applyFont="1" applyBorder="1"/>
    <xf numFmtId="164" fontId="13" fillId="0" borderId="2" xfId="0" applyNumberFormat="1" applyFont="1" applyBorder="1"/>
    <xf numFmtId="164" fontId="12" fillId="0" borderId="0" xfId="0" applyNumberFormat="1" applyFont="1"/>
    <xf numFmtId="164" fontId="14" fillId="0" borderId="0" xfId="0" applyNumberFormat="1" applyFont="1"/>
    <xf numFmtId="164" fontId="4" fillId="0" borderId="3" xfId="0" applyNumberFormat="1" applyFont="1" applyBorder="1"/>
    <xf numFmtId="164" fontId="16" fillId="0" borderId="2" xfId="0" applyNumberFormat="1" applyFont="1" applyBorder="1"/>
    <xf numFmtId="164" fontId="8" fillId="0" borderId="2" xfId="0" applyNumberFormat="1" applyFont="1" applyBorder="1"/>
    <xf numFmtId="164" fontId="15" fillId="0" borderId="2" xfId="0" applyNumberFormat="1" applyFont="1" applyBorder="1"/>
    <xf numFmtId="164" fontId="4" fillId="4" borderId="0" xfId="0" applyNumberFormat="1" applyFont="1" applyFill="1"/>
    <xf numFmtId="164" fontId="4" fillId="2" borderId="0" xfId="0" applyNumberFormat="1" applyFont="1" applyFill="1"/>
    <xf numFmtId="164" fontId="4" fillId="2" borderId="2" xfId="0" applyNumberFormat="1" applyFont="1" applyFill="1" applyBorder="1"/>
    <xf numFmtId="164" fontId="5" fillId="2" borderId="0" xfId="0" applyNumberFormat="1" applyFont="1" applyFill="1"/>
    <xf numFmtId="164" fontId="0" fillId="2" borderId="2" xfId="0" applyNumberFormat="1" applyFill="1" applyBorder="1"/>
    <xf numFmtId="164" fontId="0" fillId="4" borderId="2" xfId="0" applyNumberFormat="1" applyFill="1" applyBorder="1"/>
    <xf numFmtId="164" fontId="18" fillId="0" borderId="0" xfId="0" applyNumberFormat="1" applyFont="1"/>
    <xf numFmtId="164" fontId="17" fillId="0" borderId="2" xfId="0" applyNumberFormat="1" applyFont="1" applyBorder="1"/>
    <xf numFmtId="164" fontId="4" fillId="3" borderId="0" xfId="0" applyNumberFormat="1" applyFont="1" applyFill="1"/>
    <xf numFmtId="164" fontId="9" fillId="0" borderId="0" xfId="0" applyNumberFormat="1" applyFont="1"/>
    <xf numFmtId="164" fontId="0" fillId="0" borderId="0" xfId="0" applyNumberFormat="1" applyAlignment="1">
      <alignment vertical="center"/>
    </xf>
    <xf numFmtId="164" fontId="0" fillId="0" borderId="5" xfId="0" applyNumberFormat="1" applyBorder="1" applyAlignment="1">
      <alignment vertical="center"/>
    </xf>
    <xf numFmtId="164" fontId="1" fillId="2" borderId="2" xfId="0" applyNumberFormat="1" applyFont="1" applyFill="1" applyBorder="1" applyAlignment="1">
      <alignment horizontal="right"/>
    </xf>
    <xf numFmtId="164" fontId="22" fillId="0" borderId="0" xfId="0" applyNumberFormat="1" applyFont="1"/>
    <xf numFmtId="164" fontId="23" fillId="0" borderId="0" xfId="0" applyNumberFormat="1" applyFont="1"/>
    <xf numFmtId="164" fontId="0" fillId="2" borderId="2" xfId="0" applyNumberFormat="1" applyFill="1" applyBorder="1" applyAlignment="1">
      <alignment horizontal="right"/>
    </xf>
    <xf numFmtId="164" fontId="25" fillId="4" borderId="2" xfId="0" applyNumberFormat="1" applyFont="1" applyFill="1" applyBorder="1"/>
    <xf numFmtId="164" fontId="20" fillId="5" borderId="2" xfId="0" applyNumberFormat="1" applyFont="1" applyFill="1" applyBorder="1"/>
    <xf numFmtId="164" fontId="1" fillId="4" borderId="2" xfId="0" applyNumberFormat="1" applyFont="1" applyFill="1" applyBorder="1"/>
    <xf numFmtId="164" fontId="1" fillId="2" borderId="2" xfId="0" applyNumberFormat="1" applyFont="1" applyFill="1" applyBorder="1"/>
    <xf numFmtId="164" fontId="21" fillId="0" borderId="0" xfId="0" applyNumberFormat="1" applyFont="1"/>
    <xf numFmtId="164" fontId="0" fillId="0" borderId="0" xfId="0" applyNumberFormat="1" applyAlignment="1">
      <alignment horizontal="center"/>
    </xf>
    <xf numFmtId="164" fontId="21" fillId="0" borderId="2" xfId="0" applyNumberFormat="1" applyFont="1" applyBorder="1"/>
    <xf numFmtId="164" fontId="21" fillId="2" borderId="0" xfId="0" applyNumberFormat="1" applyFont="1" applyFill="1"/>
    <xf numFmtId="164" fontId="5" fillId="4" borderId="0" xfId="0" applyNumberFormat="1" applyFont="1" applyFill="1"/>
    <xf numFmtId="164" fontId="21" fillId="4" borderId="0" xfId="0" applyNumberFormat="1" applyFont="1" applyFill="1"/>
    <xf numFmtId="164" fontId="5" fillId="3" borderId="0" xfId="0" applyNumberFormat="1" applyFont="1" applyFill="1"/>
    <xf numFmtId="164" fontId="24" fillId="0" borderId="1" xfId="0" applyNumberFormat="1" applyFont="1" applyBorder="1" applyAlignment="1">
      <alignment vertical="center"/>
    </xf>
    <xf numFmtId="164" fontId="6" fillId="0" borderId="0" xfId="0" applyNumberFormat="1" applyFont="1"/>
    <xf numFmtId="164" fontId="11" fillId="0" borderId="2" xfId="0" applyNumberFormat="1" applyFont="1" applyBorder="1" applyAlignment="1">
      <alignment horizontal="right"/>
    </xf>
    <xf numFmtId="164" fontId="26" fillId="0" borderId="1" xfId="0" applyNumberFormat="1" applyFont="1" applyBorder="1" applyAlignment="1">
      <alignment vertical="center"/>
    </xf>
    <xf numFmtId="164" fontId="15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0" fillId="0" borderId="0" xfId="0" applyNumberFormat="1" applyFont="1"/>
    <xf numFmtId="164" fontId="27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vertical="center"/>
    </xf>
    <xf numFmtId="0" fontId="28" fillId="0" borderId="5" xfId="0" applyFont="1" applyBorder="1" applyAlignment="1">
      <alignment horizontal="left"/>
    </xf>
    <xf numFmtId="0" fontId="28" fillId="0" borderId="5" xfId="0" applyFont="1" applyBorder="1" applyAlignment="1">
      <alignment horizontal="center"/>
    </xf>
    <xf numFmtId="0" fontId="29" fillId="0" borderId="0" xfId="0" applyFont="1" applyAlignment="1">
      <alignment vertical="center"/>
    </xf>
    <xf numFmtId="0" fontId="29" fillId="0" borderId="7" xfId="0" applyFont="1" applyBorder="1" applyAlignment="1">
      <alignment vertical="center"/>
    </xf>
    <xf numFmtId="3" fontId="29" fillId="0" borderId="0" xfId="0" applyNumberFormat="1" applyFont="1" applyAlignment="1">
      <alignment vertical="center"/>
    </xf>
    <xf numFmtId="3" fontId="29" fillId="0" borderId="7" xfId="0" applyNumberFormat="1" applyFont="1" applyBorder="1" applyAlignment="1">
      <alignment vertical="center"/>
    </xf>
    <xf numFmtId="0" fontId="29" fillId="0" borderId="0" xfId="0" applyFont="1"/>
    <xf numFmtId="0" fontId="29" fillId="0" borderId="5" xfId="0" applyFont="1" applyBorder="1"/>
    <xf numFmtId="0" fontId="29" fillId="0" borderId="7" xfId="0" applyFont="1" applyBorder="1"/>
    <xf numFmtId="0" fontId="29" fillId="0" borderId="14" xfId="0" applyFont="1" applyBorder="1"/>
    <xf numFmtId="0" fontId="29" fillId="0" borderId="9" xfId="0" applyFont="1" applyBorder="1"/>
    <xf numFmtId="0" fontId="29" fillId="0" borderId="14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9" fontId="28" fillId="0" borderId="11" xfId="0" applyNumberFormat="1" applyFont="1" applyBorder="1" applyAlignment="1">
      <alignment horizontal="center" vertical="center"/>
    </xf>
    <xf numFmtId="9" fontId="28" fillId="0" borderId="7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9" fillId="0" borderId="2" xfId="0" applyFont="1" applyBorder="1"/>
    <xf numFmtId="0" fontId="29" fillId="0" borderId="4" xfId="0" applyFont="1" applyBorder="1"/>
    <xf numFmtId="0" fontId="29" fillId="0" borderId="17" xfId="0" applyFont="1" applyBorder="1"/>
    <xf numFmtId="0" fontId="29" fillId="0" borderId="8" xfId="0" applyFont="1" applyBorder="1"/>
    <xf numFmtId="0" fontId="29" fillId="0" borderId="13" xfId="0" applyFont="1" applyBorder="1"/>
    <xf numFmtId="0" fontId="29" fillId="0" borderId="3" xfId="0" applyFont="1" applyBorder="1"/>
    <xf numFmtId="0" fontId="30" fillId="0" borderId="0" xfId="0" applyFont="1"/>
    <xf numFmtId="0" fontId="30" fillId="0" borderId="2" xfId="0" applyFont="1" applyBorder="1"/>
    <xf numFmtId="0" fontId="30" fillId="0" borderId="3" xfId="0" applyFont="1" applyBorder="1"/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9" fontId="29" fillId="0" borderId="8" xfId="0" applyNumberFormat="1" applyFont="1" applyBorder="1" applyAlignment="1">
      <alignment horizontal="center"/>
    </xf>
    <xf numFmtId="9" fontId="29" fillId="0" borderId="7" xfId="0" applyNumberFormat="1" applyFont="1" applyBorder="1" applyAlignment="1">
      <alignment horizontal="center"/>
    </xf>
    <xf numFmtId="9" fontId="29" fillId="0" borderId="9" xfId="0" applyNumberFormat="1" applyFont="1" applyBorder="1" applyAlignment="1">
      <alignment horizontal="center"/>
    </xf>
    <xf numFmtId="0" fontId="28" fillId="0" borderId="0" xfId="0" applyFont="1"/>
    <xf numFmtId="0" fontId="28" fillId="0" borderId="5" xfId="0" applyFont="1" applyBorder="1"/>
    <xf numFmtId="0" fontId="28" fillId="0" borderId="4" xfId="0" applyFont="1" applyBorder="1"/>
    <xf numFmtId="0" fontId="28" fillId="0" borderId="14" xfId="0" applyFont="1" applyBorder="1"/>
    <xf numFmtId="0" fontId="28" fillId="0" borderId="11" xfId="0" applyFont="1" applyBorder="1"/>
    <xf numFmtId="9" fontId="28" fillId="0" borderId="8" xfId="0" applyNumberFormat="1" applyFont="1" applyBorder="1" applyAlignment="1">
      <alignment horizontal="center"/>
    </xf>
    <xf numFmtId="9" fontId="28" fillId="0" borderId="7" xfId="0" applyNumberFormat="1" applyFont="1" applyBorder="1" applyAlignment="1">
      <alignment horizontal="center"/>
    </xf>
    <xf numFmtId="0" fontId="28" fillId="0" borderId="8" xfId="0" applyFont="1" applyBorder="1"/>
    <xf numFmtId="0" fontId="28" fillId="0" borderId="7" xfId="0" applyFont="1" applyBorder="1"/>
    <xf numFmtId="0" fontId="28" fillId="0" borderId="13" xfId="0" applyFont="1" applyBorder="1"/>
    <xf numFmtId="0" fontId="28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28" fillId="0" borderId="2" xfId="0" applyFont="1" applyBorder="1"/>
    <xf numFmtId="0" fontId="28" fillId="0" borderId="17" xfId="0" applyFont="1" applyBorder="1"/>
    <xf numFmtId="9" fontId="28" fillId="0" borderId="9" xfId="0" applyNumberFormat="1" applyFont="1" applyBorder="1" applyAlignment="1">
      <alignment horizontal="center"/>
    </xf>
    <xf numFmtId="165" fontId="28" fillId="0" borderId="7" xfId="0" applyNumberFormat="1" applyFont="1" applyBorder="1" applyAlignment="1">
      <alignment horizontal="right" vertical="center"/>
    </xf>
    <xf numFmtId="165" fontId="32" fillId="0" borderId="7" xfId="0" applyNumberFormat="1" applyFont="1" applyBorder="1" applyAlignment="1">
      <alignment horizontal="right"/>
    </xf>
    <xf numFmtId="165" fontId="29" fillId="0" borderId="7" xfId="0" applyNumberFormat="1" applyFont="1" applyBorder="1" applyAlignment="1">
      <alignment horizontal="right" vertical="center"/>
    </xf>
    <xf numFmtId="0" fontId="29" fillId="0" borderId="7" xfId="0" applyFont="1" applyBorder="1" applyAlignment="1">
      <alignment horizontal="center" vertical="center"/>
    </xf>
    <xf numFmtId="165" fontId="29" fillId="0" borderId="7" xfId="0" applyNumberFormat="1" applyFont="1" applyBorder="1" applyAlignment="1">
      <alignment horizontal="center" vertical="center"/>
    </xf>
    <xf numFmtId="165" fontId="33" fillId="0" borderId="7" xfId="0" applyNumberFormat="1" applyFont="1" applyBorder="1" applyAlignment="1">
      <alignment horizontal="right"/>
    </xf>
    <xf numFmtId="165" fontId="33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1" fontId="0" fillId="0" borderId="5" xfId="0" applyNumberFormat="1" applyBorder="1"/>
    <xf numFmtId="164" fontId="17" fillId="5" borderId="2" xfId="0" applyNumberFormat="1" applyFont="1" applyFill="1" applyBorder="1"/>
    <xf numFmtId="165" fontId="33" fillId="0" borderId="7" xfId="0" applyNumberFormat="1" applyFont="1" applyBorder="1" applyAlignment="1">
      <alignment horizontal="center"/>
    </xf>
    <xf numFmtId="164" fontId="33" fillId="0" borderId="7" xfId="0" applyNumberFormat="1" applyFont="1" applyBorder="1" applyAlignment="1">
      <alignment horizontal="right"/>
    </xf>
    <xf numFmtId="164" fontId="28" fillId="0" borderId="7" xfId="0" applyNumberFormat="1" applyFont="1" applyBorder="1" applyAlignment="1">
      <alignment horizontal="right" vertical="center"/>
    </xf>
    <xf numFmtId="164" fontId="29" fillId="0" borderId="7" xfId="0" applyNumberFormat="1" applyFont="1" applyBorder="1" applyAlignment="1">
      <alignment horizontal="right" vertical="center"/>
    </xf>
    <xf numFmtId="164" fontId="32" fillId="0" borderId="7" xfId="0" applyNumberFormat="1" applyFont="1" applyBorder="1" applyAlignment="1">
      <alignment horizontal="right"/>
    </xf>
    <xf numFmtId="164" fontId="33" fillId="0" borderId="7" xfId="0" applyNumberFormat="1" applyFont="1" applyBorder="1" applyAlignment="1">
      <alignment horizontal="center"/>
    </xf>
    <xf numFmtId="164" fontId="29" fillId="0" borderId="7" xfId="0" applyNumberFormat="1" applyFont="1" applyBorder="1" applyAlignment="1">
      <alignment horizontal="center" vertical="center"/>
    </xf>
    <xf numFmtId="164" fontId="33" fillId="0" borderId="7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28" fillId="0" borderId="7" xfId="0" applyFont="1" applyBorder="1" applyAlignment="1">
      <alignment horizontal="center" wrapText="1"/>
    </xf>
    <xf numFmtId="164" fontId="29" fillId="0" borderId="7" xfId="0" applyNumberFormat="1" applyFont="1" applyBorder="1" applyAlignment="1">
      <alignment horizontal="center"/>
    </xf>
    <xf numFmtId="164" fontId="33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/>
    </xf>
    <xf numFmtId="165" fontId="28" fillId="0" borderId="7" xfId="0" applyNumberFormat="1" applyFont="1" applyBorder="1" applyAlignment="1">
      <alignment horizontal="center"/>
    </xf>
    <xf numFmtId="165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right" vertical="center"/>
    </xf>
    <xf numFmtId="165" fontId="29" fillId="0" borderId="0" xfId="0" applyNumberFormat="1" applyFont="1" applyAlignment="1">
      <alignment horizontal="right" vertical="center"/>
    </xf>
    <xf numFmtId="165" fontId="32" fillId="0" borderId="0" xfId="0" applyNumberFormat="1" applyFont="1" applyAlignment="1">
      <alignment horizontal="right"/>
    </xf>
    <xf numFmtId="165" fontId="28" fillId="0" borderId="7" xfId="0" applyNumberFormat="1" applyFont="1" applyBorder="1" applyAlignment="1">
      <alignment horizontal="center" vertical="center"/>
    </xf>
    <xf numFmtId="164" fontId="33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right"/>
    </xf>
    <xf numFmtId="164" fontId="32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right" vertical="center"/>
    </xf>
    <xf numFmtId="164" fontId="28" fillId="0" borderId="0" xfId="0" applyNumberFormat="1" applyFont="1" applyAlignment="1">
      <alignment horizontal="right" vertical="center"/>
    </xf>
    <xf numFmtId="164" fontId="28" fillId="0" borderId="7" xfId="0" applyNumberFormat="1" applyFont="1" applyBorder="1" applyAlignment="1">
      <alignment horizontal="center"/>
    </xf>
    <xf numFmtId="165" fontId="33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right"/>
    </xf>
    <xf numFmtId="165" fontId="29" fillId="0" borderId="7" xfId="0" applyNumberFormat="1" applyFont="1" applyBorder="1" applyAlignment="1">
      <alignment horizontal="center"/>
    </xf>
    <xf numFmtId="165" fontId="33" fillId="0" borderId="0" xfId="0" applyNumberFormat="1" applyFont="1" applyAlignment="1">
      <alignment horizontal="center"/>
    </xf>
    <xf numFmtId="165" fontId="32" fillId="0" borderId="0" xfId="0" applyNumberFormat="1" applyFont="1" applyAlignment="1">
      <alignment horizontal="center"/>
    </xf>
    <xf numFmtId="164" fontId="33" fillId="0" borderId="0" xfId="0" applyNumberFormat="1" applyFont="1"/>
    <xf numFmtId="164" fontId="32" fillId="0" borderId="0" xfId="0" applyNumberFormat="1" applyFont="1"/>
    <xf numFmtId="164" fontId="2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28" fillId="0" borderId="7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0280-0851-1C40-8FD9-0B108F6AF00D}">
  <dimension ref="A1:O31"/>
  <sheetViews>
    <sheetView showGridLines="0" workbookViewId="0">
      <selection activeCell="A17" sqref="A17:I27"/>
    </sheetView>
  </sheetViews>
  <sheetFormatPr baseColWidth="10" defaultColWidth="11" defaultRowHeight="16" x14ac:dyDescent="0.2"/>
  <cols>
    <col min="1" max="1" width="34.33203125" customWidth="1"/>
    <col min="2" max="2" width="22.33203125" customWidth="1"/>
    <col min="11" max="11" width="26.83203125" customWidth="1"/>
    <col min="12" max="12" width="21" customWidth="1"/>
    <col min="13" max="13" width="35.83203125" customWidth="1"/>
    <col min="14" max="14" width="21.33203125" customWidth="1"/>
    <col min="15" max="15" width="29" customWidth="1"/>
  </cols>
  <sheetData>
    <row r="1" spans="1:15" ht="17" thickBot="1" x14ac:dyDescent="0.25">
      <c r="A1" s="94" t="s">
        <v>0</v>
      </c>
      <c r="B1" s="94" t="s">
        <v>107</v>
      </c>
      <c r="C1" s="95" t="s">
        <v>1</v>
      </c>
      <c r="D1" s="98" t="s">
        <v>106</v>
      </c>
      <c r="E1" s="95" t="s">
        <v>2</v>
      </c>
      <c r="F1" s="95" t="s">
        <v>3</v>
      </c>
      <c r="G1" s="95" t="s">
        <v>4</v>
      </c>
      <c r="H1" s="95" t="s">
        <v>5</v>
      </c>
      <c r="I1" s="95" t="s">
        <v>6</v>
      </c>
      <c r="J1" s="1"/>
      <c r="K1" s="5" t="s">
        <v>20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ht="17" x14ac:dyDescent="0.2">
      <c r="A2" s="3" t="s">
        <v>7</v>
      </c>
      <c r="B2" s="3"/>
      <c r="C2" s="3">
        <v>48842</v>
      </c>
      <c r="D2" s="3">
        <v>48842</v>
      </c>
      <c r="E2" s="3">
        <v>15</v>
      </c>
      <c r="F2" s="3">
        <v>1</v>
      </c>
      <c r="G2" s="3">
        <v>1</v>
      </c>
      <c r="H2" s="3">
        <v>0</v>
      </c>
      <c r="I2" s="3">
        <v>0</v>
      </c>
      <c r="J2" s="3"/>
      <c r="K2" s="3" t="s">
        <v>24</v>
      </c>
      <c r="L2" s="3" t="s">
        <v>15</v>
      </c>
      <c r="M2" s="4" t="s">
        <v>26</v>
      </c>
      <c r="N2" s="3" t="s">
        <v>34</v>
      </c>
    </row>
    <row r="3" spans="1:15" ht="17" x14ac:dyDescent="0.2">
      <c r="A3" s="3" t="s">
        <v>8</v>
      </c>
      <c r="B3" s="3"/>
      <c r="C3" s="3">
        <v>13611</v>
      </c>
      <c r="D3" s="3">
        <v>13611</v>
      </c>
      <c r="E3" s="3">
        <v>17</v>
      </c>
      <c r="F3" s="3">
        <v>1</v>
      </c>
      <c r="G3" s="3">
        <v>1</v>
      </c>
      <c r="H3" s="3">
        <v>0</v>
      </c>
      <c r="I3" s="3">
        <v>0</v>
      </c>
      <c r="J3" s="3"/>
      <c r="K3" s="3" t="s">
        <v>24</v>
      </c>
      <c r="L3" s="3" t="s">
        <v>15</v>
      </c>
      <c r="M3" s="4" t="s">
        <v>24</v>
      </c>
      <c r="N3" s="3"/>
    </row>
    <row r="4" spans="1:15" ht="68" x14ac:dyDescent="0.2">
      <c r="A4" s="3" t="s">
        <v>9</v>
      </c>
      <c r="B4" s="3"/>
      <c r="C4" s="3">
        <v>1025010</v>
      </c>
      <c r="D4" s="3">
        <v>1000</v>
      </c>
      <c r="E4" s="3">
        <v>11</v>
      </c>
      <c r="F4" s="3">
        <v>1</v>
      </c>
      <c r="G4" s="3">
        <v>1</v>
      </c>
      <c r="H4" s="3">
        <v>0</v>
      </c>
      <c r="I4" s="3">
        <v>0</v>
      </c>
      <c r="J4" s="3"/>
      <c r="K4" s="3" t="s">
        <v>24</v>
      </c>
      <c r="L4" s="3" t="s">
        <v>29</v>
      </c>
      <c r="M4" s="4" t="s">
        <v>28</v>
      </c>
    </row>
    <row r="5" spans="1:15" ht="17" x14ac:dyDescent="0.2">
      <c r="A5" s="3" t="s">
        <v>10</v>
      </c>
      <c r="B5" s="3"/>
      <c r="C5" s="3">
        <v>6819</v>
      </c>
      <c r="D5" s="3">
        <v>6819</v>
      </c>
      <c r="E5" s="3">
        <v>96</v>
      </c>
      <c r="F5" s="3">
        <v>1</v>
      </c>
      <c r="G5" s="3">
        <v>1</v>
      </c>
      <c r="H5" s="3">
        <v>0</v>
      </c>
      <c r="I5" s="3">
        <v>0</v>
      </c>
      <c r="J5" s="3"/>
      <c r="K5" s="3" t="s">
        <v>24</v>
      </c>
      <c r="L5" s="3" t="s">
        <v>15</v>
      </c>
      <c r="M5" s="4" t="s">
        <v>24</v>
      </c>
    </row>
    <row r="6" spans="1:15" ht="17" x14ac:dyDescent="0.2">
      <c r="A6" s="3" t="s">
        <v>11</v>
      </c>
      <c r="B6" s="3"/>
      <c r="C6" s="3">
        <v>17898</v>
      </c>
      <c r="D6" s="3">
        <v>17898</v>
      </c>
      <c r="E6" s="3">
        <v>9</v>
      </c>
      <c r="F6" s="3">
        <v>1</v>
      </c>
      <c r="G6" s="3">
        <v>1</v>
      </c>
      <c r="H6" s="3">
        <v>0</v>
      </c>
      <c r="I6" s="3">
        <v>0</v>
      </c>
      <c r="J6" s="3"/>
      <c r="K6" s="3" t="s">
        <v>24</v>
      </c>
      <c r="L6" s="3" t="s">
        <v>15</v>
      </c>
      <c r="M6" s="4" t="s">
        <v>24</v>
      </c>
    </row>
    <row r="7" spans="1:15" ht="17" x14ac:dyDescent="0.2">
      <c r="A7" s="3" t="s">
        <v>12</v>
      </c>
      <c r="B7" s="3"/>
      <c r="C7" s="3">
        <v>12684</v>
      </c>
      <c r="D7" s="3">
        <v>1000</v>
      </c>
      <c r="E7" s="3">
        <v>121</v>
      </c>
      <c r="F7" s="3">
        <v>1</v>
      </c>
      <c r="G7" s="3">
        <v>1</v>
      </c>
      <c r="H7" s="3">
        <v>0</v>
      </c>
      <c r="I7" s="3">
        <v>0</v>
      </c>
      <c r="J7" s="3"/>
      <c r="K7" s="3" t="s">
        <v>24</v>
      </c>
      <c r="L7" s="3" t="s">
        <v>15</v>
      </c>
      <c r="M7" s="4" t="s">
        <v>24</v>
      </c>
    </row>
    <row r="8" spans="1:15" ht="17" x14ac:dyDescent="0.2">
      <c r="A8" s="3" t="s">
        <v>13</v>
      </c>
      <c r="B8" s="3"/>
      <c r="C8" s="3">
        <v>123117</v>
      </c>
      <c r="D8" s="3">
        <v>1000</v>
      </c>
      <c r="E8" s="3">
        <v>107</v>
      </c>
      <c r="F8" s="3">
        <v>1</v>
      </c>
      <c r="G8" s="3">
        <v>1</v>
      </c>
      <c r="H8" s="3">
        <v>0</v>
      </c>
      <c r="I8" s="3">
        <v>0</v>
      </c>
      <c r="J8" s="3"/>
      <c r="K8" s="3" t="s">
        <v>24</v>
      </c>
      <c r="L8" s="3" t="s">
        <v>15</v>
      </c>
      <c r="M8" s="4" t="s">
        <v>26</v>
      </c>
    </row>
    <row r="9" spans="1:15" ht="17" x14ac:dyDescent="0.2">
      <c r="A9" s="3" t="s">
        <v>17</v>
      </c>
      <c r="B9" s="3"/>
      <c r="C9" s="3">
        <v>235795</v>
      </c>
      <c r="D9" s="3">
        <v>1000</v>
      </c>
      <c r="E9" s="3">
        <v>51</v>
      </c>
      <c r="F9" s="3">
        <v>1</v>
      </c>
      <c r="G9" s="3">
        <v>1</v>
      </c>
      <c r="H9" s="3">
        <v>0</v>
      </c>
      <c r="I9" s="3">
        <v>0</v>
      </c>
      <c r="J9" s="3"/>
      <c r="K9" s="3" t="s">
        <v>24</v>
      </c>
      <c r="L9" s="3" t="s">
        <v>15</v>
      </c>
      <c r="M9" s="4" t="s">
        <v>24</v>
      </c>
    </row>
    <row r="10" spans="1:15" ht="17" x14ac:dyDescent="0.2">
      <c r="A10" s="3" t="s">
        <v>16</v>
      </c>
      <c r="B10" s="3"/>
      <c r="C10" s="3">
        <v>2916697</v>
      </c>
      <c r="D10" s="3">
        <v>1000</v>
      </c>
      <c r="E10" s="3">
        <v>12</v>
      </c>
      <c r="F10" s="3">
        <v>1</v>
      </c>
      <c r="G10" s="3">
        <v>1</v>
      </c>
      <c r="H10" s="3">
        <v>0</v>
      </c>
      <c r="I10" s="3">
        <v>0</v>
      </c>
      <c r="J10" s="3"/>
      <c r="K10" s="3" t="s">
        <v>24</v>
      </c>
      <c r="L10" s="3" t="s">
        <v>18</v>
      </c>
      <c r="M10" s="4" t="s">
        <v>27</v>
      </c>
    </row>
    <row r="11" spans="1:15" ht="34" x14ac:dyDescent="0.2">
      <c r="A11" s="3" t="s">
        <v>19</v>
      </c>
      <c r="B11" s="3"/>
      <c r="C11" s="3">
        <v>101766</v>
      </c>
      <c r="D11" s="3">
        <v>1000</v>
      </c>
      <c r="E11" s="3">
        <v>46</v>
      </c>
      <c r="F11" s="3" t="s">
        <v>24</v>
      </c>
      <c r="G11" s="3" t="s">
        <v>24</v>
      </c>
      <c r="H11" s="3" t="s">
        <v>24</v>
      </c>
      <c r="I11" s="3" t="s">
        <v>24</v>
      </c>
      <c r="J11" s="3"/>
      <c r="K11" s="3" t="s">
        <v>21</v>
      </c>
      <c r="L11" s="3" t="s">
        <v>18</v>
      </c>
      <c r="M11" s="4" t="s">
        <v>22</v>
      </c>
    </row>
    <row r="12" spans="1:15" ht="52" thickBot="1" x14ac:dyDescent="0.25">
      <c r="A12" s="96" t="s">
        <v>23</v>
      </c>
      <c r="B12" s="96"/>
      <c r="C12" s="96">
        <v>65532</v>
      </c>
      <c r="D12" s="96">
        <v>1000</v>
      </c>
      <c r="E12" s="96">
        <v>15</v>
      </c>
      <c r="F12" s="96">
        <v>1</v>
      </c>
      <c r="G12" s="96">
        <v>1</v>
      </c>
      <c r="H12" s="96">
        <v>0</v>
      </c>
      <c r="I12" s="96">
        <v>0</v>
      </c>
      <c r="J12" s="3"/>
      <c r="K12" s="3" t="s">
        <v>24</v>
      </c>
      <c r="L12" s="3" t="s">
        <v>29</v>
      </c>
      <c r="M12" s="4" t="s">
        <v>25</v>
      </c>
    </row>
    <row r="13" spans="1: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7" spans="1:9" ht="17" thickBot="1" x14ac:dyDescent="0.25">
      <c r="A17" s="97" t="s">
        <v>0</v>
      </c>
      <c r="B17" s="97" t="s">
        <v>186</v>
      </c>
      <c r="C17" s="98" t="s">
        <v>1</v>
      </c>
      <c r="D17" s="98" t="s">
        <v>106</v>
      </c>
      <c r="E17" s="98" t="s">
        <v>2</v>
      </c>
      <c r="F17" s="98" t="s">
        <v>3</v>
      </c>
      <c r="G17" s="98" t="s">
        <v>4</v>
      </c>
      <c r="H17" s="98" t="s">
        <v>5</v>
      </c>
      <c r="I17" s="98" t="s">
        <v>6</v>
      </c>
    </row>
    <row r="18" spans="1:9" x14ac:dyDescent="0.2">
      <c r="A18" s="99" t="s">
        <v>7</v>
      </c>
      <c r="B18" s="99" t="s">
        <v>118</v>
      </c>
      <c r="C18" s="101">
        <v>48842</v>
      </c>
      <c r="D18" s="101">
        <v>48842</v>
      </c>
      <c r="E18" s="101">
        <v>15</v>
      </c>
      <c r="F18" s="101">
        <v>1</v>
      </c>
      <c r="G18" s="101">
        <v>1</v>
      </c>
      <c r="H18" s="101">
        <v>0</v>
      </c>
      <c r="I18" s="101">
        <v>0</v>
      </c>
    </row>
    <row r="19" spans="1:9" x14ac:dyDescent="0.2">
      <c r="A19" s="99" t="s">
        <v>8</v>
      </c>
      <c r="B19" s="99" t="s">
        <v>117</v>
      </c>
      <c r="C19" s="101">
        <v>13611</v>
      </c>
      <c r="D19" s="101">
        <v>13611</v>
      </c>
      <c r="E19" s="101">
        <v>17</v>
      </c>
      <c r="F19" s="101">
        <v>1</v>
      </c>
      <c r="G19" s="101">
        <v>1</v>
      </c>
      <c r="H19" s="101">
        <v>0</v>
      </c>
      <c r="I19" s="101">
        <v>0</v>
      </c>
    </row>
    <row r="20" spans="1:9" x14ac:dyDescent="0.2">
      <c r="A20" s="99" t="s">
        <v>114</v>
      </c>
      <c r="B20" s="99" t="s">
        <v>116</v>
      </c>
      <c r="C20" s="101">
        <v>1025010</v>
      </c>
      <c r="D20" s="101">
        <v>1000</v>
      </c>
      <c r="E20" s="101">
        <v>11</v>
      </c>
      <c r="F20" s="101">
        <v>1</v>
      </c>
      <c r="G20" s="101">
        <v>1</v>
      </c>
      <c r="H20" s="101">
        <v>0</v>
      </c>
      <c r="I20" s="101">
        <v>0</v>
      </c>
    </row>
    <row r="21" spans="1:9" x14ac:dyDescent="0.2">
      <c r="A21" s="99" t="s">
        <v>185</v>
      </c>
      <c r="B21" s="99" t="s">
        <v>115</v>
      </c>
      <c r="C21" s="101">
        <v>6819</v>
      </c>
      <c r="D21" s="101">
        <v>6819</v>
      </c>
      <c r="E21" s="101">
        <v>96</v>
      </c>
      <c r="F21" s="101">
        <v>1</v>
      </c>
      <c r="G21" s="101">
        <v>1</v>
      </c>
      <c r="H21" s="101">
        <v>0</v>
      </c>
      <c r="I21" s="101">
        <v>0</v>
      </c>
    </row>
    <row r="22" spans="1:9" x14ac:dyDescent="0.2">
      <c r="A22" s="99" t="s">
        <v>11</v>
      </c>
      <c r="B22" s="99" t="s">
        <v>113</v>
      </c>
      <c r="C22" s="101">
        <v>17898</v>
      </c>
      <c r="D22" s="101">
        <v>17898</v>
      </c>
      <c r="E22" s="101">
        <v>9</v>
      </c>
      <c r="F22" s="101">
        <v>1</v>
      </c>
      <c r="G22" s="101">
        <v>1</v>
      </c>
      <c r="H22" s="101">
        <v>0</v>
      </c>
      <c r="I22" s="101">
        <v>0</v>
      </c>
    </row>
    <row r="23" spans="1:9" x14ac:dyDescent="0.2">
      <c r="A23" s="99" t="s">
        <v>119</v>
      </c>
      <c r="B23" s="99" t="s">
        <v>112</v>
      </c>
      <c r="C23" s="101">
        <v>12684</v>
      </c>
      <c r="D23" s="101">
        <v>1000</v>
      </c>
      <c r="E23" s="101">
        <v>121</v>
      </c>
      <c r="F23" s="101">
        <v>1</v>
      </c>
      <c r="G23" s="101">
        <v>1</v>
      </c>
      <c r="H23" s="101">
        <v>0</v>
      </c>
      <c r="I23" s="101">
        <v>0</v>
      </c>
    </row>
    <row r="24" spans="1:9" x14ac:dyDescent="0.2">
      <c r="A24" s="99" t="s">
        <v>122</v>
      </c>
      <c r="B24" s="99" t="s">
        <v>111</v>
      </c>
      <c r="C24" s="101">
        <v>123117</v>
      </c>
      <c r="D24" s="101">
        <v>1000</v>
      </c>
      <c r="E24" s="101">
        <v>107</v>
      </c>
      <c r="F24" s="101">
        <v>1</v>
      </c>
      <c r="G24" s="101">
        <v>1</v>
      </c>
      <c r="H24" s="101">
        <v>0</v>
      </c>
      <c r="I24" s="101">
        <v>0</v>
      </c>
    </row>
    <row r="25" spans="1:9" x14ac:dyDescent="0.2">
      <c r="A25" s="99" t="s">
        <v>120</v>
      </c>
      <c r="B25" s="99" t="s">
        <v>110</v>
      </c>
      <c r="C25" s="101">
        <v>235795</v>
      </c>
      <c r="D25" s="101">
        <v>1000</v>
      </c>
      <c r="E25" s="101">
        <v>51</v>
      </c>
      <c r="F25" s="101">
        <v>1</v>
      </c>
      <c r="G25" s="101">
        <v>1</v>
      </c>
      <c r="H25" s="101">
        <v>0</v>
      </c>
      <c r="I25" s="101">
        <v>0</v>
      </c>
    </row>
    <row r="26" spans="1:9" x14ac:dyDescent="0.2">
      <c r="A26" s="99" t="s">
        <v>16</v>
      </c>
      <c r="B26" s="99" t="s">
        <v>109</v>
      </c>
      <c r="C26" s="101">
        <v>2916697</v>
      </c>
      <c r="D26" s="101">
        <v>1000</v>
      </c>
      <c r="E26" s="101">
        <v>12</v>
      </c>
      <c r="F26" s="101">
        <v>1</v>
      </c>
      <c r="G26" s="101">
        <v>1</v>
      </c>
      <c r="H26" s="101">
        <v>0</v>
      </c>
      <c r="I26" s="101">
        <v>0</v>
      </c>
    </row>
    <row r="27" spans="1:9" ht="17" thickBot="1" x14ac:dyDescent="0.25">
      <c r="A27" s="100" t="s">
        <v>121</v>
      </c>
      <c r="B27" s="100" t="s">
        <v>108</v>
      </c>
      <c r="C27" s="102">
        <v>65532</v>
      </c>
      <c r="D27" s="102">
        <v>1000</v>
      </c>
      <c r="E27" s="102">
        <v>15</v>
      </c>
      <c r="F27" s="102">
        <v>1</v>
      </c>
      <c r="G27" s="102">
        <v>1</v>
      </c>
      <c r="H27" s="102">
        <v>0</v>
      </c>
      <c r="I27" s="102">
        <v>0</v>
      </c>
    </row>
    <row r="31" spans="1:9" x14ac:dyDescent="0.2">
      <c r="I3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138-4206-A64E-81F8-FB764E14DD34}">
  <dimension ref="B8:F14"/>
  <sheetViews>
    <sheetView showGridLines="0" workbookViewId="0">
      <selection activeCell="B8" sqref="B8:F14"/>
    </sheetView>
  </sheetViews>
  <sheetFormatPr baseColWidth="10" defaultRowHeight="16" x14ac:dyDescent="0.2"/>
  <cols>
    <col min="3" max="3" width="17.6640625" customWidth="1"/>
    <col min="4" max="4" width="12.6640625" customWidth="1"/>
    <col min="5" max="5" width="12.1640625" customWidth="1"/>
    <col min="6" max="6" width="17.5" customWidth="1"/>
  </cols>
  <sheetData>
    <row r="8" spans="2:6" x14ac:dyDescent="0.2">
      <c r="B8" s="209" t="s">
        <v>105</v>
      </c>
      <c r="C8" s="209"/>
      <c r="D8" s="209"/>
      <c r="E8" s="209"/>
      <c r="F8" s="209"/>
    </row>
    <row r="9" spans="2:6" ht="17" thickBot="1" x14ac:dyDescent="0.25">
      <c r="B9" s="104"/>
      <c r="C9" s="104"/>
      <c r="D9" s="210" t="s">
        <v>95</v>
      </c>
      <c r="E9" s="211"/>
      <c r="F9" s="211"/>
    </row>
    <row r="10" spans="2:6" ht="17" thickBot="1" x14ac:dyDescent="0.25">
      <c r="B10" s="105"/>
      <c r="C10" s="105"/>
      <c r="D10" s="111">
        <v>0.4</v>
      </c>
      <c r="E10" s="111">
        <v>0.5</v>
      </c>
      <c r="F10" s="112">
        <v>0.6</v>
      </c>
    </row>
    <row r="11" spans="2:6" ht="17" thickBot="1" x14ac:dyDescent="0.25">
      <c r="B11" s="215" t="s">
        <v>97</v>
      </c>
      <c r="C11" s="212" t="s">
        <v>96</v>
      </c>
      <c r="D11" s="109" t="s">
        <v>89</v>
      </c>
      <c r="E11" s="109" t="s">
        <v>90</v>
      </c>
      <c r="F11" s="113" t="s">
        <v>91</v>
      </c>
    </row>
    <row r="12" spans="2:6" ht="17" thickBot="1" x14ac:dyDescent="0.25">
      <c r="B12" s="216"/>
      <c r="C12" s="213"/>
      <c r="D12" s="108" t="s">
        <v>99</v>
      </c>
      <c r="E12" s="108" t="s">
        <v>100</v>
      </c>
      <c r="F12" s="114" t="s">
        <v>101</v>
      </c>
    </row>
    <row r="13" spans="2:6" ht="17" thickBot="1" x14ac:dyDescent="0.25">
      <c r="B13" s="216"/>
      <c r="C13" s="214" t="s">
        <v>98</v>
      </c>
      <c r="D13" s="110" t="s">
        <v>92</v>
      </c>
      <c r="E13" s="110" t="s">
        <v>93</v>
      </c>
      <c r="F13" s="115" t="s">
        <v>94</v>
      </c>
    </row>
    <row r="14" spans="2:6" ht="17" thickBot="1" x14ac:dyDescent="0.25">
      <c r="B14" s="217"/>
      <c r="C14" s="213"/>
      <c r="D14" s="108" t="s">
        <v>102</v>
      </c>
      <c r="E14" s="108" t="s">
        <v>103</v>
      </c>
      <c r="F14" s="114" t="s">
        <v>104</v>
      </c>
    </row>
  </sheetData>
  <mergeCells count="5">
    <mergeCell ref="B8:F8"/>
    <mergeCell ref="D9:F9"/>
    <mergeCell ref="C11:C12"/>
    <mergeCell ref="C13:C14"/>
    <mergeCell ref="B11:B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8BC4-6CA5-E442-886F-C9945C230A84}">
  <dimension ref="A1:FK99"/>
  <sheetViews>
    <sheetView zoomScale="130" zoomScaleNormal="130" workbookViewId="0">
      <pane xSplit="4" ySplit="3" topLeftCell="EV36" activePane="bottomRight" state="frozen"/>
      <selection pane="topRight" activeCell="E1" sqref="E1"/>
      <selection pane="bottomLeft" activeCell="A4" sqref="A4"/>
      <selection pane="bottomRight" activeCell="EX60" sqref="EX60:EZ60"/>
    </sheetView>
  </sheetViews>
  <sheetFormatPr baseColWidth="10" defaultColWidth="11" defaultRowHeight="16" x14ac:dyDescent="0.2"/>
  <cols>
    <col min="2" max="2" width="31.83203125" customWidth="1"/>
    <col min="7" max="7" width="10.83203125" style="11"/>
    <col min="11" max="11" width="10.83203125" style="11"/>
    <col min="25" max="25" width="10.83203125" style="11"/>
    <col min="39" max="39" width="10.83203125" style="11"/>
    <col min="40" max="42" width="10.83203125"/>
    <col min="43" max="43" width="13.33203125" style="11" customWidth="1"/>
    <col min="57" max="57" width="13.33203125" style="11" customWidth="1"/>
    <col min="71" max="71" width="10.83203125" style="11"/>
    <col min="75" max="75" width="10.83203125" style="11"/>
    <col min="89" max="89" width="13.5" style="11" customWidth="1"/>
    <col min="103" max="103" width="10.83203125" style="11"/>
    <col min="104" max="106" width="10.83203125"/>
    <col min="107" max="107" width="10.83203125" style="11"/>
    <col min="108" max="119" width="10.83203125"/>
    <col min="121" max="121" width="13.5" style="11" customWidth="1"/>
    <col min="135" max="135" width="10.83203125" style="11"/>
    <col min="139" max="139" width="13" style="11" bestFit="1" customWidth="1"/>
    <col min="153" max="153" width="10.83203125" style="11"/>
    <col min="167" max="167" width="10.83203125" style="11"/>
  </cols>
  <sheetData>
    <row r="1" spans="2:166" x14ac:dyDescent="0.2">
      <c r="G1" s="219" t="s">
        <v>14</v>
      </c>
      <c r="H1" s="219"/>
      <c r="I1" s="219"/>
      <c r="J1" s="219"/>
      <c r="K1" s="219" t="s">
        <v>51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 t="s">
        <v>59</v>
      </c>
      <c r="Z1" s="219"/>
      <c r="AA1" s="219"/>
      <c r="AB1" s="219"/>
      <c r="AC1" s="6"/>
      <c r="AE1" s="6"/>
      <c r="AF1" s="6"/>
      <c r="AH1" s="6"/>
      <c r="AI1" s="6"/>
      <c r="AK1" s="6"/>
      <c r="AL1" s="6"/>
      <c r="AM1" s="218" t="s">
        <v>14</v>
      </c>
      <c r="AN1" s="219"/>
      <c r="AO1" s="219"/>
      <c r="AP1" s="220"/>
      <c r="AQ1" s="11" t="s">
        <v>62</v>
      </c>
      <c r="BE1" s="11" t="s">
        <v>61</v>
      </c>
      <c r="BS1" s="219" t="s">
        <v>14</v>
      </c>
      <c r="BT1" s="219"/>
      <c r="BU1" s="219"/>
      <c r="BV1" s="219"/>
      <c r="BW1" s="11" t="s">
        <v>63</v>
      </c>
      <c r="CA1" s="6"/>
      <c r="CB1" s="6"/>
      <c r="CC1" s="6"/>
      <c r="CD1" s="6"/>
      <c r="CE1" s="6"/>
      <c r="CF1" s="6"/>
      <c r="CG1" s="6"/>
      <c r="CH1" s="6"/>
      <c r="CI1" s="6"/>
      <c r="CJ1" s="6"/>
      <c r="CK1" s="11" t="s">
        <v>64</v>
      </c>
      <c r="CO1" s="6"/>
      <c r="CP1" s="6"/>
      <c r="CQ1" s="6"/>
      <c r="CR1" s="6"/>
      <c r="CS1" s="6"/>
      <c r="CT1" s="6"/>
      <c r="CU1" s="6"/>
      <c r="CV1" s="6"/>
      <c r="CW1" s="6"/>
      <c r="CX1" s="6"/>
      <c r="CY1" s="219" t="s">
        <v>14</v>
      </c>
      <c r="CZ1" s="219"/>
      <c r="DA1" s="219"/>
      <c r="DB1" s="220"/>
      <c r="DC1" s="11" t="s">
        <v>63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11" t="s">
        <v>64</v>
      </c>
      <c r="DU1" s="6"/>
      <c r="DV1" s="6"/>
      <c r="DW1" s="6"/>
      <c r="DX1" s="6"/>
      <c r="DY1" s="6"/>
      <c r="DZ1" s="6"/>
      <c r="EA1" s="6"/>
      <c r="EB1" s="6"/>
      <c r="EC1" s="6"/>
      <c r="ED1" s="6"/>
      <c r="EE1" s="218" t="s">
        <v>14</v>
      </c>
      <c r="EF1" s="219"/>
      <c r="EG1" s="219"/>
      <c r="EH1" s="220"/>
      <c r="EI1" s="11" t="s">
        <v>63</v>
      </c>
      <c r="EM1" s="6"/>
      <c r="EN1" s="6"/>
      <c r="EO1" s="6"/>
      <c r="EP1" s="6"/>
      <c r="EQ1" s="6"/>
      <c r="ER1" s="6"/>
      <c r="ES1" s="6"/>
      <c r="ET1" s="6"/>
      <c r="EU1" s="6"/>
      <c r="EV1" s="6"/>
      <c r="EW1" s="11" t="s">
        <v>64</v>
      </c>
      <c r="FA1" s="6"/>
      <c r="FB1" s="6"/>
      <c r="FC1" s="6"/>
      <c r="FD1" s="6"/>
      <c r="FE1" s="6"/>
      <c r="FF1" s="6"/>
      <c r="FG1" s="6"/>
      <c r="FH1" s="6"/>
      <c r="FI1" s="6"/>
      <c r="FJ1" s="6"/>
    </row>
    <row r="2" spans="2:166" x14ac:dyDescent="0.2">
      <c r="G2" s="219" t="s">
        <v>45</v>
      </c>
      <c r="H2" s="219"/>
      <c r="I2" s="219"/>
      <c r="J2" s="219"/>
      <c r="K2" s="219" t="s">
        <v>45</v>
      </c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 t="s">
        <v>45</v>
      </c>
      <c r="Z2" s="219"/>
      <c r="AA2" s="219"/>
      <c r="AB2" s="219"/>
      <c r="AC2" s="6"/>
      <c r="AE2" s="6"/>
      <c r="AF2" s="6"/>
      <c r="AH2" s="6"/>
      <c r="AI2" s="6"/>
      <c r="AK2" s="6"/>
      <c r="AL2" s="6"/>
      <c r="AM2" s="218" t="s">
        <v>46</v>
      </c>
      <c r="AN2" s="219"/>
      <c r="AO2" s="219"/>
      <c r="AP2" s="220"/>
      <c r="AQ2" s="11" t="s">
        <v>46</v>
      </c>
      <c r="BE2" s="11" t="s">
        <v>46</v>
      </c>
      <c r="BS2" s="219" t="s">
        <v>50</v>
      </c>
      <c r="BT2" s="219"/>
      <c r="BU2" s="219"/>
      <c r="BV2" s="219"/>
      <c r="BW2" s="18" t="s">
        <v>50</v>
      </c>
      <c r="CA2" s="6"/>
      <c r="CB2" s="6"/>
      <c r="CC2" s="6"/>
      <c r="CD2" s="6"/>
      <c r="CE2" s="6"/>
      <c r="CF2" s="6"/>
      <c r="CG2" s="6"/>
      <c r="CH2" s="6"/>
      <c r="CI2" s="6"/>
      <c r="CJ2" s="6"/>
      <c r="CK2" s="18" t="s">
        <v>50</v>
      </c>
      <c r="CO2" s="6"/>
      <c r="CP2" s="6"/>
      <c r="CQ2" s="6"/>
      <c r="CR2" s="6"/>
      <c r="CS2" s="6"/>
      <c r="CT2" s="6"/>
      <c r="CU2" s="6"/>
      <c r="CV2" s="6"/>
      <c r="CW2" s="6"/>
      <c r="CX2" s="6"/>
      <c r="CY2" s="219" t="s">
        <v>47</v>
      </c>
      <c r="CZ2" s="219"/>
      <c r="DA2" s="219"/>
      <c r="DB2" s="220"/>
      <c r="DC2" s="18" t="s">
        <v>47</v>
      </c>
      <c r="DG2" s="6"/>
      <c r="DH2" s="6"/>
      <c r="DI2" s="6"/>
      <c r="DJ2" s="6"/>
      <c r="DK2" s="6"/>
      <c r="DL2" s="6"/>
      <c r="DM2" s="6"/>
      <c r="DN2" s="6"/>
      <c r="DO2" s="6"/>
      <c r="DP2" s="6"/>
      <c r="DQ2" s="18" t="s">
        <v>47</v>
      </c>
      <c r="DU2" s="6"/>
      <c r="DV2" s="6"/>
      <c r="DW2" s="6"/>
      <c r="DX2" s="6"/>
      <c r="DY2" s="6"/>
      <c r="DZ2" s="6"/>
      <c r="EA2" s="6"/>
      <c r="EB2" s="6"/>
      <c r="EC2" s="6"/>
      <c r="ED2" s="6"/>
      <c r="EE2" s="218" t="s">
        <v>65</v>
      </c>
      <c r="EF2" s="219"/>
      <c r="EG2" s="219"/>
      <c r="EH2" s="220"/>
      <c r="EI2" s="18" t="s">
        <v>48</v>
      </c>
      <c r="EM2" s="6"/>
      <c r="EN2" s="6"/>
      <c r="EO2" s="6"/>
      <c r="EP2" s="6"/>
      <c r="EQ2" s="6"/>
      <c r="ER2" s="6"/>
      <c r="ES2" s="6"/>
      <c r="ET2" s="6"/>
      <c r="EU2" s="6"/>
      <c r="EV2" s="6"/>
      <c r="EW2" s="18" t="s">
        <v>48</v>
      </c>
      <c r="FA2" s="6"/>
      <c r="FB2" s="6"/>
      <c r="FC2" s="6"/>
      <c r="FD2" s="6"/>
      <c r="FE2" s="6"/>
      <c r="FF2" s="6"/>
      <c r="FG2" s="6"/>
      <c r="FH2" s="6"/>
      <c r="FI2" s="6"/>
      <c r="FJ2" s="6"/>
    </row>
    <row r="3" spans="2:166" x14ac:dyDescent="0.2">
      <c r="B3" s="2" t="s">
        <v>0</v>
      </c>
      <c r="C3" t="s">
        <v>44</v>
      </c>
      <c r="D3" t="s">
        <v>39</v>
      </c>
      <c r="E3" s="1" t="s">
        <v>1</v>
      </c>
      <c r="F3" s="1" t="s">
        <v>2</v>
      </c>
      <c r="G3" s="11" t="s">
        <v>176</v>
      </c>
      <c r="H3" t="s">
        <v>36</v>
      </c>
      <c r="I3" t="s">
        <v>37</v>
      </c>
      <c r="J3" t="s">
        <v>38</v>
      </c>
      <c r="K3" s="11" t="s">
        <v>176</v>
      </c>
      <c r="L3" t="s">
        <v>36</v>
      </c>
      <c r="M3" t="s">
        <v>37</v>
      </c>
      <c r="N3" t="s">
        <v>38</v>
      </c>
      <c r="O3" s="6" t="s">
        <v>58</v>
      </c>
      <c r="P3" s="6" t="s">
        <v>52</v>
      </c>
      <c r="Q3" s="6"/>
      <c r="R3" s="6"/>
      <c r="S3" s="6" t="s">
        <v>53</v>
      </c>
      <c r="T3" s="6"/>
      <c r="U3" s="6"/>
      <c r="V3" s="6" t="s">
        <v>54</v>
      </c>
      <c r="W3" s="6"/>
      <c r="X3" s="6"/>
      <c r="Y3" s="11" t="s">
        <v>176</v>
      </c>
      <c r="Z3" t="s">
        <v>36</v>
      </c>
      <c r="AA3" t="s">
        <v>37</v>
      </c>
      <c r="AB3" t="s">
        <v>38</v>
      </c>
      <c r="AC3" s="6" t="s">
        <v>58</v>
      </c>
      <c r="AD3" s="6" t="s">
        <v>52</v>
      </c>
      <c r="AE3" s="6"/>
      <c r="AF3" s="6"/>
      <c r="AG3" s="6" t="s">
        <v>53</v>
      </c>
      <c r="AH3" s="6"/>
      <c r="AI3" s="6"/>
      <c r="AJ3" s="6" t="s">
        <v>54</v>
      </c>
      <c r="AK3" s="6"/>
      <c r="AL3" s="6"/>
      <c r="AM3" s="11" t="s">
        <v>176</v>
      </c>
      <c r="AN3" t="s">
        <v>36</v>
      </c>
      <c r="AO3" t="s">
        <v>37</v>
      </c>
      <c r="AP3" t="s">
        <v>38</v>
      </c>
      <c r="AQ3" s="11" t="s">
        <v>176</v>
      </c>
      <c r="AR3" t="s">
        <v>36</v>
      </c>
      <c r="AS3" t="s">
        <v>37</v>
      </c>
      <c r="AT3" t="s">
        <v>38</v>
      </c>
      <c r="AU3" s="6" t="s">
        <v>58</v>
      </c>
      <c r="AV3" s="6" t="s">
        <v>52</v>
      </c>
      <c r="AW3" s="6"/>
      <c r="AX3" s="6"/>
      <c r="AY3" s="6" t="s">
        <v>53</v>
      </c>
      <c r="AZ3" s="6"/>
      <c r="BA3" s="6"/>
      <c r="BB3" s="6" t="s">
        <v>54</v>
      </c>
      <c r="BC3" s="6"/>
      <c r="BD3" s="6"/>
      <c r="BE3" s="11" t="s">
        <v>176</v>
      </c>
      <c r="BF3" t="s">
        <v>36</v>
      </c>
      <c r="BG3" t="s">
        <v>37</v>
      </c>
      <c r="BH3" t="s">
        <v>38</v>
      </c>
      <c r="BI3" s="6" t="s">
        <v>58</v>
      </c>
      <c r="BJ3" s="6" t="s">
        <v>52</v>
      </c>
      <c r="BK3" s="6"/>
      <c r="BL3" s="6"/>
      <c r="BM3" s="6" t="s">
        <v>53</v>
      </c>
      <c r="BN3" s="6"/>
      <c r="BO3" s="6"/>
      <c r="BP3" s="6" t="s">
        <v>54</v>
      </c>
      <c r="BQ3" s="6"/>
      <c r="BR3" s="6"/>
      <c r="BS3" s="11" t="s">
        <v>176</v>
      </c>
      <c r="BT3" t="s">
        <v>36</v>
      </c>
      <c r="BU3" t="s">
        <v>37</v>
      </c>
      <c r="BV3" t="s">
        <v>38</v>
      </c>
      <c r="BW3" s="11" t="s">
        <v>176</v>
      </c>
      <c r="BX3" t="s">
        <v>36</v>
      </c>
      <c r="BY3" t="s">
        <v>37</v>
      </c>
      <c r="BZ3" t="s">
        <v>38</v>
      </c>
      <c r="CA3" s="6" t="s">
        <v>58</v>
      </c>
      <c r="CB3" s="6" t="s">
        <v>52</v>
      </c>
      <c r="CC3" s="6"/>
      <c r="CD3" s="6"/>
      <c r="CE3" s="6" t="s">
        <v>53</v>
      </c>
      <c r="CF3" s="6"/>
      <c r="CG3" s="6"/>
      <c r="CH3" s="6" t="s">
        <v>54</v>
      </c>
      <c r="CI3" s="6"/>
      <c r="CJ3" s="6"/>
      <c r="CK3" s="11" t="s">
        <v>176</v>
      </c>
      <c r="CL3" t="s">
        <v>36</v>
      </c>
      <c r="CM3" t="s">
        <v>37</v>
      </c>
      <c r="CN3" t="s">
        <v>38</v>
      </c>
      <c r="CO3" s="6" t="s">
        <v>58</v>
      </c>
      <c r="CP3" s="6" t="s">
        <v>52</v>
      </c>
      <c r="CQ3" s="6"/>
      <c r="CR3" s="6"/>
      <c r="CS3" s="6" t="s">
        <v>53</v>
      </c>
      <c r="CT3" s="6"/>
      <c r="CU3" s="6"/>
      <c r="CV3" s="6" t="s">
        <v>54</v>
      </c>
      <c r="CW3" s="6"/>
      <c r="CX3" s="6"/>
      <c r="CY3" s="11" t="s">
        <v>176</v>
      </c>
      <c r="CZ3" t="s">
        <v>36</v>
      </c>
      <c r="DA3" t="s">
        <v>37</v>
      </c>
      <c r="DB3" t="s">
        <v>38</v>
      </c>
      <c r="DC3" s="11" t="s">
        <v>176</v>
      </c>
      <c r="DD3" t="s">
        <v>36</v>
      </c>
      <c r="DE3" t="s">
        <v>37</v>
      </c>
      <c r="DF3" t="s">
        <v>38</v>
      </c>
      <c r="DG3" s="6" t="s">
        <v>58</v>
      </c>
      <c r="DH3" s="6" t="s">
        <v>52</v>
      </c>
      <c r="DI3" s="6"/>
      <c r="DJ3" s="6"/>
      <c r="DK3" s="6" t="s">
        <v>53</v>
      </c>
      <c r="DL3" s="6"/>
      <c r="DM3" s="6"/>
      <c r="DN3" s="6" t="s">
        <v>54</v>
      </c>
      <c r="DO3" s="6"/>
      <c r="DP3" s="6"/>
      <c r="DQ3" s="11" t="s">
        <v>176</v>
      </c>
      <c r="DR3" t="s">
        <v>36</v>
      </c>
      <c r="DS3" t="s">
        <v>37</v>
      </c>
      <c r="DT3" t="s">
        <v>38</v>
      </c>
      <c r="DU3" s="6" t="s">
        <v>58</v>
      </c>
      <c r="DV3" s="6" t="s">
        <v>52</v>
      </c>
      <c r="DW3" s="6"/>
      <c r="DX3" s="6"/>
      <c r="DY3" s="6" t="s">
        <v>53</v>
      </c>
      <c r="DZ3" s="6"/>
      <c r="EA3" s="6"/>
      <c r="EB3" s="6" t="s">
        <v>54</v>
      </c>
      <c r="EC3" s="6"/>
      <c r="ED3" s="6"/>
      <c r="EE3" s="11" t="s">
        <v>176</v>
      </c>
      <c r="EF3" t="s">
        <v>36</v>
      </c>
      <c r="EG3" t="s">
        <v>37</v>
      </c>
      <c r="EH3" t="s">
        <v>38</v>
      </c>
      <c r="EI3" s="11" t="s">
        <v>176</v>
      </c>
      <c r="EJ3" t="s">
        <v>36</v>
      </c>
      <c r="EK3" t="s">
        <v>37</v>
      </c>
      <c r="EL3" t="s">
        <v>38</v>
      </c>
      <c r="EM3" s="6" t="s">
        <v>58</v>
      </c>
      <c r="EN3" s="6" t="s">
        <v>52</v>
      </c>
      <c r="EO3" s="6"/>
      <c r="EP3" s="6"/>
      <c r="EQ3" s="6" t="s">
        <v>53</v>
      </c>
      <c r="ER3" s="6"/>
      <c r="ES3" s="6"/>
      <c r="ET3" s="6" t="s">
        <v>54</v>
      </c>
      <c r="EU3" s="6"/>
      <c r="EV3" s="6"/>
      <c r="EW3" s="11" t="s">
        <v>176</v>
      </c>
      <c r="EX3" t="s">
        <v>36</v>
      </c>
      <c r="EY3" t="s">
        <v>37</v>
      </c>
      <c r="EZ3" t="s">
        <v>38</v>
      </c>
      <c r="FA3" s="6" t="s">
        <v>58</v>
      </c>
      <c r="FB3" s="6" t="s">
        <v>52</v>
      </c>
      <c r="FC3" s="6"/>
      <c r="FD3" s="6"/>
      <c r="FE3" s="6" t="s">
        <v>53</v>
      </c>
      <c r="FF3" s="6"/>
      <c r="FG3" s="6"/>
      <c r="FH3" s="6" t="s">
        <v>54</v>
      </c>
      <c r="FI3" s="6"/>
      <c r="FJ3" s="6"/>
    </row>
    <row r="4" spans="2:166" x14ac:dyDescent="0.2">
      <c r="B4" s="3" t="s">
        <v>7</v>
      </c>
      <c r="E4" s="3">
        <v>48842</v>
      </c>
      <c r="F4" s="3">
        <v>15</v>
      </c>
      <c r="G4" s="14"/>
      <c r="H4" s="7"/>
      <c r="I4" s="7"/>
      <c r="J4" s="7"/>
      <c r="K4" s="14"/>
      <c r="L4" s="7"/>
      <c r="M4" s="7"/>
      <c r="N4" s="7"/>
      <c r="O4" s="7"/>
      <c r="P4" s="80" t="s">
        <v>55</v>
      </c>
      <c r="Q4" s="80" t="s">
        <v>56</v>
      </c>
      <c r="R4" s="80" t="s">
        <v>57</v>
      </c>
      <c r="S4" s="80" t="s">
        <v>55</v>
      </c>
      <c r="T4" s="80" t="s">
        <v>56</v>
      </c>
      <c r="U4" s="80" t="s">
        <v>57</v>
      </c>
      <c r="V4" s="80" t="s">
        <v>55</v>
      </c>
      <c r="W4" s="80" t="s">
        <v>56</v>
      </c>
      <c r="X4" s="80" t="s">
        <v>57</v>
      </c>
      <c r="Y4" s="14"/>
      <c r="Z4" s="7"/>
      <c r="AA4" s="7"/>
      <c r="AB4" s="7"/>
      <c r="AC4" s="7"/>
      <c r="AD4" s="80" t="s">
        <v>55</v>
      </c>
      <c r="AE4" s="80" t="s">
        <v>56</v>
      </c>
      <c r="AF4" s="80" t="s">
        <v>57</v>
      </c>
      <c r="AG4" s="80" t="s">
        <v>55</v>
      </c>
      <c r="AH4" s="80" t="s">
        <v>56</v>
      </c>
      <c r="AI4" s="80" t="s">
        <v>57</v>
      </c>
      <c r="AJ4" s="80" t="s">
        <v>55</v>
      </c>
      <c r="AK4" s="80" t="s">
        <v>56</v>
      </c>
      <c r="AL4" s="80" t="s">
        <v>57</v>
      </c>
      <c r="AM4" s="14"/>
      <c r="AN4" s="7"/>
      <c r="AO4" s="7"/>
      <c r="AP4" s="7"/>
      <c r="AQ4" s="14"/>
      <c r="AR4" s="7"/>
      <c r="AS4" s="7"/>
      <c r="AT4" s="7"/>
      <c r="AU4" s="7"/>
      <c r="AV4" s="80" t="s">
        <v>55</v>
      </c>
      <c r="AW4" s="80" t="s">
        <v>56</v>
      </c>
      <c r="AX4" s="80" t="s">
        <v>57</v>
      </c>
      <c r="AY4" s="80" t="s">
        <v>55</v>
      </c>
      <c r="AZ4" s="80" t="s">
        <v>56</v>
      </c>
      <c r="BA4" s="80" t="s">
        <v>57</v>
      </c>
      <c r="BB4" s="80" t="s">
        <v>55</v>
      </c>
      <c r="BC4" s="80" t="s">
        <v>56</v>
      </c>
      <c r="BD4" s="80" t="s">
        <v>57</v>
      </c>
      <c r="BE4" s="14"/>
      <c r="BF4" s="7"/>
      <c r="BG4" s="7"/>
      <c r="BH4" s="7"/>
      <c r="BI4" s="7"/>
      <c r="BJ4" s="80" t="s">
        <v>55</v>
      </c>
      <c r="BK4" s="80" t="s">
        <v>56</v>
      </c>
      <c r="BL4" s="80" t="s">
        <v>57</v>
      </c>
      <c r="BM4" s="80" t="s">
        <v>55</v>
      </c>
      <c r="BN4" s="80" t="s">
        <v>56</v>
      </c>
      <c r="BO4" s="80" t="s">
        <v>57</v>
      </c>
      <c r="BP4" s="80" t="s">
        <v>55</v>
      </c>
      <c r="BQ4" s="80" t="s">
        <v>56</v>
      </c>
      <c r="BR4" s="80" t="s">
        <v>57</v>
      </c>
      <c r="BS4" s="14"/>
      <c r="BT4" s="7"/>
      <c r="BU4" s="7"/>
      <c r="BV4" s="7"/>
      <c r="BW4" s="14"/>
      <c r="BX4" s="7"/>
      <c r="BY4" s="7"/>
      <c r="BZ4" s="7"/>
      <c r="CA4" s="7"/>
      <c r="CB4" s="80" t="s">
        <v>55</v>
      </c>
      <c r="CC4" s="80" t="s">
        <v>56</v>
      </c>
      <c r="CD4" s="80" t="s">
        <v>57</v>
      </c>
      <c r="CE4" s="80" t="s">
        <v>55</v>
      </c>
      <c r="CF4" s="80" t="s">
        <v>56</v>
      </c>
      <c r="CG4" s="80" t="s">
        <v>57</v>
      </c>
      <c r="CH4" s="80" t="s">
        <v>55</v>
      </c>
      <c r="CI4" s="80" t="s">
        <v>56</v>
      </c>
      <c r="CJ4" s="80" t="s">
        <v>57</v>
      </c>
      <c r="CK4" s="14"/>
      <c r="CL4" s="7"/>
      <c r="CM4" s="7"/>
      <c r="CN4" s="7"/>
      <c r="CO4" s="7"/>
      <c r="CP4" s="80" t="s">
        <v>55</v>
      </c>
      <c r="CQ4" s="80" t="s">
        <v>56</v>
      </c>
      <c r="CR4" s="80" t="s">
        <v>57</v>
      </c>
      <c r="CS4" s="80" t="s">
        <v>55</v>
      </c>
      <c r="CT4" s="80" t="s">
        <v>56</v>
      </c>
      <c r="CU4" s="80" t="s">
        <v>57</v>
      </c>
      <c r="CV4" s="80" t="s">
        <v>55</v>
      </c>
      <c r="CW4" s="80" t="s">
        <v>56</v>
      </c>
      <c r="CX4" s="80" t="s">
        <v>57</v>
      </c>
      <c r="CY4" s="14"/>
      <c r="CZ4" s="7"/>
      <c r="DA4" s="7"/>
      <c r="DB4" s="7"/>
      <c r="DC4" s="14"/>
      <c r="DD4" s="7"/>
      <c r="DE4" s="7"/>
      <c r="DF4" s="7"/>
      <c r="DG4" s="7"/>
      <c r="DH4" s="80" t="s">
        <v>55</v>
      </c>
      <c r="DI4" s="80" t="s">
        <v>56</v>
      </c>
      <c r="DJ4" s="80" t="s">
        <v>57</v>
      </c>
      <c r="DK4" s="80" t="s">
        <v>55</v>
      </c>
      <c r="DL4" s="80" t="s">
        <v>56</v>
      </c>
      <c r="DM4" s="80" t="s">
        <v>57</v>
      </c>
      <c r="DN4" s="80" t="s">
        <v>55</v>
      </c>
      <c r="DO4" s="80" t="s">
        <v>56</v>
      </c>
      <c r="DP4" s="80" t="s">
        <v>57</v>
      </c>
      <c r="DQ4" s="14"/>
      <c r="DR4" s="7"/>
      <c r="DS4" s="7"/>
      <c r="DT4" s="7"/>
      <c r="DU4" s="7"/>
      <c r="DV4" s="80" t="s">
        <v>55</v>
      </c>
      <c r="DW4" s="80" t="s">
        <v>56</v>
      </c>
      <c r="DX4" s="80" t="s">
        <v>57</v>
      </c>
      <c r="DY4" s="80" t="s">
        <v>55</v>
      </c>
      <c r="DZ4" s="80" t="s">
        <v>56</v>
      </c>
      <c r="EA4" s="80" t="s">
        <v>57</v>
      </c>
      <c r="EB4" s="80" t="s">
        <v>55</v>
      </c>
      <c r="EC4" s="80" t="s">
        <v>56</v>
      </c>
      <c r="ED4" s="80" t="s">
        <v>57</v>
      </c>
      <c r="EE4" s="14"/>
      <c r="EF4" s="7"/>
      <c r="EG4" s="7"/>
      <c r="EH4" s="7"/>
      <c r="EI4" s="14"/>
      <c r="EJ4" s="7"/>
      <c r="EK4" s="7"/>
      <c r="EL4" s="7"/>
      <c r="EM4" s="7"/>
      <c r="EN4" s="80" t="s">
        <v>55</v>
      </c>
      <c r="EO4" s="80" t="s">
        <v>56</v>
      </c>
      <c r="EP4" s="80" t="s">
        <v>57</v>
      </c>
      <c r="EQ4" s="80" t="s">
        <v>55</v>
      </c>
      <c r="ER4" s="80" t="s">
        <v>56</v>
      </c>
      <c r="ES4" s="80" t="s">
        <v>57</v>
      </c>
      <c r="ET4" s="80" t="s">
        <v>55</v>
      </c>
      <c r="EU4" s="80" t="s">
        <v>56</v>
      </c>
      <c r="EV4" s="80" t="s">
        <v>57</v>
      </c>
      <c r="EW4" s="14"/>
      <c r="EX4" s="7"/>
      <c r="EY4" s="7"/>
      <c r="EZ4" s="7"/>
      <c r="FA4" s="7"/>
      <c r="FB4" s="80" t="s">
        <v>55</v>
      </c>
      <c r="FC4" s="80" t="s">
        <v>56</v>
      </c>
      <c r="FD4" s="80" t="s">
        <v>57</v>
      </c>
      <c r="FE4" s="80" t="s">
        <v>55</v>
      </c>
      <c r="FF4" s="80" t="s">
        <v>56</v>
      </c>
      <c r="FG4" s="80" t="s">
        <v>57</v>
      </c>
      <c r="FH4" s="80" t="s">
        <v>55</v>
      </c>
      <c r="FI4" s="80" t="s">
        <v>56</v>
      </c>
      <c r="FJ4" s="80" t="s">
        <v>57</v>
      </c>
    </row>
    <row r="5" spans="2:166" x14ac:dyDescent="0.2">
      <c r="B5" s="3"/>
      <c r="C5" s="6">
        <v>1</v>
      </c>
      <c r="D5" t="s">
        <v>40</v>
      </c>
      <c r="E5" s="69"/>
      <c r="F5" s="69"/>
      <c r="G5" s="46">
        <v>0.86363040000000002</v>
      </c>
      <c r="H5" s="7"/>
      <c r="I5" s="7"/>
      <c r="J5" s="7"/>
      <c r="K5" s="45">
        <v>0.99377219999999999</v>
      </c>
      <c r="L5" s="8"/>
      <c r="M5" s="8"/>
      <c r="N5" s="8"/>
      <c r="O5" s="8"/>
      <c r="P5" s="7"/>
      <c r="Q5" s="7"/>
      <c r="R5" s="7"/>
      <c r="S5" s="7"/>
      <c r="T5" s="7"/>
      <c r="U5" s="7"/>
      <c r="V5" s="7"/>
      <c r="W5" s="7"/>
      <c r="X5" s="7"/>
      <c r="Y5" s="45">
        <v>0.86213890000000004</v>
      </c>
      <c r="Z5" s="7"/>
      <c r="AA5" s="7"/>
      <c r="AB5" s="7"/>
      <c r="AC5" s="8"/>
      <c r="AD5" s="7"/>
      <c r="AE5" s="7"/>
      <c r="AF5" s="7"/>
      <c r="AG5" s="7"/>
      <c r="AH5" s="7"/>
      <c r="AI5" s="7"/>
      <c r="AJ5" s="7"/>
      <c r="AK5" s="7"/>
      <c r="AL5" s="7"/>
      <c r="AM5" s="45">
        <v>0.82390099999999999</v>
      </c>
      <c r="AN5" s="8"/>
      <c r="AO5" s="8"/>
      <c r="AP5" s="8"/>
      <c r="AQ5" s="45">
        <v>0.6919708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45">
        <v>0.81931069999999995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45">
        <v>0.81705709999999998</v>
      </c>
      <c r="BT5" s="7"/>
      <c r="BU5" s="7"/>
      <c r="BV5" s="7"/>
      <c r="BW5" s="45">
        <v>0.99199999999999999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45">
        <v>0.85732390000000003</v>
      </c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45">
        <v>0.84693339999999995</v>
      </c>
      <c r="CZ5" s="7"/>
      <c r="DA5" s="7"/>
      <c r="DB5" s="7"/>
      <c r="DC5" s="45">
        <v>0.92177779999999998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45">
        <v>0.85906210000000005</v>
      </c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45">
        <v>0.77464789999999994</v>
      </c>
      <c r="EF5" s="7"/>
      <c r="EG5" s="7"/>
      <c r="EH5" s="7"/>
      <c r="EI5" s="45">
        <v>0.99199289999999996</v>
      </c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45">
        <v>0.75924990000000003</v>
      </c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</row>
    <row r="6" spans="2:166" x14ac:dyDescent="0.2">
      <c r="B6" s="3"/>
      <c r="C6" s="6">
        <v>1</v>
      </c>
      <c r="D6" t="s">
        <v>41</v>
      </c>
      <c r="E6" s="69"/>
      <c r="F6" s="69"/>
      <c r="G6" s="45">
        <v>0.85048699999999999</v>
      </c>
      <c r="H6" s="7"/>
      <c r="I6" s="7"/>
      <c r="J6" s="7"/>
      <c r="K6" s="45">
        <v>0.99199999999999999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45">
        <v>0.86116040000000005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45">
        <v>0.82219010000000003</v>
      </c>
      <c r="AN6" s="7"/>
      <c r="AO6" s="7"/>
      <c r="AP6" s="7"/>
      <c r="AQ6" s="45">
        <v>0.69956200000000002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45">
        <v>0.81242080000000005</v>
      </c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45">
        <v>0.7929718</v>
      </c>
      <c r="BT6" s="7"/>
      <c r="BU6" s="7"/>
      <c r="BV6" s="7"/>
      <c r="BW6" s="45">
        <v>0.99199289999999996</v>
      </c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45">
        <v>0.85551330000000003</v>
      </c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45">
        <v>0.85588310000000001</v>
      </c>
      <c r="CZ6" s="7"/>
      <c r="DA6" s="7"/>
      <c r="DB6" s="7"/>
      <c r="DC6" s="45">
        <v>0.98932379999999998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45">
        <v>0.85305299999999995</v>
      </c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45">
        <v>0.76546460000000005</v>
      </c>
      <c r="EF6" s="7"/>
      <c r="EG6" s="7"/>
      <c r="EH6" s="7"/>
      <c r="EI6" s="45">
        <v>0.99288259999999995</v>
      </c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45">
        <v>0.75696909999999995</v>
      </c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</row>
    <row r="7" spans="2:166" x14ac:dyDescent="0.2">
      <c r="B7" s="3"/>
      <c r="C7" s="6">
        <v>1</v>
      </c>
      <c r="D7" t="s">
        <v>42</v>
      </c>
      <c r="E7" s="69"/>
      <c r="F7" s="69"/>
      <c r="G7" s="45">
        <v>0.85759410000000003</v>
      </c>
      <c r="H7" s="7"/>
      <c r="I7" s="7"/>
      <c r="J7" s="7"/>
      <c r="K7" s="45">
        <v>0.99288259999999995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45">
        <v>0.86768060000000002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45">
        <v>0.8253258</v>
      </c>
      <c r="AN7" s="7"/>
      <c r="AO7" s="7"/>
      <c r="AP7" s="7"/>
      <c r="AQ7" s="45">
        <v>0.69643900000000003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45">
        <v>0.80592859999999999</v>
      </c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45">
        <v>0.84994080000000005</v>
      </c>
      <c r="BT7" s="7"/>
      <c r="BU7" s="7"/>
      <c r="BV7" s="7"/>
      <c r="BW7" s="45">
        <v>0.99288259999999995</v>
      </c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45">
        <v>0.85732390000000003</v>
      </c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45">
        <v>0.85046730000000004</v>
      </c>
      <c r="CZ7" s="7"/>
      <c r="DA7" s="7"/>
      <c r="DB7" s="7"/>
      <c r="DC7" s="45">
        <v>0.99021349999999997</v>
      </c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45">
        <v>0.74835280000000004</v>
      </c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45">
        <v>0.75967359999999995</v>
      </c>
      <c r="EF7" s="7"/>
      <c r="EG7" s="7"/>
      <c r="EH7" s="7"/>
      <c r="EI7" s="45">
        <v>0.99199999999999999</v>
      </c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45">
        <v>0.74049670000000001</v>
      </c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</row>
    <row r="8" spans="2:166" x14ac:dyDescent="0.2">
      <c r="B8" s="3"/>
      <c r="C8" s="6">
        <v>1</v>
      </c>
      <c r="D8" t="s">
        <v>60</v>
      </c>
      <c r="E8" s="69"/>
      <c r="F8" s="69"/>
      <c r="G8" s="13">
        <f>AVERAGE(G5:G7)</f>
        <v>0.85723716666666672</v>
      </c>
      <c r="H8" s="7"/>
      <c r="I8" s="7"/>
      <c r="J8" s="7"/>
      <c r="K8" s="29">
        <f>AVERAGE(K5:K7)</f>
        <v>0.99288493333333339</v>
      </c>
      <c r="L8" s="8"/>
      <c r="M8" s="8"/>
      <c r="N8" s="8"/>
      <c r="O8" s="10">
        <v>8.9360000000000004E-4</v>
      </c>
      <c r="P8" s="33">
        <v>0.75</v>
      </c>
      <c r="Q8" s="7">
        <v>0.25</v>
      </c>
      <c r="R8" s="7">
        <v>0</v>
      </c>
      <c r="S8" s="28">
        <v>0.99256670000000002</v>
      </c>
      <c r="T8" s="10">
        <v>7.4333330000000003E-3</v>
      </c>
      <c r="U8" s="7">
        <v>0</v>
      </c>
      <c r="V8" s="28">
        <v>0.99930620000000003</v>
      </c>
      <c r="W8" s="10">
        <v>1.771861E-4</v>
      </c>
      <c r="X8" s="10">
        <v>5.1661980000000001E-4</v>
      </c>
      <c r="Y8" s="81">
        <f>AVERAGE(Y5:Y7)</f>
        <v>0.86365996666666678</v>
      </c>
      <c r="Z8" s="7"/>
      <c r="AA8" s="7"/>
      <c r="AB8" s="7"/>
      <c r="AC8" s="10">
        <v>0.24629999999999999</v>
      </c>
      <c r="AD8" s="7">
        <v>0.5</v>
      </c>
      <c r="AE8" s="33">
        <v>0.5</v>
      </c>
      <c r="AF8" s="7">
        <v>0</v>
      </c>
      <c r="AG8" s="10">
        <v>0.32693329999999998</v>
      </c>
      <c r="AH8" s="10">
        <v>0.67306670000000002</v>
      </c>
      <c r="AI8" s="7">
        <v>0</v>
      </c>
      <c r="AJ8" s="10">
        <v>0.25801089999999999</v>
      </c>
      <c r="AK8" s="10" t="s">
        <v>24</v>
      </c>
      <c r="AL8" s="10" t="s">
        <v>24</v>
      </c>
      <c r="AM8" s="52">
        <f>AVERAGE(AM5:AM7)</f>
        <v>0.82380563333333334</v>
      </c>
      <c r="AN8" s="8"/>
      <c r="AO8" s="8"/>
      <c r="AP8" s="8"/>
      <c r="AQ8" s="58">
        <f>AVERAGE(AQ5:AQ7)</f>
        <v>0.69599060000000001</v>
      </c>
      <c r="AR8" s="7"/>
      <c r="AS8" s="8"/>
      <c r="AT8" s="7"/>
      <c r="AU8" s="10">
        <v>2.5910000000000001E-4</v>
      </c>
      <c r="AV8" s="10">
        <v>0</v>
      </c>
      <c r="AW8" s="10">
        <v>0.25</v>
      </c>
      <c r="AX8" s="10">
        <v>0.75</v>
      </c>
      <c r="AY8" s="7">
        <v>0</v>
      </c>
      <c r="AZ8" s="10">
        <v>9.8333329999999997E-3</v>
      </c>
      <c r="BA8" s="49">
        <v>0.99016669999999996</v>
      </c>
      <c r="BB8" s="10">
        <v>1.4854190000000001E-4</v>
      </c>
      <c r="BC8" s="10">
        <v>5.4679529999999999E-5</v>
      </c>
      <c r="BD8" s="49">
        <v>0.99979680000000004</v>
      </c>
      <c r="BE8" s="13">
        <f>AVERAGE(BE5:BE7)</f>
        <v>0.81255336666666667</v>
      </c>
      <c r="BF8" s="7"/>
      <c r="BG8" s="8"/>
      <c r="BH8" s="7"/>
      <c r="BI8" s="10">
        <v>8.3339999999999997E-2</v>
      </c>
      <c r="BJ8" s="7">
        <v>0</v>
      </c>
      <c r="BK8" s="33">
        <v>0.5</v>
      </c>
      <c r="BL8" s="7">
        <v>0.5</v>
      </c>
      <c r="BM8" s="7">
        <v>0</v>
      </c>
      <c r="BN8" s="10">
        <v>0.48830000000000001</v>
      </c>
      <c r="BO8" s="10">
        <v>0.51170000000000004</v>
      </c>
      <c r="BP8" s="10">
        <v>1.6869169999999999E-2</v>
      </c>
      <c r="BQ8" s="10">
        <v>0.37520710000000002</v>
      </c>
      <c r="BR8" s="10">
        <v>0.60792369999999996</v>
      </c>
      <c r="BS8" s="51">
        <f>AVERAGE(BS5:BS7)</f>
        <v>0.81998990000000005</v>
      </c>
      <c r="BT8" s="7"/>
      <c r="BU8" s="7"/>
      <c r="BV8" s="7"/>
      <c r="BW8" s="52">
        <f>AVERAGE(BW5:BW7)</f>
        <v>0.99229183333333337</v>
      </c>
      <c r="BX8" s="7"/>
      <c r="BY8" s="7"/>
      <c r="BZ8" s="7"/>
      <c r="CA8" s="10">
        <v>8.77E-3</v>
      </c>
      <c r="CB8" s="7">
        <v>0.75</v>
      </c>
      <c r="CC8" s="7">
        <v>0.25</v>
      </c>
      <c r="CD8" s="7">
        <v>0</v>
      </c>
      <c r="CE8" s="28">
        <v>0.99186669999999999</v>
      </c>
      <c r="CF8" s="10">
        <v>8.1333329999999995E-3</v>
      </c>
      <c r="CG8" s="7">
        <v>0</v>
      </c>
      <c r="CH8" s="28">
        <v>0.99345410000000001</v>
      </c>
      <c r="CI8" s="10">
        <v>1.336362E-3</v>
      </c>
      <c r="CJ8" s="10">
        <v>5.2095529999999996E-3</v>
      </c>
      <c r="CK8" s="14">
        <f>AVERAGE(CK5:CK7)</f>
        <v>0.85672036666666662</v>
      </c>
      <c r="CL8" s="7"/>
      <c r="CM8" s="7"/>
      <c r="CN8" s="7"/>
      <c r="CO8" s="10">
        <v>0.151</v>
      </c>
      <c r="CP8" s="7">
        <v>0.5</v>
      </c>
      <c r="CQ8" s="7">
        <v>0.5</v>
      </c>
      <c r="CR8" s="7">
        <v>0</v>
      </c>
      <c r="CS8" s="10">
        <v>0.85593330000000001</v>
      </c>
      <c r="CT8" s="10">
        <v>0.14406669999999999</v>
      </c>
      <c r="CU8" s="10">
        <v>0</v>
      </c>
      <c r="CV8" s="10">
        <v>0.85506070000000001</v>
      </c>
      <c r="CW8" s="10">
        <v>8.0561610000000006E-2</v>
      </c>
      <c r="CX8" s="10">
        <v>6.4377729999999994E-2</v>
      </c>
      <c r="CY8" s="14">
        <f>AVERAGE(CY5:CY7)</f>
        <v>0.85109460000000003</v>
      </c>
      <c r="CZ8" s="7"/>
      <c r="DA8" s="7"/>
      <c r="DB8" s="7"/>
      <c r="DC8" s="38">
        <f>AVERAGE(DC5:DC7)</f>
        <v>0.9671050333333332</v>
      </c>
      <c r="DD8" s="7"/>
      <c r="DE8" s="7"/>
      <c r="DF8" s="7"/>
      <c r="DG8" s="10">
        <v>3.0290000000000001E-2</v>
      </c>
      <c r="DH8" s="7">
        <v>0.75</v>
      </c>
      <c r="DI8" s="7">
        <v>0.25</v>
      </c>
      <c r="DJ8" s="7">
        <v>0</v>
      </c>
      <c r="DK8" s="28">
        <v>0.99150000000000005</v>
      </c>
      <c r="DL8" s="10">
        <v>8.5000000000000006E-3</v>
      </c>
      <c r="DM8" s="10">
        <v>0</v>
      </c>
      <c r="DN8" s="28">
        <v>0.97644660000000005</v>
      </c>
      <c r="DO8" s="10">
        <v>6.5366749999999996E-3</v>
      </c>
      <c r="DP8" s="10">
        <v>1.7016719999999999E-2</v>
      </c>
      <c r="DQ8" s="14">
        <f>AVERAGE(DQ5:DQ7)</f>
        <v>0.82015596666666679</v>
      </c>
      <c r="DR8" s="7"/>
      <c r="DS8" s="7"/>
      <c r="DT8" s="7"/>
      <c r="DU8" s="10">
        <v>0.47910000000000003</v>
      </c>
      <c r="DV8" s="7">
        <v>0.25</v>
      </c>
      <c r="DW8" s="7">
        <v>0.5</v>
      </c>
      <c r="DX8" s="7">
        <v>0.25</v>
      </c>
      <c r="DY8" s="10">
        <v>7.3899999999999993E-2</v>
      </c>
      <c r="DZ8" s="10">
        <v>0.44779999999999998</v>
      </c>
      <c r="EA8" s="10">
        <v>0.4783</v>
      </c>
      <c r="EB8" s="10">
        <v>0.21345729999999999</v>
      </c>
      <c r="EC8" s="10">
        <v>0.11815249999999999</v>
      </c>
      <c r="ED8" s="10">
        <v>0.66839020000000005</v>
      </c>
      <c r="EE8" s="14">
        <f>AVERAGE(EE5:EE7)</f>
        <v>0.76659536666666661</v>
      </c>
      <c r="EF8" s="7"/>
      <c r="EG8" s="7"/>
      <c r="EH8" s="7"/>
      <c r="EI8" s="19">
        <f>AVERAGE(EI5:EI7)</f>
        <v>0.99229183333333326</v>
      </c>
      <c r="EJ8" s="7"/>
      <c r="EK8" s="7"/>
      <c r="EL8" s="7"/>
      <c r="EM8" s="10">
        <v>3.815E-4</v>
      </c>
      <c r="EN8" s="7">
        <v>0.75</v>
      </c>
      <c r="EO8" s="7">
        <v>0.25</v>
      </c>
      <c r="EP8" s="7">
        <v>0</v>
      </c>
      <c r="EQ8" s="28">
        <v>0.99053329999999995</v>
      </c>
      <c r="ER8" s="10">
        <v>9.4666669999999998E-3</v>
      </c>
      <c r="ES8" s="7">
        <v>0</v>
      </c>
      <c r="ET8" s="28">
        <v>0.99972159999999999</v>
      </c>
      <c r="EU8" s="10">
        <v>4.5209559999999999E-5</v>
      </c>
      <c r="EV8" s="10">
        <v>2.3318159999999999E-4</v>
      </c>
      <c r="EW8" s="14">
        <f>AVERAGE(EW5:EW7)</f>
        <v>0.75223856666666666</v>
      </c>
      <c r="EX8" s="7"/>
      <c r="EY8" s="7"/>
      <c r="EZ8" s="7"/>
      <c r="FA8" s="10">
        <v>4.4310000000000002E-2</v>
      </c>
      <c r="FB8" s="7">
        <v>0</v>
      </c>
      <c r="FC8" s="7">
        <v>0.5</v>
      </c>
      <c r="FD8" s="7">
        <v>0.5</v>
      </c>
      <c r="FE8" s="7">
        <v>0</v>
      </c>
      <c r="FF8" s="10">
        <v>0.30146669999999998</v>
      </c>
      <c r="FG8" s="10">
        <v>0.69853330000000002</v>
      </c>
      <c r="FH8" s="10">
        <v>1.0639269999999999E-2</v>
      </c>
      <c r="FI8" s="10">
        <v>0.16483349999999999</v>
      </c>
      <c r="FJ8" s="10">
        <v>0.82452720000000002</v>
      </c>
    </row>
    <row r="9" spans="2:166" x14ac:dyDescent="0.2">
      <c r="B9" s="3"/>
      <c r="C9" s="6">
        <v>1</v>
      </c>
      <c r="D9" t="s">
        <v>43</v>
      </c>
      <c r="E9" s="69"/>
      <c r="F9" s="69"/>
      <c r="G9" s="45">
        <v>0.8589</v>
      </c>
      <c r="H9" s="10">
        <v>0.8860614</v>
      </c>
      <c r="I9" s="10">
        <v>0.93433120000000003</v>
      </c>
      <c r="J9" s="10">
        <v>0.90955629999999998</v>
      </c>
      <c r="K9" s="45">
        <v>0.24129999999999999</v>
      </c>
      <c r="L9" s="10">
        <v>1</v>
      </c>
      <c r="M9" s="10">
        <v>6.7421790000000005E-4</v>
      </c>
      <c r="N9" s="10">
        <v>1.3475272999999999E-3</v>
      </c>
      <c r="O9" s="7" t="s">
        <v>24</v>
      </c>
      <c r="P9" s="7">
        <v>0</v>
      </c>
      <c r="Q9" s="7">
        <v>0.5</v>
      </c>
      <c r="R9" s="7">
        <v>0.5</v>
      </c>
      <c r="S9" s="7">
        <v>0</v>
      </c>
      <c r="T9" s="10">
        <v>0.1570667</v>
      </c>
      <c r="U9" s="10">
        <v>0.8429333</v>
      </c>
      <c r="V9" s="7" t="s">
        <v>24</v>
      </c>
      <c r="W9" s="7" t="s">
        <v>24</v>
      </c>
      <c r="X9" s="7" t="s">
        <v>24</v>
      </c>
      <c r="Y9" s="45">
        <v>0.90739999999999998</v>
      </c>
      <c r="Z9" s="10">
        <v>0.9164641</v>
      </c>
      <c r="AA9" s="10">
        <v>0.96601939999999997</v>
      </c>
      <c r="AB9" s="10">
        <v>0.94058949999999997</v>
      </c>
      <c r="AC9" s="7" t="s">
        <v>24</v>
      </c>
      <c r="AD9" s="7">
        <v>0.5</v>
      </c>
      <c r="AE9" s="33">
        <v>0.5</v>
      </c>
      <c r="AF9" s="7">
        <v>0</v>
      </c>
      <c r="AG9" s="10">
        <v>0.83960000000000001</v>
      </c>
      <c r="AH9" s="10">
        <v>0.16039999999999999</v>
      </c>
      <c r="AI9" s="7">
        <v>0</v>
      </c>
      <c r="AJ9" s="7" t="s">
        <v>24</v>
      </c>
      <c r="AK9" s="7" t="s">
        <v>24</v>
      </c>
      <c r="AL9" s="7" t="s">
        <v>24</v>
      </c>
      <c r="AM9" s="45">
        <v>0.82699999999999996</v>
      </c>
      <c r="AN9" s="10">
        <v>0.85102990000000001</v>
      </c>
      <c r="AO9" s="10">
        <v>0.93594929999999998</v>
      </c>
      <c r="AP9" s="10">
        <v>0.89147189999999998</v>
      </c>
      <c r="AQ9" s="45">
        <v>0.30759999999999998</v>
      </c>
      <c r="AR9" s="10">
        <v>0.77506317999999996</v>
      </c>
      <c r="AS9" s="10">
        <v>0.12405608999999999</v>
      </c>
      <c r="AT9" s="10">
        <v>0.21387887999999999</v>
      </c>
      <c r="AU9" s="7" t="s">
        <v>24</v>
      </c>
      <c r="AV9" s="7">
        <v>0</v>
      </c>
      <c r="AW9" s="7">
        <v>0.5</v>
      </c>
      <c r="AX9" s="7">
        <v>0.5</v>
      </c>
      <c r="AY9" s="7">
        <v>0</v>
      </c>
      <c r="AZ9" s="10">
        <v>0.16226670000000001</v>
      </c>
      <c r="BA9" s="10">
        <v>0.83773330000000001</v>
      </c>
      <c r="BB9" s="7" t="s">
        <v>24</v>
      </c>
      <c r="BC9" s="7" t="s">
        <v>24</v>
      </c>
      <c r="BD9" s="7" t="s">
        <v>24</v>
      </c>
      <c r="BE9" s="45">
        <v>0.85</v>
      </c>
      <c r="BF9" s="10">
        <v>0.86567530000000004</v>
      </c>
      <c r="BG9" s="10">
        <v>0.94983819999999997</v>
      </c>
      <c r="BH9" s="10">
        <v>0.905806</v>
      </c>
      <c r="BI9" s="7" t="s">
        <v>24</v>
      </c>
      <c r="BJ9" s="7">
        <v>0.5</v>
      </c>
      <c r="BK9" s="7">
        <v>0.5</v>
      </c>
      <c r="BL9" s="7">
        <v>0</v>
      </c>
      <c r="BM9" s="10">
        <v>0.84043330000000005</v>
      </c>
      <c r="BN9" s="10">
        <v>0.15956670000000001</v>
      </c>
      <c r="BO9" s="7">
        <v>0</v>
      </c>
      <c r="BP9" s="7" t="s">
        <v>24</v>
      </c>
      <c r="BQ9" s="7" t="s">
        <v>24</v>
      </c>
      <c r="BR9" s="7" t="s">
        <v>24</v>
      </c>
      <c r="BS9" s="45">
        <v>0.75919999999999999</v>
      </c>
      <c r="BT9" s="10">
        <v>0.75921380000000005</v>
      </c>
      <c r="BU9" s="10">
        <v>1</v>
      </c>
      <c r="BV9" s="10">
        <v>0.86312849999999997</v>
      </c>
      <c r="BW9" s="45">
        <v>0.24079999999999999</v>
      </c>
      <c r="BX9" s="7" t="s">
        <v>24</v>
      </c>
      <c r="BY9" s="7">
        <v>0</v>
      </c>
      <c r="BZ9" s="7" t="s">
        <v>24</v>
      </c>
      <c r="CA9" s="7" t="s">
        <v>24</v>
      </c>
      <c r="CB9" s="7">
        <v>0</v>
      </c>
      <c r="CC9" s="7">
        <v>0.5</v>
      </c>
      <c r="CD9" s="7">
        <v>0.5</v>
      </c>
      <c r="CE9" s="7">
        <v>0</v>
      </c>
      <c r="CF9" s="10">
        <v>0.1583</v>
      </c>
      <c r="CG9" s="10">
        <v>0.8417</v>
      </c>
      <c r="CH9" s="7" t="s">
        <v>24</v>
      </c>
      <c r="CI9" s="7" t="s">
        <v>24</v>
      </c>
      <c r="CJ9" s="7" t="s">
        <v>24</v>
      </c>
      <c r="CK9" s="45">
        <v>0.83</v>
      </c>
      <c r="CL9" s="10">
        <v>0.86670060000000004</v>
      </c>
      <c r="CM9" s="10">
        <v>0.91707119999999998</v>
      </c>
      <c r="CN9" s="10">
        <v>0.89117469999999999</v>
      </c>
      <c r="CO9" s="7" t="s">
        <v>24</v>
      </c>
      <c r="CP9" s="7">
        <v>0.5</v>
      </c>
      <c r="CQ9" s="7">
        <v>0.5</v>
      </c>
      <c r="CR9" s="7">
        <v>0</v>
      </c>
      <c r="CS9" s="10">
        <v>0.8425667</v>
      </c>
      <c r="CT9" s="10">
        <v>0.1574333</v>
      </c>
      <c r="CU9" s="10">
        <v>0</v>
      </c>
      <c r="CV9" s="7" t="s">
        <v>24</v>
      </c>
      <c r="CW9" s="7" t="s">
        <v>24</v>
      </c>
      <c r="CX9" s="7" t="s">
        <v>24</v>
      </c>
      <c r="CY9" s="45">
        <v>0.85329999999999995</v>
      </c>
      <c r="CZ9" s="10">
        <v>0.88045280000000004</v>
      </c>
      <c r="DA9" s="10">
        <v>0.93352210000000002</v>
      </c>
      <c r="DB9" s="10">
        <v>0.90621110000000005</v>
      </c>
      <c r="DC9" s="45">
        <v>0.24879999999999999</v>
      </c>
      <c r="DD9" s="10">
        <v>0.83050847000000005</v>
      </c>
      <c r="DE9" s="10">
        <v>1.321467E-2</v>
      </c>
      <c r="DF9" s="10">
        <v>2.6015400000000001E-2</v>
      </c>
      <c r="DG9" s="7" t="s">
        <v>24</v>
      </c>
      <c r="DH9" s="7">
        <v>0</v>
      </c>
      <c r="DI9" s="7">
        <v>0.5</v>
      </c>
      <c r="DJ9" s="7">
        <v>0.5</v>
      </c>
      <c r="DK9" s="7">
        <v>0</v>
      </c>
      <c r="DL9" s="10">
        <v>0.16339999999999999</v>
      </c>
      <c r="DM9" s="10">
        <v>0.83660000000000001</v>
      </c>
      <c r="DN9" s="7" t="s">
        <v>24</v>
      </c>
      <c r="DO9" s="7" t="s">
        <v>24</v>
      </c>
      <c r="DP9" s="7" t="s">
        <v>24</v>
      </c>
      <c r="DQ9" s="56">
        <v>0.85070000000000001</v>
      </c>
      <c r="DR9" s="10">
        <v>0.87368290000000004</v>
      </c>
      <c r="DS9" s="10">
        <v>0.93918550000000001</v>
      </c>
      <c r="DT9" s="10">
        <v>0.90525080000000002</v>
      </c>
      <c r="DU9" s="7" t="s">
        <v>24</v>
      </c>
      <c r="DV9" s="7">
        <v>0</v>
      </c>
      <c r="DW9" s="32">
        <v>1</v>
      </c>
      <c r="DX9" s="7">
        <v>0</v>
      </c>
      <c r="DY9" s="7">
        <v>0</v>
      </c>
      <c r="DZ9" s="50">
        <v>1</v>
      </c>
      <c r="EA9" s="10">
        <v>0</v>
      </c>
      <c r="EB9" s="7" t="s">
        <v>24</v>
      </c>
      <c r="EC9" s="7" t="s">
        <v>24</v>
      </c>
      <c r="ED9" s="7" t="s">
        <v>24</v>
      </c>
      <c r="EE9" s="45">
        <v>0.77280000000000004</v>
      </c>
      <c r="EF9" s="10">
        <v>0.76969381999999997</v>
      </c>
      <c r="EG9" s="10">
        <v>1</v>
      </c>
      <c r="EH9" s="10">
        <v>0.86986101000000005</v>
      </c>
      <c r="EI9" s="45">
        <v>0.24079999999999999</v>
      </c>
      <c r="EJ9" s="10"/>
      <c r="EK9" s="10"/>
      <c r="EL9" s="10"/>
      <c r="EM9" s="7" t="s">
        <v>24</v>
      </c>
      <c r="EN9" s="7">
        <v>0</v>
      </c>
      <c r="EO9" s="7">
        <v>0.5</v>
      </c>
      <c r="EP9" s="7">
        <v>0.5</v>
      </c>
      <c r="EQ9" s="7">
        <v>0</v>
      </c>
      <c r="ER9" s="10">
        <v>0.16153329999999999</v>
      </c>
      <c r="ES9" s="10">
        <v>0.83846670000000001</v>
      </c>
      <c r="ET9" s="7" t="s">
        <v>24</v>
      </c>
      <c r="EU9" s="7" t="s">
        <v>24</v>
      </c>
      <c r="EV9" s="7" t="s">
        <v>24</v>
      </c>
      <c r="EW9" s="56">
        <v>0.7742</v>
      </c>
      <c r="EX9" s="7"/>
      <c r="EY9" s="7"/>
      <c r="EZ9" s="7"/>
      <c r="FA9" s="7" t="s">
        <v>24</v>
      </c>
      <c r="FB9" s="7">
        <v>0</v>
      </c>
      <c r="FC9" s="32">
        <v>1</v>
      </c>
      <c r="FD9" s="7">
        <v>0</v>
      </c>
      <c r="FE9" s="7">
        <v>0</v>
      </c>
      <c r="FF9" s="31">
        <v>1</v>
      </c>
      <c r="FG9" s="7">
        <v>0</v>
      </c>
      <c r="FH9" s="7" t="s">
        <v>24</v>
      </c>
      <c r="FI9" s="7" t="s">
        <v>24</v>
      </c>
      <c r="FJ9" s="7" t="s">
        <v>24</v>
      </c>
    </row>
    <row r="10" spans="2:166" x14ac:dyDescent="0.2">
      <c r="B10" s="3"/>
      <c r="C10" s="6"/>
      <c r="E10" s="69"/>
      <c r="F10" s="69"/>
      <c r="G10" s="14"/>
      <c r="H10" s="7"/>
      <c r="I10" s="7"/>
      <c r="J10" s="7"/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4"/>
      <c r="AN10" s="7"/>
      <c r="AO10" s="7"/>
      <c r="AP10" s="7"/>
      <c r="AQ10" s="14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14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4"/>
      <c r="BT10" s="7"/>
      <c r="BU10" s="7"/>
      <c r="BV10" s="7"/>
      <c r="BW10" s="14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14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14"/>
      <c r="CZ10" s="7"/>
      <c r="DA10" s="7"/>
      <c r="DB10" s="7"/>
      <c r="DC10" s="14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14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14"/>
      <c r="EF10" s="7"/>
      <c r="EG10" s="7"/>
      <c r="EH10" s="7"/>
      <c r="EI10" s="14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14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</row>
    <row r="11" spans="2:166" x14ac:dyDescent="0.2">
      <c r="B11" s="3"/>
      <c r="C11" s="6">
        <v>2</v>
      </c>
      <c r="D11" t="s">
        <v>40</v>
      </c>
      <c r="E11" s="69"/>
      <c r="F11" s="69"/>
      <c r="G11" s="46">
        <v>0.86363040000000002</v>
      </c>
      <c r="H11" s="7"/>
      <c r="I11" s="7"/>
      <c r="J11" s="7"/>
      <c r="K11" s="45">
        <v>0.74627739999999998</v>
      </c>
      <c r="L11" s="8"/>
      <c r="M11" s="8"/>
      <c r="N11" s="8"/>
      <c r="O11" s="7"/>
      <c r="P11" s="7"/>
      <c r="Q11" s="7"/>
      <c r="R11" s="7"/>
      <c r="S11" s="7"/>
      <c r="T11" s="7"/>
      <c r="U11" s="7"/>
      <c r="V11" s="7"/>
      <c r="W11" s="7"/>
      <c r="X11" s="7"/>
      <c r="Y11" s="45">
        <v>0.83931440000000002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45">
        <v>0.82390099999999999</v>
      </c>
      <c r="AN11" s="8"/>
      <c r="AO11" s="8"/>
      <c r="AP11" s="8"/>
      <c r="AQ11" s="45">
        <v>0.71270069999999996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45">
        <v>0.79625170000000001</v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45">
        <v>0.81705709999999998</v>
      </c>
      <c r="BT11" s="7"/>
      <c r="BU11" s="7"/>
      <c r="BV11" s="7"/>
      <c r="BW11" s="45">
        <v>0.69839419999999997</v>
      </c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45">
        <v>0.82724640000000005</v>
      </c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45">
        <v>0.84693339999999995</v>
      </c>
      <c r="CZ11" s="7"/>
      <c r="DA11" s="7"/>
      <c r="DB11" s="7"/>
      <c r="DC11" s="45">
        <v>0.70928199999999997</v>
      </c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45">
        <v>0.84788430000000004</v>
      </c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45">
        <v>0.77464789999999994</v>
      </c>
      <c r="EF11" s="7"/>
      <c r="EG11" s="7"/>
      <c r="EH11" s="7"/>
      <c r="EI11" s="45">
        <v>0.61080290000000004</v>
      </c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45">
        <v>0.61080290000000004</v>
      </c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</row>
    <row r="12" spans="2:166" x14ac:dyDescent="0.2">
      <c r="B12" s="3"/>
      <c r="C12" s="6">
        <v>2</v>
      </c>
      <c r="D12" t="s">
        <v>41</v>
      </c>
      <c r="E12" s="69"/>
      <c r="F12" s="69"/>
      <c r="G12" s="45">
        <v>0.85048699999999999</v>
      </c>
      <c r="H12" s="7"/>
      <c r="I12" s="7"/>
      <c r="J12" s="7"/>
      <c r="K12" s="45">
        <v>0.72408760000000005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5">
        <v>0.85029460000000001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45">
        <v>0.82219010000000003</v>
      </c>
      <c r="AN12" s="7"/>
      <c r="AO12" s="7"/>
      <c r="AP12" s="7"/>
      <c r="AQ12" s="45">
        <v>0.69060129999999997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45">
        <v>0.81199790000000005</v>
      </c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45">
        <v>0.7929718</v>
      </c>
      <c r="BT12" s="7"/>
      <c r="BU12" s="7"/>
      <c r="BV12" s="7"/>
      <c r="BW12" s="45">
        <v>0.61080290000000004</v>
      </c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45">
        <v>0.79710139999999996</v>
      </c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45">
        <v>0.85588310000000001</v>
      </c>
      <c r="CZ12" s="7"/>
      <c r="DA12" s="7"/>
      <c r="DB12" s="7"/>
      <c r="DC12" s="45">
        <v>0.60729929999999999</v>
      </c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45">
        <v>0.82784469999999999</v>
      </c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45">
        <v>0.76546460000000005</v>
      </c>
      <c r="EF12" s="7"/>
      <c r="EG12" s="7"/>
      <c r="EH12" s="7"/>
      <c r="EI12" s="45">
        <v>0.61091649999999997</v>
      </c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45">
        <v>0.61091649999999997</v>
      </c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</row>
    <row r="13" spans="2:166" x14ac:dyDescent="0.2">
      <c r="B13" s="3"/>
      <c r="C13" s="6">
        <v>2</v>
      </c>
      <c r="D13" t="s">
        <v>42</v>
      </c>
      <c r="E13" s="69"/>
      <c r="F13" s="69"/>
      <c r="G13" s="45">
        <v>0.85759410000000003</v>
      </c>
      <c r="H13" s="7"/>
      <c r="I13" s="7"/>
      <c r="J13" s="7"/>
      <c r="K13" s="45">
        <v>0.73029770000000005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45">
        <v>0.84765729999999995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45">
        <v>0.8253258</v>
      </c>
      <c r="AN13" s="7"/>
      <c r="AO13" s="7"/>
      <c r="AP13" s="7"/>
      <c r="AQ13" s="45">
        <v>0.69284670000000004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45">
        <v>0.80316010000000004</v>
      </c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45">
        <v>0.84994080000000005</v>
      </c>
      <c r="BT13" s="7"/>
      <c r="BU13" s="7"/>
      <c r="BV13" s="7"/>
      <c r="BW13" s="45">
        <v>0.70957380000000003</v>
      </c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45">
        <v>0.7977398</v>
      </c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45">
        <v>0.85046730000000004</v>
      </c>
      <c r="CZ13" s="7"/>
      <c r="DA13" s="7"/>
      <c r="DB13" s="7"/>
      <c r="DC13" s="45">
        <v>0.69635040000000004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45">
        <v>0.85243709999999995</v>
      </c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45">
        <v>0.75967359999999995</v>
      </c>
      <c r="EF13" s="7"/>
      <c r="EG13" s="7"/>
      <c r="EH13" s="7"/>
      <c r="EI13" s="45">
        <v>0.61080290000000004</v>
      </c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45">
        <v>0.61080290000000004</v>
      </c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</row>
    <row r="14" spans="2:166" x14ac:dyDescent="0.2">
      <c r="B14" s="3"/>
      <c r="C14" s="6">
        <v>2</v>
      </c>
      <c r="D14" t="s">
        <v>49</v>
      </c>
      <c r="E14" s="69"/>
      <c r="F14" s="69"/>
      <c r="G14" s="13">
        <f>AVERAGE(G11:G13)</f>
        <v>0.85723716666666672</v>
      </c>
      <c r="H14" s="7"/>
      <c r="I14" s="7"/>
      <c r="J14" s="7"/>
      <c r="K14" s="42">
        <f>AVERAGE(K11:K13)</f>
        <v>0.73355423333333336</v>
      </c>
      <c r="L14" s="8"/>
      <c r="M14" s="8"/>
      <c r="N14" s="8"/>
      <c r="O14" s="10">
        <v>6.4999999999999997E-4</v>
      </c>
      <c r="P14" s="7">
        <v>0</v>
      </c>
      <c r="Q14" s="7">
        <v>0.25</v>
      </c>
      <c r="R14" s="7">
        <v>0.75</v>
      </c>
      <c r="S14" s="7">
        <v>0</v>
      </c>
      <c r="T14" s="10">
        <v>1.003333E-2</v>
      </c>
      <c r="U14" s="49">
        <v>0.98996669999999998</v>
      </c>
      <c r="V14" s="10">
        <v>3.7575100000000001E-4</v>
      </c>
      <c r="W14" s="10">
        <v>1.4361589999999999E-4</v>
      </c>
      <c r="X14" s="49">
        <v>0.99948060000000005</v>
      </c>
      <c r="Y14" s="81">
        <f>AVERAGE(Y11:Y13)</f>
        <v>0.84575543333333325</v>
      </c>
      <c r="Z14" s="7"/>
      <c r="AA14" s="7"/>
      <c r="AB14" s="7"/>
      <c r="AC14" s="10">
        <v>0.2429</v>
      </c>
      <c r="AD14" s="7">
        <v>0</v>
      </c>
      <c r="AE14" s="7">
        <v>0.75</v>
      </c>
      <c r="AF14" s="7">
        <v>0.25</v>
      </c>
      <c r="AG14" s="7">
        <v>0</v>
      </c>
      <c r="AH14" s="10">
        <v>0.57850000000000001</v>
      </c>
      <c r="AI14" s="10">
        <v>0.42149999999999999</v>
      </c>
      <c r="AJ14" s="10">
        <v>5.8693929999999998E-2</v>
      </c>
      <c r="AK14" s="10">
        <v>0.37709150000000002</v>
      </c>
      <c r="AL14" s="10">
        <v>0.56421460000000001</v>
      </c>
      <c r="AM14" s="52">
        <f>AVERAGE(AM11:AM13)</f>
        <v>0.82380563333333334</v>
      </c>
      <c r="AN14" s="8"/>
      <c r="AO14" s="8"/>
      <c r="AP14" s="8"/>
      <c r="AQ14" s="58">
        <f>AVERAGE(AQ11:AQ13)</f>
        <v>0.69871623333333333</v>
      </c>
      <c r="AR14" s="7"/>
      <c r="AS14" s="7"/>
      <c r="AT14" s="7"/>
      <c r="AU14" s="10">
        <v>3.0720000000000001E-3</v>
      </c>
      <c r="AV14" s="10">
        <v>0</v>
      </c>
      <c r="AW14" s="10">
        <v>0.25</v>
      </c>
      <c r="AX14" s="10">
        <v>0.75</v>
      </c>
      <c r="AY14" s="7">
        <v>0</v>
      </c>
      <c r="AZ14" s="10">
        <v>9.1000000000000004E-3</v>
      </c>
      <c r="BA14" s="49">
        <v>0.9909</v>
      </c>
      <c r="BB14" s="10">
        <v>1.7549169999999999E-3</v>
      </c>
      <c r="BC14" s="10">
        <v>6.5813600000000003E-4</v>
      </c>
      <c r="BD14" s="49">
        <v>0.99758690000000005</v>
      </c>
      <c r="BE14" s="40">
        <f>AVERAGE(BE11:BE13)</f>
        <v>0.80380323333333337</v>
      </c>
      <c r="BF14" s="7"/>
      <c r="BG14" s="7"/>
      <c r="BH14" s="7"/>
      <c r="BI14" s="10">
        <v>6.0440000000000001E-2</v>
      </c>
      <c r="BJ14" s="7">
        <v>0</v>
      </c>
      <c r="BK14" s="7">
        <v>0.25</v>
      </c>
      <c r="BL14" s="7">
        <v>0.75</v>
      </c>
      <c r="BM14" s="7">
        <v>0</v>
      </c>
      <c r="BN14" s="10">
        <v>3.6666669999999998E-2</v>
      </c>
      <c r="BO14" s="49">
        <v>0.96333329999999995</v>
      </c>
      <c r="BP14" s="10">
        <v>1.8585250000000001E-2</v>
      </c>
      <c r="BQ14" s="10">
        <v>9.8841040000000005E-2</v>
      </c>
      <c r="BR14" s="10">
        <v>0.88257370000000002</v>
      </c>
      <c r="BS14" s="51">
        <f>AVERAGE(BS11:BS13)</f>
        <v>0.81998990000000005</v>
      </c>
      <c r="BT14" s="7"/>
      <c r="BU14" s="7"/>
      <c r="BV14" s="7"/>
      <c r="BW14" s="58">
        <f>AVERAGE(BW11:BW13)</f>
        <v>0.67292363333333327</v>
      </c>
      <c r="BX14" s="7"/>
      <c r="BY14" s="7"/>
      <c r="BZ14" s="7"/>
      <c r="CA14" s="10">
        <v>1.5679999999999999E-2</v>
      </c>
      <c r="CB14" s="7">
        <v>0</v>
      </c>
      <c r="CC14" s="7">
        <v>0.25</v>
      </c>
      <c r="CD14" s="7">
        <v>0.75</v>
      </c>
      <c r="CE14" s="7">
        <v>0</v>
      </c>
      <c r="CF14" s="10">
        <v>8.8333330000000005E-3</v>
      </c>
      <c r="CG14" s="49">
        <v>0.99116669999999996</v>
      </c>
      <c r="CH14" s="10">
        <v>9.1291500000000008E-3</v>
      </c>
      <c r="CI14" s="10">
        <v>2.757308E-3</v>
      </c>
      <c r="CJ14" s="49">
        <v>0.98811349999999998</v>
      </c>
      <c r="CK14" s="14">
        <f>AVERAGE(CK11:CK13)</f>
        <v>0.80736253333333341</v>
      </c>
      <c r="CL14" s="7"/>
      <c r="CM14" s="7"/>
      <c r="CN14" s="7"/>
      <c r="CO14" s="10">
        <v>0.66800000000000004</v>
      </c>
      <c r="CP14" s="7">
        <v>0.25</v>
      </c>
      <c r="CQ14" s="7">
        <v>0.25</v>
      </c>
      <c r="CR14" s="7">
        <v>0.5</v>
      </c>
      <c r="CS14" s="10">
        <v>0.1336667</v>
      </c>
      <c r="CT14" s="10">
        <v>0.37259999999999999</v>
      </c>
      <c r="CU14" s="10">
        <v>0.49373329999999999</v>
      </c>
      <c r="CV14" s="10">
        <v>0.26032480000000002</v>
      </c>
      <c r="CW14" s="10">
        <v>0.2080283</v>
      </c>
      <c r="CX14" s="10">
        <v>0.53164679999999997</v>
      </c>
      <c r="CY14" s="14">
        <f>AVERAGE(CY11:CY13)</f>
        <v>0.85109460000000003</v>
      </c>
      <c r="CZ14" s="7"/>
      <c r="DA14" s="7"/>
      <c r="DB14" s="7"/>
      <c r="DC14" s="34">
        <f>AVERAGE(DC11:DC13)</f>
        <v>0.67097723333333337</v>
      </c>
      <c r="DD14" s="7"/>
      <c r="DE14" s="7"/>
      <c r="DF14" s="7"/>
      <c r="DG14" s="10">
        <v>3.49E-2</v>
      </c>
      <c r="DH14" s="7">
        <v>0</v>
      </c>
      <c r="DI14" s="7">
        <v>0.25</v>
      </c>
      <c r="DJ14" s="7">
        <v>0.75</v>
      </c>
      <c r="DK14" s="7">
        <v>0</v>
      </c>
      <c r="DL14" s="10">
        <v>9.1000000000000004E-3</v>
      </c>
      <c r="DM14" s="49">
        <v>0.9909</v>
      </c>
      <c r="DN14" s="10">
        <v>2.067505E-2</v>
      </c>
      <c r="DO14" s="10">
        <v>4.7604079999999998E-3</v>
      </c>
      <c r="DP14" s="49">
        <v>0.97456449999999994</v>
      </c>
      <c r="DQ14" s="14">
        <f>AVERAGE(DQ11:DQ13)</f>
        <v>0.84272203333333329</v>
      </c>
      <c r="DR14" s="7"/>
      <c r="DS14" s="7"/>
      <c r="DT14" s="7"/>
      <c r="DU14" s="10">
        <v>0.4844</v>
      </c>
      <c r="DV14" s="7">
        <v>0</v>
      </c>
      <c r="DW14" s="7">
        <v>0.75</v>
      </c>
      <c r="DX14" s="7">
        <v>0.25</v>
      </c>
      <c r="DY14" s="7">
        <v>0</v>
      </c>
      <c r="DZ14" s="10">
        <v>0.57223329999999994</v>
      </c>
      <c r="EA14" s="10">
        <v>0.4277667</v>
      </c>
      <c r="EB14" s="10">
        <v>0.12359249999999999</v>
      </c>
      <c r="EC14" s="10">
        <v>0.42680299999999999</v>
      </c>
      <c r="ED14" s="10">
        <v>0.44960450000000002</v>
      </c>
      <c r="EE14" s="14">
        <f>AVERAGE(EE11:EE13)</f>
        <v>0.76659536666666661</v>
      </c>
      <c r="EF14" s="7"/>
      <c r="EG14" s="7"/>
      <c r="EH14" s="7"/>
      <c r="EI14" s="34">
        <f>AVERAGE(EI11:EI13)</f>
        <v>0.61084076666666665</v>
      </c>
      <c r="EJ14" s="7"/>
      <c r="EK14" s="7"/>
      <c r="EL14" s="7"/>
      <c r="EM14" s="10">
        <v>7.8430000000000004E-4</v>
      </c>
      <c r="EN14" s="7">
        <v>0</v>
      </c>
      <c r="EO14" s="7">
        <v>0.25</v>
      </c>
      <c r="EP14" s="7">
        <v>0.75</v>
      </c>
      <c r="EQ14" s="7">
        <v>0</v>
      </c>
      <c r="ER14" s="10">
        <v>8.7666670000000006E-3</v>
      </c>
      <c r="ES14" s="49">
        <v>0.99123329999999998</v>
      </c>
      <c r="ET14" s="10">
        <v>4.6159789999999999E-4</v>
      </c>
      <c r="EU14" s="10">
        <v>1.351271E-4</v>
      </c>
      <c r="EV14" s="49">
        <v>0.99940329999999999</v>
      </c>
      <c r="EW14" s="35">
        <f>AVERAGE(EW11:EW13)</f>
        <v>0.61084076666666665</v>
      </c>
      <c r="EX14" s="7"/>
      <c r="EY14" s="7"/>
      <c r="EZ14" s="7"/>
      <c r="FA14" s="10">
        <v>7.8430000000000004E-4</v>
      </c>
      <c r="FB14" s="7">
        <v>0</v>
      </c>
      <c r="FC14" s="7">
        <v>0.25</v>
      </c>
      <c r="FD14" s="7">
        <v>0.75</v>
      </c>
      <c r="FE14" s="7">
        <v>0</v>
      </c>
      <c r="FF14" s="10">
        <v>8.4333329999999995E-3</v>
      </c>
      <c r="FG14" s="49">
        <v>0.99156670000000002</v>
      </c>
      <c r="FH14" s="10">
        <v>4.6159789999999999E-4</v>
      </c>
      <c r="FI14" s="10">
        <v>1.351271E-4</v>
      </c>
      <c r="FJ14" s="49">
        <v>0.99940329999999999</v>
      </c>
    </row>
    <row r="15" spans="2:166" x14ac:dyDescent="0.2">
      <c r="B15" s="3"/>
      <c r="C15" s="6">
        <v>2</v>
      </c>
      <c r="D15" t="s">
        <v>43</v>
      </c>
      <c r="E15" s="69"/>
      <c r="F15" s="69"/>
      <c r="G15" s="45">
        <v>0.8589</v>
      </c>
      <c r="H15" s="10">
        <v>0.8860614</v>
      </c>
      <c r="I15" s="10">
        <v>0.93433120000000003</v>
      </c>
      <c r="J15" s="10">
        <v>0.90955629999999998</v>
      </c>
      <c r="K15" s="45">
        <v>0.38</v>
      </c>
      <c r="L15" s="10">
        <v>0.99490540000000005</v>
      </c>
      <c r="M15" s="10">
        <v>0.1843312</v>
      </c>
      <c r="N15" s="10">
        <v>0.31103530000000001</v>
      </c>
      <c r="O15" s="7" t="s">
        <v>24</v>
      </c>
      <c r="P15" s="7">
        <v>0</v>
      </c>
      <c r="Q15" s="7">
        <v>0.5</v>
      </c>
      <c r="R15" s="7">
        <v>0.5</v>
      </c>
      <c r="S15" s="7">
        <v>0</v>
      </c>
      <c r="T15" s="10">
        <v>0.15926670000000001</v>
      </c>
      <c r="U15" s="10">
        <v>0.84073330000000002</v>
      </c>
      <c r="V15" s="7" t="s">
        <v>24</v>
      </c>
      <c r="W15" s="7" t="s">
        <v>24</v>
      </c>
      <c r="X15" s="7" t="s">
        <v>24</v>
      </c>
      <c r="Y15" s="45">
        <v>0.90680000000000005</v>
      </c>
      <c r="Z15" s="10">
        <v>0.91963360000000005</v>
      </c>
      <c r="AA15" s="10">
        <v>0.96129989999999998</v>
      </c>
      <c r="AB15" s="10">
        <v>0.94000530000000004</v>
      </c>
      <c r="AC15" s="7" t="s">
        <v>24</v>
      </c>
      <c r="AD15" s="7">
        <v>0.5</v>
      </c>
      <c r="AE15" s="33">
        <v>0.5</v>
      </c>
      <c r="AF15" s="7">
        <v>0</v>
      </c>
      <c r="AG15" s="10">
        <v>0.84063330000000003</v>
      </c>
      <c r="AH15" s="10">
        <v>0.1593667</v>
      </c>
      <c r="AI15" s="7">
        <v>0</v>
      </c>
      <c r="AJ15" s="7" t="s">
        <v>24</v>
      </c>
      <c r="AK15" s="7" t="s">
        <v>24</v>
      </c>
      <c r="AL15" s="7" t="s">
        <v>24</v>
      </c>
      <c r="AM15" s="45">
        <v>0.82699999999999996</v>
      </c>
      <c r="AN15" s="10">
        <v>0.85102990000000001</v>
      </c>
      <c r="AO15" s="10">
        <v>0.93594929999999998</v>
      </c>
      <c r="AP15" s="10">
        <v>0.89147189999999998</v>
      </c>
      <c r="AQ15" s="45">
        <v>0.3135</v>
      </c>
      <c r="AR15" s="10">
        <v>0.78354630000000003</v>
      </c>
      <c r="AS15" s="10">
        <v>0.1322816</v>
      </c>
      <c r="AT15" s="10">
        <v>0.22634979999999999</v>
      </c>
      <c r="AU15" s="7" t="s">
        <v>24</v>
      </c>
      <c r="AV15" s="7">
        <v>0</v>
      </c>
      <c r="AW15" s="7">
        <v>0.5</v>
      </c>
      <c r="AX15" s="7">
        <v>0.5</v>
      </c>
      <c r="AY15" s="7">
        <v>0</v>
      </c>
      <c r="AZ15" s="10">
        <v>0.1605</v>
      </c>
      <c r="BA15" s="10">
        <v>0.83950000000000002</v>
      </c>
      <c r="BB15" s="7" t="s">
        <v>24</v>
      </c>
      <c r="BC15" s="7" t="s">
        <v>24</v>
      </c>
      <c r="BD15" s="7" t="s">
        <v>24</v>
      </c>
      <c r="BE15" s="45">
        <v>0.8548</v>
      </c>
      <c r="BF15" s="10">
        <v>0.87070460000000005</v>
      </c>
      <c r="BG15" s="10">
        <v>0.94983819999999997</v>
      </c>
      <c r="BH15" s="10">
        <v>0.90855149999999996</v>
      </c>
      <c r="BI15" s="7" t="s">
        <v>24</v>
      </c>
      <c r="BJ15" s="7">
        <v>0</v>
      </c>
      <c r="BK15" s="7">
        <v>0.5</v>
      </c>
      <c r="BL15" s="7">
        <v>0.5</v>
      </c>
      <c r="BM15" s="10">
        <v>0.84189999999999998</v>
      </c>
      <c r="BN15" s="10">
        <v>0.15809999999999999</v>
      </c>
      <c r="BO15" s="7">
        <v>0</v>
      </c>
      <c r="BP15" s="7" t="s">
        <v>24</v>
      </c>
      <c r="BQ15" s="7" t="s">
        <v>24</v>
      </c>
      <c r="BR15" s="7" t="s">
        <v>24</v>
      </c>
      <c r="BS15" s="45">
        <v>0.75919999999999999</v>
      </c>
      <c r="BT15" s="10">
        <v>0.75921380000000005</v>
      </c>
      <c r="BU15" s="10">
        <v>1</v>
      </c>
      <c r="BV15" s="10">
        <v>0.86312849999999997</v>
      </c>
      <c r="BW15" s="45">
        <v>0.30599999999999999</v>
      </c>
      <c r="BX15" s="10">
        <v>0.72604679999999999</v>
      </c>
      <c r="BY15" s="10">
        <v>0.13794500000000001</v>
      </c>
      <c r="BZ15" s="10">
        <v>0.2318414</v>
      </c>
      <c r="CA15" s="7" t="s">
        <v>24</v>
      </c>
      <c r="CB15" s="7">
        <v>0</v>
      </c>
      <c r="CC15" s="7">
        <v>0.5</v>
      </c>
      <c r="CD15" s="7">
        <v>0.5</v>
      </c>
      <c r="CE15" s="7">
        <v>0</v>
      </c>
      <c r="CF15" s="10">
        <v>0.15906670000000001</v>
      </c>
      <c r="CG15" s="10">
        <v>0.84093329999999999</v>
      </c>
      <c r="CH15" s="7" t="s">
        <v>24</v>
      </c>
      <c r="CI15" s="7" t="s">
        <v>24</v>
      </c>
      <c r="CJ15" s="7" t="s">
        <v>24</v>
      </c>
      <c r="CK15" s="45">
        <v>0.75919999999999999</v>
      </c>
      <c r="CL15" s="10">
        <v>0.75921380000000005</v>
      </c>
      <c r="CM15" s="10">
        <v>1</v>
      </c>
      <c r="CN15" s="10">
        <v>0.86312849999999997</v>
      </c>
      <c r="CO15" s="7" t="s">
        <v>24</v>
      </c>
      <c r="CP15" s="10">
        <v>0</v>
      </c>
      <c r="CQ15" s="10">
        <v>1</v>
      </c>
      <c r="CR15" s="7">
        <v>0</v>
      </c>
      <c r="CS15" s="7">
        <v>0</v>
      </c>
      <c r="CT15" s="10">
        <v>1</v>
      </c>
      <c r="CU15" s="10">
        <v>0</v>
      </c>
      <c r="CV15" s="7" t="s">
        <v>24</v>
      </c>
      <c r="CW15" s="7" t="s">
        <v>24</v>
      </c>
      <c r="CX15" s="7" t="s">
        <v>24</v>
      </c>
      <c r="CY15" s="45">
        <v>0.85329999999999995</v>
      </c>
      <c r="CZ15" s="10">
        <v>0.88045280000000004</v>
      </c>
      <c r="DA15" s="10">
        <v>0.93352210000000002</v>
      </c>
      <c r="DB15" s="10">
        <v>0.90621110000000005</v>
      </c>
      <c r="DC15" s="45">
        <v>0.30470000000000003</v>
      </c>
      <c r="DD15" s="10">
        <v>0.73214290000000004</v>
      </c>
      <c r="DE15" s="10">
        <v>0.1326861</v>
      </c>
      <c r="DF15" s="10">
        <v>0.22465750000000001</v>
      </c>
      <c r="DG15" s="7" t="s">
        <v>24</v>
      </c>
      <c r="DH15" s="7">
        <v>0</v>
      </c>
      <c r="DI15" s="7">
        <v>0.5</v>
      </c>
      <c r="DJ15" s="7">
        <v>0.5</v>
      </c>
      <c r="DK15" s="7">
        <v>0</v>
      </c>
      <c r="DL15" s="10">
        <v>0.15616669999999999</v>
      </c>
      <c r="DM15" s="10">
        <v>0.84383330000000001</v>
      </c>
      <c r="DN15" s="7" t="s">
        <v>24</v>
      </c>
      <c r="DO15" s="7" t="s">
        <v>24</v>
      </c>
      <c r="DP15" s="7" t="s">
        <v>24</v>
      </c>
      <c r="DQ15" s="56">
        <v>0.84489999999999998</v>
      </c>
      <c r="DR15" s="10">
        <v>0.87400180000000005</v>
      </c>
      <c r="DS15" s="10">
        <v>0.92974650000000003</v>
      </c>
      <c r="DT15" s="10">
        <v>0.9010127</v>
      </c>
      <c r="DU15" s="7" t="s">
        <v>24</v>
      </c>
      <c r="DV15" s="7">
        <v>0</v>
      </c>
      <c r="DW15" s="32">
        <v>1</v>
      </c>
      <c r="DX15" s="7">
        <v>0</v>
      </c>
      <c r="DY15" s="7">
        <v>0</v>
      </c>
      <c r="DZ15" s="32">
        <v>1</v>
      </c>
      <c r="EA15" s="7">
        <v>0</v>
      </c>
      <c r="EB15" s="7" t="s">
        <v>24</v>
      </c>
      <c r="EC15" s="7" t="s">
        <v>24</v>
      </c>
      <c r="ED15" s="7" t="s">
        <v>24</v>
      </c>
      <c r="EE15" s="45">
        <v>0.77280000000000004</v>
      </c>
      <c r="EF15" s="10">
        <v>0.76969381999999997</v>
      </c>
      <c r="EG15" s="10">
        <v>1</v>
      </c>
      <c r="EH15" s="10">
        <v>0.86986101000000005</v>
      </c>
      <c r="EI15" s="45">
        <v>0.24079999999999999</v>
      </c>
      <c r="EJ15" s="10" t="s">
        <v>24</v>
      </c>
      <c r="EK15" s="10">
        <v>1</v>
      </c>
      <c r="EL15" s="10" t="s">
        <v>24</v>
      </c>
      <c r="EM15" s="7" t="s">
        <v>24</v>
      </c>
      <c r="EN15" s="7">
        <v>0</v>
      </c>
      <c r="EO15" s="7">
        <v>0.5</v>
      </c>
      <c r="EP15" s="7">
        <v>0.5</v>
      </c>
      <c r="EQ15" s="10">
        <v>0</v>
      </c>
      <c r="ER15" s="10">
        <v>0.15909999999999999</v>
      </c>
      <c r="ES15" s="10">
        <v>0.84089999999999998</v>
      </c>
      <c r="ET15" s="7" t="s">
        <v>24</v>
      </c>
      <c r="EU15" s="7" t="s">
        <v>24</v>
      </c>
      <c r="EV15" s="7" t="s">
        <v>24</v>
      </c>
      <c r="EW15" s="45">
        <v>0.24079999999999999</v>
      </c>
      <c r="EX15" s="10" t="s">
        <v>24</v>
      </c>
      <c r="EY15" s="10">
        <v>0</v>
      </c>
      <c r="EZ15" s="10" t="s">
        <v>24</v>
      </c>
      <c r="FA15" s="7" t="s">
        <v>24</v>
      </c>
      <c r="FB15" s="10">
        <v>0</v>
      </c>
      <c r="FC15" s="10">
        <v>0.5</v>
      </c>
      <c r="FD15" s="10">
        <v>0.5</v>
      </c>
      <c r="FE15" s="10">
        <v>0</v>
      </c>
      <c r="FF15" s="10">
        <v>0.15703329999999999</v>
      </c>
      <c r="FG15" s="10">
        <v>0.84296669999999996</v>
      </c>
      <c r="FH15" s="7" t="s">
        <v>24</v>
      </c>
      <c r="FI15" s="7" t="s">
        <v>24</v>
      </c>
      <c r="FJ15" s="7" t="s">
        <v>24</v>
      </c>
    </row>
    <row r="16" spans="2:166" x14ac:dyDescent="0.2">
      <c r="B16" s="3"/>
      <c r="C16" s="6"/>
      <c r="E16" s="69"/>
      <c r="F16" s="69"/>
      <c r="G16" s="14"/>
      <c r="H16" s="7"/>
      <c r="I16" s="7"/>
      <c r="J16" s="7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4"/>
      <c r="AN16" s="7"/>
      <c r="AO16" s="7"/>
      <c r="AP16" s="7"/>
      <c r="AQ16" s="14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14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14"/>
      <c r="BT16" s="7"/>
      <c r="BU16" s="7"/>
      <c r="BV16" s="7"/>
      <c r="BW16" s="14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14"/>
      <c r="CL16" s="7"/>
      <c r="CM16" s="7"/>
      <c r="CN16" s="7"/>
      <c r="CO16" s="7"/>
      <c r="CP16" s="10"/>
      <c r="CQ16" s="7"/>
      <c r="CR16" s="7"/>
      <c r="CS16" s="7"/>
      <c r="CT16" s="7"/>
      <c r="CU16" s="7"/>
      <c r="CV16" s="7"/>
      <c r="CW16" s="7"/>
      <c r="CX16" s="7"/>
      <c r="CY16" s="14"/>
      <c r="CZ16" s="7"/>
      <c r="DA16" s="7"/>
      <c r="DB16" s="7"/>
      <c r="DC16" s="14"/>
      <c r="DD16" s="7"/>
      <c r="DE16" s="7"/>
      <c r="DF16" s="7"/>
      <c r="DG16" s="7"/>
      <c r="DH16" s="7"/>
      <c r="DI16" s="7"/>
      <c r="DJ16" s="7"/>
      <c r="DK16" s="7"/>
      <c r="DL16" s="7"/>
      <c r="DM16" s="10"/>
      <c r="DN16" s="7"/>
      <c r="DO16" s="7"/>
      <c r="DP16" s="7"/>
      <c r="DQ16" s="14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14"/>
      <c r="EF16" s="7"/>
      <c r="EG16" s="7"/>
      <c r="EH16" s="7"/>
      <c r="EI16" s="14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14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</row>
    <row r="17" spans="2:166" x14ac:dyDescent="0.2">
      <c r="B17" s="3"/>
      <c r="C17" s="6"/>
      <c r="E17" s="69"/>
      <c r="F17" s="69"/>
      <c r="G17" s="14"/>
      <c r="H17" s="7"/>
      <c r="I17" s="7"/>
      <c r="J17" s="7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4"/>
      <c r="AN17" s="7"/>
      <c r="AO17" s="7"/>
      <c r="AP17" s="7"/>
      <c r="AQ17" s="14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14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14"/>
      <c r="BT17" s="7"/>
      <c r="BU17" s="7"/>
      <c r="BV17" s="7"/>
      <c r="BW17" s="14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14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14"/>
      <c r="CZ17" s="7"/>
      <c r="DA17" s="7"/>
      <c r="DB17" s="7"/>
      <c r="DC17" s="14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14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14"/>
      <c r="EF17" s="7"/>
      <c r="EG17" s="7"/>
      <c r="EH17" s="7"/>
      <c r="EI17" s="14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14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</row>
    <row r="18" spans="2:166" x14ac:dyDescent="0.2">
      <c r="B18" s="3"/>
      <c r="C18" s="6">
        <v>3</v>
      </c>
      <c r="D18" t="s">
        <v>40</v>
      </c>
      <c r="E18" s="69"/>
      <c r="F18" s="69"/>
      <c r="G18" s="46">
        <v>0.86363040000000002</v>
      </c>
      <c r="H18" s="7"/>
      <c r="I18" s="7"/>
      <c r="J18" s="7"/>
      <c r="K18" s="45">
        <v>0.87937739999999998</v>
      </c>
      <c r="L18" s="10"/>
      <c r="M18" s="10"/>
      <c r="N18" s="10"/>
      <c r="O18" s="7"/>
      <c r="P18" s="7"/>
      <c r="Q18" s="7"/>
      <c r="R18" s="7"/>
      <c r="S18" s="7"/>
      <c r="T18" s="10"/>
      <c r="U18" s="10"/>
      <c r="V18" s="7"/>
      <c r="W18" s="7"/>
      <c r="X18" s="7"/>
      <c r="Y18" s="45">
        <v>0.83043480000000003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45">
        <v>0.82390099999999999</v>
      </c>
      <c r="AN18" s="8"/>
      <c r="AO18" s="8"/>
      <c r="AP18" s="8"/>
      <c r="AQ18" s="45">
        <v>0.83181939999999999</v>
      </c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45">
        <v>0.79391299999999998</v>
      </c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45">
        <v>0.81705709999999998</v>
      </c>
      <c r="BT18" s="7"/>
      <c r="BU18" s="7"/>
      <c r="BV18" s="7"/>
      <c r="BW18" s="45">
        <v>0.86377789999999999</v>
      </c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45">
        <v>0.8292754</v>
      </c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45">
        <v>0.84693339999999995</v>
      </c>
      <c r="CZ18" s="7"/>
      <c r="DA18" s="7"/>
      <c r="DB18" s="7"/>
      <c r="DC18" s="45">
        <v>0.86666670000000001</v>
      </c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45">
        <v>0.84144929999999996</v>
      </c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45">
        <v>0.77464789999999994</v>
      </c>
      <c r="EF18" s="7"/>
      <c r="EG18" s="7"/>
      <c r="EH18" s="7"/>
      <c r="EI18" s="45">
        <v>0.79164500000000004</v>
      </c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45">
        <v>0.79169909999999999</v>
      </c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</row>
    <row r="19" spans="2:166" x14ac:dyDescent="0.2">
      <c r="B19" s="3"/>
      <c r="C19" s="6">
        <v>3</v>
      </c>
      <c r="D19" t="s">
        <v>41</v>
      </c>
      <c r="E19" s="69"/>
      <c r="F19" s="69"/>
      <c r="G19" s="45">
        <v>0.85048699999999999</v>
      </c>
      <c r="H19" s="7"/>
      <c r="I19" s="7"/>
      <c r="J19" s="7"/>
      <c r="K19" s="45">
        <v>0.87752980000000003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45">
        <v>0.82608700000000002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45">
        <v>0.82219010000000003</v>
      </c>
      <c r="AN19" s="7"/>
      <c r="AO19" s="7"/>
      <c r="AP19" s="7"/>
      <c r="AQ19" s="45">
        <v>0.82464329999999997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45">
        <v>0.79165459999999999</v>
      </c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45">
        <v>0.7929718</v>
      </c>
      <c r="BT19" s="7"/>
      <c r="BU19" s="7"/>
      <c r="BV19" s="7"/>
      <c r="BW19" s="45">
        <v>0.86121919999999996</v>
      </c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45">
        <v>0.77658649999999996</v>
      </c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45">
        <v>0.85588310000000001</v>
      </c>
      <c r="CZ19" s="7"/>
      <c r="DA19" s="7"/>
      <c r="DB19" s="7"/>
      <c r="DC19" s="45">
        <v>0.85940340000000004</v>
      </c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45">
        <v>0.83164300000000002</v>
      </c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45">
        <v>0.76546460000000005</v>
      </c>
      <c r="EF19" s="7"/>
      <c r="EG19" s="7"/>
      <c r="EH19" s="7"/>
      <c r="EI19" s="45">
        <v>0.79169909999999999</v>
      </c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45">
        <v>0.79190450000000001</v>
      </c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</row>
    <row r="20" spans="2:166" x14ac:dyDescent="0.2">
      <c r="B20" s="3"/>
      <c r="C20" s="6">
        <v>3</v>
      </c>
      <c r="D20" t="s">
        <v>42</v>
      </c>
      <c r="E20" s="69"/>
      <c r="F20" s="69"/>
      <c r="G20" s="45">
        <v>0.85759410000000003</v>
      </c>
      <c r="H20" s="7"/>
      <c r="I20" s="7"/>
      <c r="J20" s="7"/>
      <c r="K20" s="45">
        <v>0.86922679999999997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45">
        <v>0.8281657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45">
        <v>0.8253258</v>
      </c>
      <c r="AN20" s="7"/>
      <c r="AO20" s="7"/>
      <c r="AP20" s="7"/>
      <c r="AQ20" s="45">
        <v>0.8285344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45">
        <v>0.79594200000000004</v>
      </c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45">
        <v>0.84994080000000005</v>
      </c>
      <c r="BT20" s="7"/>
      <c r="BU20" s="7"/>
      <c r="BV20" s="7"/>
      <c r="BW20" s="45">
        <v>0.863259</v>
      </c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45">
        <v>0.81333330000000004</v>
      </c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45">
        <v>0.85046730000000004</v>
      </c>
      <c r="CZ20" s="7"/>
      <c r="DA20" s="7"/>
      <c r="DB20" s="7"/>
      <c r="DC20" s="45">
        <v>0.86659750000000002</v>
      </c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45">
        <v>0.81942029999999999</v>
      </c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45">
        <v>0.75967359999999995</v>
      </c>
      <c r="EF20" s="7"/>
      <c r="EG20" s="7"/>
      <c r="EH20" s="7"/>
      <c r="EI20" s="45">
        <v>0.79190450000000001</v>
      </c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45">
        <v>0.79164500000000004</v>
      </c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</row>
    <row r="21" spans="2:166" x14ac:dyDescent="0.2">
      <c r="B21" s="3"/>
      <c r="C21" s="6">
        <v>3</v>
      </c>
      <c r="D21" t="s">
        <v>49</v>
      </c>
      <c r="E21" s="69"/>
      <c r="F21" s="69"/>
      <c r="G21" s="45">
        <v>0.85723716666666672</v>
      </c>
      <c r="H21" s="7"/>
      <c r="I21" s="7"/>
      <c r="J21" s="7"/>
      <c r="K21" s="71">
        <f>AVERAGE(K18:K20)</f>
        <v>0.87537799999999999</v>
      </c>
      <c r="L21" s="7"/>
      <c r="M21" s="7"/>
      <c r="N21" s="7"/>
      <c r="O21" s="10">
        <v>5.885E-2</v>
      </c>
      <c r="P21" s="33">
        <v>0.75</v>
      </c>
      <c r="Q21" s="7">
        <v>0.25</v>
      </c>
      <c r="R21" s="7">
        <v>0</v>
      </c>
      <c r="S21" s="82">
        <v>0.91093329999999995</v>
      </c>
      <c r="T21" s="10">
        <v>8.9066670000000001E-2</v>
      </c>
      <c r="U21" s="7">
        <v>0</v>
      </c>
      <c r="V21" s="7" t="s">
        <v>24</v>
      </c>
      <c r="W21" s="7" t="s">
        <v>24</v>
      </c>
      <c r="X21" s="7" t="s">
        <v>24</v>
      </c>
      <c r="Y21" s="58">
        <f>AVERAGE(Y18:Y20)</f>
        <v>0.82822916666666668</v>
      </c>
      <c r="Z21" s="7"/>
      <c r="AA21" s="7"/>
      <c r="AB21" s="7"/>
      <c r="AC21" s="10">
        <v>7.626E-3</v>
      </c>
      <c r="AD21" s="7">
        <v>0</v>
      </c>
      <c r="AE21" s="7">
        <v>0.25</v>
      </c>
      <c r="AF21" s="7">
        <v>0.75</v>
      </c>
      <c r="AG21" s="10">
        <v>0</v>
      </c>
      <c r="AH21" s="10">
        <v>8.3999999999999995E-3</v>
      </c>
      <c r="AI21" s="49">
        <v>0.99160000000000004</v>
      </c>
      <c r="AJ21" s="10">
        <v>2.8198730000000001E-3</v>
      </c>
      <c r="AK21" s="10">
        <v>8.7433319999999995E-3</v>
      </c>
      <c r="AL21" s="49">
        <v>0.9884368</v>
      </c>
      <c r="AM21" s="52">
        <f>AVERAGE(AM18:AM20)</f>
        <v>0.82380563333333334</v>
      </c>
      <c r="AN21" s="8"/>
      <c r="AO21" s="8"/>
      <c r="AP21" s="8"/>
      <c r="AQ21" s="56">
        <f>AVERAGE(AQ18:AQ20)</f>
        <v>0.82833236666666676</v>
      </c>
      <c r="AR21" s="7"/>
      <c r="AS21" s="7"/>
      <c r="AT21" s="7"/>
      <c r="AU21" s="10">
        <v>0.22900000000000001</v>
      </c>
      <c r="AV21" s="7">
        <v>0</v>
      </c>
      <c r="AW21" s="31">
        <v>1</v>
      </c>
      <c r="AX21" s="7">
        <v>0</v>
      </c>
      <c r="AY21" s="7">
        <v>0</v>
      </c>
      <c r="AZ21" s="31">
        <v>1</v>
      </c>
      <c r="BA21" s="7">
        <v>0</v>
      </c>
      <c r="BB21" s="10">
        <v>0.1074374</v>
      </c>
      <c r="BC21" s="10">
        <v>0.8718418</v>
      </c>
      <c r="BD21" s="10">
        <v>2.0720740000000001E-2</v>
      </c>
      <c r="BE21" s="40">
        <f>AVERAGE(BE18:BE20)</f>
        <v>0.79383653333333337</v>
      </c>
      <c r="BF21" s="7"/>
      <c r="BG21" s="7"/>
      <c r="BH21" s="7"/>
      <c r="BI21" s="10">
        <v>1.2310000000000001E-4</v>
      </c>
      <c r="BJ21" s="7">
        <v>0</v>
      </c>
      <c r="BK21" s="7">
        <v>0.25</v>
      </c>
      <c r="BL21" s="7">
        <v>0.75</v>
      </c>
      <c r="BM21" s="7">
        <v>0</v>
      </c>
      <c r="BN21" s="10">
        <v>9.1666669999999999E-3</v>
      </c>
      <c r="BO21" s="49">
        <v>0.99083330000000003</v>
      </c>
      <c r="BP21" s="10">
        <v>4.6158229999999997E-5</v>
      </c>
      <c r="BQ21" s="10">
        <v>1.386839E-4</v>
      </c>
      <c r="BR21" s="49">
        <v>0.99981520000000002</v>
      </c>
      <c r="BS21" s="51">
        <f>AVERAGE(BS18:BS20)</f>
        <v>0.81998990000000005</v>
      </c>
      <c r="BT21" s="7"/>
      <c r="BU21" s="7"/>
      <c r="BV21" s="7"/>
      <c r="BW21" s="52">
        <f>AVERAGE(BW18:BW20)</f>
        <v>0.86275203333333328</v>
      </c>
      <c r="BX21" s="7"/>
      <c r="BY21" s="7"/>
      <c r="BZ21" s="7"/>
      <c r="CA21" s="10">
        <v>0.1159</v>
      </c>
      <c r="CB21" s="7">
        <v>0.75</v>
      </c>
      <c r="CC21" s="7">
        <v>0.25</v>
      </c>
      <c r="CD21" s="7">
        <v>0</v>
      </c>
      <c r="CE21" s="28">
        <v>0.96306670000000005</v>
      </c>
      <c r="CF21" s="10">
        <v>3.693333E-2</v>
      </c>
      <c r="CG21" s="10">
        <v>0</v>
      </c>
      <c r="CH21" s="10">
        <v>0.89110239999999996</v>
      </c>
      <c r="CI21" s="10">
        <v>5.707951E-2</v>
      </c>
      <c r="CJ21" s="10">
        <v>5.1818070000000001E-2</v>
      </c>
      <c r="CK21" s="14">
        <f>AVERAGE(CK18:CK20)</f>
        <v>0.80639839999999996</v>
      </c>
      <c r="CL21" s="7"/>
      <c r="CM21" s="7"/>
      <c r="CN21" s="7"/>
      <c r="CO21" s="10">
        <v>0.4385</v>
      </c>
      <c r="CP21" s="7">
        <v>0.25</v>
      </c>
      <c r="CQ21" s="7">
        <v>0.25</v>
      </c>
      <c r="CR21" s="7">
        <v>0.5</v>
      </c>
      <c r="CS21" s="10">
        <v>8.0566670000000007E-2</v>
      </c>
      <c r="CT21" s="10">
        <v>0.24246670000000001</v>
      </c>
      <c r="CU21" s="10">
        <v>0.67696670000000003</v>
      </c>
      <c r="CV21" s="10">
        <v>0.14296719999999999</v>
      </c>
      <c r="CW21" s="10">
        <v>0.28031279999999997</v>
      </c>
      <c r="CX21" s="10">
        <v>0.57672000000000001</v>
      </c>
      <c r="CY21" s="14">
        <f>AVERAGE(CY18:CY20)</f>
        <v>0.85109460000000003</v>
      </c>
      <c r="CZ21" s="7"/>
      <c r="DA21" s="7"/>
      <c r="DB21" s="7"/>
      <c r="DC21" s="34">
        <f>AVERAGE(DC18:DC20)</f>
        <v>0.86422253333333332</v>
      </c>
      <c r="DD21" s="7"/>
      <c r="DE21" s="7"/>
      <c r="DF21" s="7"/>
      <c r="DG21" s="10">
        <v>3.49E-2</v>
      </c>
      <c r="DH21" s="7">
        <v>0</v>
      </c>
      <c r="DI21" s="7">
        <v>0.25</v>
      </c>
      <c r="DJ21" s="7">
        <v>0.75</v>
      </c>
      <c r="DK21" s="7">
        <v>0</v>
      </c>
      <c r="DL21" s="10">
        <v>7.7000000000000002E-3</v>
      </c>
      <c r="DM21" s="49">
        <v>0.99229999999999996</v>
      </c>
      <c r="DN21" s="10">
        <v>2.067505E-2</v>
      </c>
      <c r="DO21" s="10">
        <v>4.7604079999999998E-3</v>
      </c>
      <c r="DP21" s="49">
        <v>0.97456449999999994</v>
      </c>
      <c r="DQ21" s="14">
        <f>AVERAGE(DQ18:DQ20)</f>
        <v>0.83083753333333332</v>
      </c>
      <c r="DR21" s="7"/>
      <c r="DS21" s="7"/>
      <c r="DT21" s="7"/>
      <c r="DU21" s="10">
        <v>0.4844</v>
      </c>
      <c r="DV21" s="7">
        <v>0</v>
      </c>
      <c r="DW21" s="7">
        <v>0.75</v>
      </c>
      <c r="DX21" s="7">
        <v>0.25</v>
      </c>
      <c r="DY21" s="7"/>
      <c r="DZ21" s="10">
        <v>0.58063330000000002</v>
      </c>
      <c r="EA21" s="10">
        <v>0.41936669999999998</v>
      </c>
      <c r="EB21" s="10">
        <v>0.12359249999999999</v>
      </c>
      <c r="EC21" s="10">
        <v>0.42680299999999999</v>
      </c>
      <c r="ED21" s="10">
        <v>0.44960450000000002</v>
      </c>
      <c r="EE21" s="14">
        <f>AVERAGE(EE18:EE20)</f>
        <v>0.76659536666666661</v>
      </c>
      <c r="EF21" s="7"/>
      <c r="EG21" s="7"/>
      <c r="EH21" s="7"/>
      <c r="EI21" s="38">
        <f>AVERAGE(EI18:EI20)</f>
        <v>0.79174953333333331</v>
      </c>
      <c r="EJ21" s="7"/>
      <c r="EK21" s="7"/>
      <c r="EL21" s="7"/>
      <c r="EM21" s="10">
        <v>2.9649999999999999E-2</v>
      </c>
      <c r="EN21" s="7">
        <v>0.75</v>
      </c>
      <c r="EO21" s="7">
        <v>0.25</v>
      </c>
      <c r="EP21" s="7">
        <v>0</v>
      </c>
      <c r="EQ21" s="28">
        <v>0.96336670000000002</v>
      </c>
      <c r="ER21" s="10">
        <v>3.6633329999999999E-2</v>
      </c>
      <c r="ES21" s="7">
        <v>0</v>
      </c>
      <c r="ET21" s="28">
        <v>0.95121100000000003</v>
      </c>
      <c r="EU21" s="10">
        <v>3.8524120000000002E-2</v>
      </c>
      <c r="EV21" s="10">
        <v>1.026489E-2</v>
      </c>
      <c r="EW21" s="19">
        <f>AVERAGE(EW18:EW20)</f>
        <v>0.79174953333333331</v>
      </c>
      <c r="EX21" s="7"/>
      <c r="EY21" s="7"/>
      <c r="EZ21" s="7"/>
      <c r="FA21" s="10">
        <v>2.869E-2</v>
      </c>
      <c r="FB21" s="7">
        <v>0.75</v>
      </c>
      <c r="FC21" s="7">
        <v>0.25</v>
      </c>
      <c r="FD21" s="7">
        <v>0</v>
      </c>
      <c r="FE21" s="28">
        <v>0.96419999999999995</v>
      </c>
      <c r="FF21" s="10">
        <v>3.5799999999999998E-2</v>
      </c>
      <c r="FG21" s="7">
        <v>0</v>
      </c>
      <c r="FH21" s="28">
        <v>0.95263929999999997</v>
      </c>
      <c r="FI21" s="10">
        <v>3.7433960000000002E-2</v>
      </c>
      <c r="FJ21" s="10">
        <v>9.9267810000000008E-3</v>
      </c>
    </row>
    <row r="22" spans="2:166" x14ac:dyDescent="0.2">
      <c r="B22" s="3"/>
      <c r="C22" s="6">
        <v>3</v>
      </c>
      <c r="D22" t="s">
        <v>43</v>
      </c>
      <c r="E22" s="69"/>
      <c r="F22" s="69"/>
      <c r="G22" s="45">
        <v>0.8589</v>
      </c>
      <c r="H22" s="10">
        <v>0.8860614</v>
      </c>
      <c r="I22" s="10">
        <v>0.93433120000000003</v>
      </c>
      <c r="J22" s="10">
        <v>0.90955629999999998</v>
      </c>
      <c r="K22" s="45">
        <v>0.5292</v>
      </c>
      <c r="L22" s="10">
        <v>0.75924899999999995</v>
      </c>
      <c r="M22" s="10">
        <v>0.5562298</v>
      </c>
      <c r="N22" s="10">
        <v>0.64207329999999996</v>
      </c>
      <c r="O22" s="7" t="s">
        <v>24</v>
      </c>
      <c r="P22" s="7">
        <v>0</v>
      </c>
      <c r="Q22" s="7">
        <v>0.5</v>
      </c>
      <c r="R22" s="7">
        <v>0.5</v>
      </c>
      <c r="S22" s="7">
        <v>0</v>
      </c>
      <c r="T22" s="10">
        <v>0.1555</v>
      </c>
      <c r="U22" s="10">
        <v>0.84450000000000003</v>
      </c>
      <c r="V22" s="7" t="s">
        <v>24</v>
      </c>
      <c r="W22" s="7" t="s">
        <v>24</v>
      </c>
      <c r="X22" s="7" t="s">
        <v>24</v>
      </c>
      <c r="Y22" s="45">
        <v>0.90359999999999996</v>
      </c>
      <c r="Z22" s="10">
        <v>0.92181389999999996</v>
      </c>
      <c r="AA22" s="10">
        <v>0.9538835</v>
      </c>
      <c r="AB22" s="10">
        <v>0.93757460000000004</v>
      </c>
      <c r="AC22" s="7" t="s">
        <v>24</v>
      </c>
      <c r="AD22" s="7">
        <v>0.5</v>
      </c>
      <c r="AE22" s="33">
        <v>0.5</v>
      </c>
      <c r="AF22" s="7">
        <v>0</v>
      </c>
      <c r="AG22" s="10">
        <v>0.83726670000000003</v>
      </c>
      <c r="AH22" s="10">
        <v>0.1627333</v>
      </c>
      <c r="AI22" s="7">
        <v>0</v>
      </c>
      <c r="AJ22" s="7" t="s">
        <v>24</v>
      </c>
      <c r="AK22" s="7" t="s">
        <v>24</v>
      </c>
      <c r="AL22" s="7" t="s">
        <v>24</v>
      </c>
      <c r="AM22" s="45">
        <v>0.82699999999999996</v>
      </c>
      <c r="AN22" s="10">
        <v>0.85102990000000001</v>
      </c>
      <c r="AO22" s="10">
        <v>0.93594929999999998</v>
      </c>
      <c r="AP22" s="10">
        <v>0.89147189999999998</v>
      </c>
      <c r="AQ22" s="45">
        <v>0.73599999999999999</v>
      </c>
      <c r="AR22" s="10">
        <v>0.78436209999999995</v>
      </c>
      <c r="AS22" s="10">
        <v>0.89954149999999999</v>
      </c>
      <c r="AT22" s="10">
        <v>0.83801270000000005</v>
      </c>
      <c r="AU22" s="7" t="s">
        <v>24</v>
      </c>
      <c r="AV22" s="7">
        <v>0</v>
      </c>
      <c r="AW22" s="7">
        <v>0.5</v>
      </c>
      <c r="AX22" s="7">
        <v>0.5</v>
      </c>
      <c r="AY22" s="7">
        <v>0</v>
      </c>
      <c r="AZ22" s="10">
        <v>0.15996669999999999</v>
      </c>
      <c r="BA22" s="10">
        <v>0.84003329999999998</v>
      </c>
      <c r="BB22" s="7" t="s">
        <v>24</v>
      </c>
      <c r="BC22" s="7" t="s">
        <v>24</v>
      </c>
      <c r="BD22" s="7" t="s">
        <v>24</v>
      </c>
      <c r="BE22" s="45">
        <v>0.84550000000000003</v>
      </c>
      <c r="BF22" s="10">
        <v>0.86413510000000004</v>
      </c>
      <c r="BG22" s="10">
        <v>0.94511869999999998</v>
      </c>
      <c r="BH22" s="10">
        <v>0.90281449999999996</v>
      </c>
      <c r="BI22" s="7" t="s">
        <v>24</v>
      </c>
      <c r="BJ22" s="7">
        <v>0.5</v>
      </c>
      <c r="BK22" s="7">
        <v>0.5</v>
      </c>
      <c r="BL22" s="7">
        <v>0</v>
      </c>
      <c r="BM22" s="10">
        <v>0.5431667</v>
      </c>
      <c r="BN22" s="10">
        <v>0.4568333</v>
      </c>
      <c r="BO22" s="7">
        <v>0</v>
      </c>
      <c r="BP22" s="7" t="s">
        <v>24</v>
      </c>
      <c r="BQ22" s="7" t="s">
        <v>24</v>
      </c>
      <c r="BR22" s="7" t="s">
        <v>24</v>
      </c>
      <c r="BS22" s="45">
        <v>0.75919999999999999</v>
      </c>
      <c r="BT22" s="10">
        <v>0.75921380000000005</v>
      </c>
      <c r="BU22" s="10">
        <v>1</v>
      </c>
      <c r="BV22" s="10">
        <v>0.86312849999999997</v>
      </c>
      <c r="BW22" s="45">
        <v>0.50260000000000005</v>
      </c>
      <c r="BX22" s="10">
        <v>0.71045270000000005</v>
      </c>
      <c r="BY22" s="10">
        <v>0.58198490000000003</v>
      </c>
      <c r="BZ22" s="10">
        <v>0.63983400000000001</v>
      </c>
      <c r="CA22" s="7" t="s">
        <v>24</v>
      </c>
      <c r="CB22" s="7">
        <v>0</v>
      </c>
      <c r="CC22" s="7">
        <v>0.5</v>
      </c>
      <c r="CD22" s="7">
        <v>0.5</v>
      </c>
      <c r="CE22" s="7">
        <v>0</v>
      </c>
      <c r="CF22" s="10">
        <v>0.16259999999999999</v>
      </c>
      <c r="CG22" s="10">
        <v>0.83740000000000003</v>
      </c>
      <c r="CH22" s="7" t="s">
        <v>24</v>
      </c>
      <c r="CI22" s="7" t="s">
        <v>24</v>
      </c>
      <c r="CJ22" s="7" t="s">
        <v>24</v>
      </c>
      <c r="CK22" s="45">
        <v>0.7893</v>
      </c>
      <c r="CL22" s="10">
        <v>0.85834670000000002</v>
      </c>
      <c r="CM22" s="10">
        <v>0.86529129999999999</v>
      </c>
      <c r="CN22" s="10">
        <v>0.86180500000000004</v>
      </c>
      <c r="CO22" s="7" t="s">
        <v>24</v>
      </c>
      <c r="CP22" s="7">
        <v>0.5</v>
      </c>
      <c r="CQ22" s="7">
        <v>0.5</v>
      </c>
      <c r="CR22" s="7">
        <v>0</v>
      </c>
      <c r="CS22" s="10">
        <v>0.84309999999999996</v>
      </c>
      <c r="CT22" s="10">
        <v>0.15690000000000001</v>
      </c>
      <c r="CU22" s="7">
        <v>0</v>
      </c>
      <c r="CV22" s="7" t="s">
        <v>24</v>
      </c>
      <c r="CW22" s="7" t="s">
        <v>24</v>
      </c>
      <c r="CX22" s="7" t="s">
        <v>24</v>
      </c>
      <c r="CY22" s="45">
        <v>0.85329999999999995</v>
      </c>
      <c r="CZ22" s="10">
        <v>0.88045280000000004</v>
      </c>
      <c r="DA22" s="10">
        <v>0.93352210000000002</v>
      </c>
      <c r="DB22" s="10">
        <v>0.90621110000000005</v>
      </c>
      <c r="DC22" s="45">
        <v>0.45319999999999999</v>
      </c>
      <c r="DD22" s="10">
        <v>0.68147630000000003</v>
      </c>
      <c r="DE22" s="10">
        <v>0.5253506</v>
      </c>
      <c r="DF22" s="10">
        <v>0.59331460000000003</v>
      </c>
      <c r="DG22" s="7" t="s">
        <v>24</v>
      </c>
      <c r="DH22" s="7">
        <v>0</v>
      </c>
      <c r="DI22" s="7">
        <v>0.5</v>
      </c>
      <c r="DJ22" s="7">
        <v>0.5</v>
      </c>
      <c r="DK22" s="10">
        <v>0</v>
      </c>
      <c r="DL22" s="10">
        <v>0.1607333</v>
      </c>
      <c r="DM22" s="10">
        <v>0.83926670000000003</v>
      </c>
      <c r="DN22" s="7" t="s">
        <v>24</v>
      </c>
      <c r="DO22" s="7" t="s">
        <v>24</v>
      </c>
      <c r="DP22" s="7" t="s">
        <v>24</v>
      </c>
      <c r="DQ22" s="45">
        <v>0.83489999999999998</v>
      </c>
      <c r="DR22" s="10">
        <v>0.87863760000000002</v>
      </c>
      <c r="DS22" s="10">
        <v>0.90790179999999998</v>
      </c>
      <c r="DT22" s="10">
        <v>0.89302999999999999</v>
      </c>
      <c r="DU22" s="7" t="s">
        <v>24</v>
      </c>
      <c r="DV22" s="7">
        <v>0</v>
      </c>
      <c r="DW22" s="7">
        <v>0.5</v>
      </c>
      <c r="DX22" s="7">
        <v>0.5</v>
      </c>
      <c r="DY22" s="7">
        <v>0</v>
      </c>
      <c r="DZ22" s="7">
        <v>1</v>
      </c>
      <c r="EA22" s="7">
        <v>0</v>
      </c>
      <c r="EB22" s="7" t="s">
        <v>24</v>
      </c>
      <c r="EC22" s="7" t="s">
        <v>24</v>
      </c>
      <c r="ED22" s="7" t="s">
        <v>24</v>
      </c>
      <c r="EE22" s="45">
        <v>0.77280000000000004</v>
      </c>
      <c r="EF22" s="10">
        <v>0.76969381999999997</v>
      </c>
      <c r="EG22" s="10">
        <v>1</v>
      </c>
      <c r="EH22" s="10">
        <v>0.86986101000000005</v>
      </c>
      <c r="EI22" s="45">
        <v>0.76129999999999998</v>
      </c>
      <c r="EJ22" s="10">
        <v>0.76077143999999997</v>
      </c>
      <c r="EK22" s="10">
        <v>1</v>
      </c>
      <c r="EL22" s="10">
        <v>0.864134234</v>
      </c>
      <c r="EM22" s="7" t="s">
        <v>24</v>
      </c>
      <c r="EN22" s="7">
        <v>0</v>
      </c>
      <c r="EO22" s="7">
        <v>0.5</v>
      </c>
      <c r="EP22" s="7">
        <v>0.5</v>
      </c>
      <c r="EQ22" s="7">
        <v>0</v>
      </c>
      <c r="ER22" s="10">
        <v>0.15803329999999999</v>
      </c>
      <c r="ES22" s="10">
        <v>0.84196669999999996</v>
      </c>
      <c r="ET22" s="7" t="s">
        <v>24</v>
      </c>
      <c r="EU22" s="7" t="s">
        <v>24</v>
      </c>
      <c r="EV22" s="7" t="s">
        <v>24</v>
      </c>
      <c r="EW22" s="45">
        <v>0.76129999999999998</v>
      </c>
      <c r="EX22" s="7">
        <v>1</v>
      </c>
      <c r="EY22" s="10">
        <v>0.864134234</v>
      </c>
      <c r="EZ22" s="7" t="s">
        <v>24</v>
      </c>
      <c r="FA22" s="7" t="s">
        <v>24</v>
      </c>
      <c r="FB22" s="10">
        <v>0</v>
      </c>
      <c r="FC22" s="10">
        <v>0.5</v>
      </c>
      <c r="FD22" s="7">
        <v>0.5</v>
      </c>
      <c r="FE22" s="10">
        <v>0</v>
      </c>
      <c r="FF22" s="10">
        <v>0.46310000000000001</v>
      </c>
      <c r="FG22" s="10">
        <v>0.53690000000000004</v>
      </c>
      <c r="FH22" s="7" t="s">
        <v>24</v>
      </c>
      <c r="FI22" s="7" t="s">
        <v>24</v>
      </c>
      <c r="FJ22" s="7" t="s">
        <v>24</v>
      </c>
    </row>
    <row r="23" spans="2:166" x14ac:dyDescent="0.2">
      <c r="B23" s="3"/>
      <c r="C23" s="6"/>
      <c r="E23" s="69"/>
      <c r="F23" s="69"/>
      <c r="G23" s="14"/>
      <c r="H23" s="7"/>
      <c r="I23" s="7"/>
      <c r="J23" s="7"/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4"/>
      <c r="AN23" s="7"/>
      <c r="AO23" s="7"/>
      <c r="AP23" s="7"/>
      <c r="AQ23" s="14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14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14"/>
      <c r="BT23" s="7"/>
      <c r="BU23" s="7"/>
      <c r="BV23" s="7"/>
      <c r="BW23" s="14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14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14"/>
      <c r="CZ23" s="7"/>
      <c r="DA23" s="7"/>
      <c r="DB23" s="7"/>
      <c r="DC23" s="14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14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14"/>
      <c r="EF23" s="7"/>
      <c r="EG23" s="7"/>
      <c r="EH23" s="7"/>
      <c r="EI23" s="14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14"/>
      <c r="EX23" s="7"/>
      <c r="EY23" s="7"/>
      <c r="EZ23" s="7"/>
      <c r="FA23" s="7"/>
      <c r="FB23" s="7"/>
      <c r="FC23" s="7"/>
      <c r="FD23" s="10"/>
      <c r="FE23" s="7"/>
      <c r="FF23" s="7"/>
      <c r="FG23" s="7"/>
      <c r="FH23" s="7"/>
      <c r="FI23" s="7"/>
      <c r="FJ23" s="7"/>
    </row>
    <row r="24" spans="2:166" x14ac:dyDescent="0.2">
      <c r="B24" s="3"/>
      <c r="C24" s="6">
        <v>4</v>
      </c>
      <c r="D24" t="s">
        <v>40</v>
      </c>
      <c r="E24" s="69"/>
      <c r="F24" s="69"/>
      <c r="G24" s="46">
        <v>0.86363040000000002</v>
      </c>
      <c r="H24" s="7"/>
      <c r="I24" s="7"/>
      <c r="J24" s="7"/>
      <c r="K24" s="45">
        <v>0.96558699999999997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45">
        <v>0.85478889999999996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45">
        <v>0.82390099999999999</v>
      </c>
      <c r="AN24" s="8"/>
      <c r="AO24" s="8"/>
      <c r="AP24" s="8"/>
      <c r="AQ24" s="45">
        <v>0.95728740000000001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45">
        <v>0.83899760000000001</v>
      </c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45">
        <v>0.81705709999999998</v>
      </c>
      <c r="BT24" s="7"/>
      <c r="BU24" s="7"/>
      <c r="BV24" s="7"/>
      <c r="BW24" s="45">
        <v>0.96335289999999996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45">
        <v>0.85175020000000001</v>
      </c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45">
        <v>0.84693339999999995</v>
      </c>
      <c r="CZ24" s="7"/>
      <c r="DA24" s="7"/>
      <c r="DB24" s="7"/>
      <c r="DC24" s="45">
        <v>0.96214569999999999</v>
      </c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45">
        <v>0.85581870000000004</v>
      </c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45">
        <v>0.77464789999999994</v>
      </c>
      <c r="EF24" s="7"/>
      <c r="EG24" s="7"/>
      <c r="EH24" s="7"/>
      <c r="EI24" s="45">
        <v>0.95728740000000001</v>
      </c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45">
        <v>0.95748129999999998</v>
      </c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</row>
    <row r="25" spans="2:166" x14ac:dyDescent="0.2">
      <c r="B25" s="3"/>
      <c r="C25" s="6">
        <v>4</v>
      </c>
      <c r="D25" t="s">
        <v>41</v>
      </c>
      <c r="E25" s="69"/>
      <c r="F25" s="69"/>
      <c r="G25" s="45">
        <v>0.85048699999999999</v>
      </c>
      <c r="H25" s="7"/>
      <c r="I25" s="7"/>
      <c r="J25" s="7"/>
      <c r="K25" s="45">
        <v>0.96477020000000002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45">
        <v>0.8579272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45">
        <v>0.82219010000000003</v>
      </c>
      <c r="AN25" s="7"/>
      <c r="AO25" s="7"/>
      <c r="AP25" s="7"/>
      <c r="AQ25" s="45">
        <v>0.95849359999999995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45">
        <v>0.83356209999999997</v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45">
        <v>0.7929718</v>
      </c>
      <c r="BT25" s="7"/>
      <c r="BU25" s="7"/>
      <c r="BV25" s="7"/>
      <c r="BW25" s="45">
        <v>0.96274550000000003</v>
      </c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45">
        <v>0.8239533</v>
      </c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45">
        <v>0.85588310000000001</v>
      </c>
      <c r="CZ25" s="7"/>
      <c r="DA25" s="7"/>
      <c r="DB25" s="7"/>
      <c r="DC25" s="45">
        <v>0.95910099999999998</v>
      </c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45">
        <v>0.86513379999999995</v>
      </c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45">
        <v>0.76546460000000005</v>
      </c>
      <c r="EF25" s="7"/>
      <c r="EG25" s="7"/>
      <c r="EH25" s="7"/>
      <c r="EI25" s="45">
        <v>0.95748129999999998</v>
      </c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45">
        <v>0.95748129999999998</v>
      </c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</row>
    <row r="26" spans="2:166" x14ac:dyDescent="0.2">
      <c r="B26" s="3"/>
      <c r="C26" s="6">
        <v>1</v>
      </c>
      <c r="D26" t="s">
        <v>42</v>
      </c>
      <c r="E26" s="69"/>
      <c r="F26" s="69"/>
      <c r="G26" s="45">
        <v>0.85759410000000003</v>
      </c>
      <c r="H26" s="7"/>
      <c r="I26" s="7"/>
      <c r="J26" s="7"/>
      <c r="K26" s="45">
        <v>0.96294800000000003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45">
        <v>0.85449549999999996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45">
        <v>0.8253258</v>
      </c>
      <c r="AN26" s="7"/>
      <c r="AO26" s="7"/>
      <c r="AP26" s="7"/>
      <c r="AQ26" s="45">
        <v>0.95788620000000002</v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45">
        <v>0.84385719999999997</v>
      </c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45">
        <v>0.84994080000000005</v>
      </c>
      <c r="BT26" s="7"/>
      <c r="BU26" s="7"/>
      <c r="BV26" s="7"/>
      <c r="BW26" s="45">
        <v>0.96437249999999997</v>
      </c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45">
        <v>0.86508750000000001</v>
      </c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45">
        <v>0.85046730000000004</v>
      </c>
      <c r="CZ26" s="7"/>
      <c r="DA26" s="7"/>
      <c r="DB26" s="7"/>
      <c r="DC26" s="45">
        <v>0.90990079999999995</v>
      </c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45">
        <v>0.86273160000000004</v>
      </c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45">
        <v>0.75967359999999995</v>
      </c>
      <c r="EF26" s="7"/>
      <c r="EG26" s="7"/>
      <c r="EH26" s="7"/>
      <c r="EI26" s="45">
        <v>0.95748129999999998</v>
      </c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45">
        <v>0.95728740000000001</v>
      </c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</row>
    <row r="27" spans="2:166" x14ac:dyDescent="0.2">
      <c r="B27" s="3"/>
      <c r="C27" s="6">
        <v>4</v>
      </c>
      <c r="D27" t="s">
        <v>49</v>
      </c>
      <c r="E27" s="69"/>
      <c r="F27" s="69"/>
      <c r="G27" s="13">
        <f>AVERAGE(G24:G26)</f>
        <v>0.85723716666666672</v>
      </c>
      <c r="H27" s="7"/>
      <c r="I27" s="7"/>
      <c r="J27" s="7"/>
      <c r="K27" s="29">
        <f>AVERAGE(K24:K26)</f>
        <v>0.96443506666666667</v>
      </c>
      <c r="L27" s="7"/>
      <c r="M27" s="7"/>
      <c r="N27" s="7"/>
      <c r="O27" s="10">
        <v>1.1739999999999999E-3</v>
      </c>
      <c r="P27" s="33">
        <v>0.75</v>
      </c>
      <c r="Q27" s="7">
        <v>0.25</v>
      </c>
      <c r="R27" s="7">
        <v>0</v>
      </c>
      <c r="S27" s="28">
        <v>0.99060000000000004</v>
      </c>
      <c r="T27" s="10">
        <v>9.4000000000000004E-3</v>
      </c>
      <c r="U27" s="7">
        <v>0</v>
      </c>
      <c r="V27" s="28">
        <v>0.99904919999999997</v>
      </c>
      <c r="W27" s="10">
        <v>2.962323E-4</v>
      </c>
      <c r="X27" s="10">
        <v>6.5454550000000004E-4</v>
      </c>
      <c r="Y27" s="56">
        <f>AVERAGE(Y24:Y26)</f>
        <v>0.85573719999999998</v>
      </c>
      <c r="Z27" s="7"/>
      <c r="AA27" s="7"/>
      <c r="AB27" s="7"/>
      <c r="AC27" s="10">
        <v>0.78280000000000005</v>
      </c>
      <c r="AD27" s="7">
        <v>0</v>
      </c>
      <c r="AE27" s="32">
        <v>1</v>
      </c>
      <c r="AF27" s="7">
        <v>0</v>
      </c>
      <c r="AG27" s="7">
        <v>0</v>
      </c>
      <c r="AH27" s="32">
        <v>1</v>
      </c>
      <c r="AI27" s="7">
        <v>0</v>
      </c>
      <c r="AJ27" s="10">
        <v>8.5960889999999998E-2</v>
      </c>
      <c r="AK27" s="10">
        <v>0.78275070000000002</v>
      </c>
      <c r="AL27" s="10">
        <v>0.1312884</v>
      </c>
      <c r="AM27" s="52">
        <f>AVERAGE(AM24:AM26)</f>
        <v>0.82380563333333334</v>
      </c>
      <c r="AN27" s="8"/>
      <c r="AO27" s="8"/>
      <c r="AP27" s="8"/>
      <c r="AQ27" s="52">
        <f>AVERAGE(AQ24:AQ26)</f>
        <v>0.95788906666666662</v>
      </c>
      <c r="AR27" s="7"/>
      <c r="AS27" s="7"/>
      <c r="AT27" s="7"/>
      <c r="AU27" s="10">
        <v>3.6380000000000001E-5</v>
      </c>
      <c r="AV27" s="10">
        <v>0.75</v>
      </c>
      <c r="AW27" s="10">
        <v>0.25</v>
      </c>
      <c r="AX27" s="7">
        <v>0</v>
      </c>
      <c r="AY27" s="28">
        <v>0.99</v>
      </c>
      <c r="AZ27" s="10">
        <v>0.01</v>
      </c>
      <c r="BA27" s="7">
        <v>0</v>
      </c>
      <c r="BB27" s="28">
        <v>0.99997170000000002</v>
      </c>
      <c r="BC27" s="10">
        <v>7.3167099999999996E-6</v>
      </c>
      <c r="BD27" s="10">
        <v>2.1006099999999999E-5</v>
      </c>
      <c r="BE27" s="74">
        <f>AVERAGE(BE24:BE26)</f>
        <v>0.83880563333333324</v>
      </c>
      <c r="BF27" s="7"/>
      <c r="BG27" s="7"/>
      <c r="BH27" s="7"/>
      <c r="BI27" s="10">
        <v>1.847E-2</v>
      </c>
      <c r="BJ27" s="10">
        <v>0.83413329999999997</v>
      </c>
      <c r="BK27" s="10">
        <v>0.16586670000000001</v>
      </c>
      <c r="BL27" s="7">
        <v>0</v>
      </c>
      <c r="BM27" s="62">
        <v>0.91439090000000001</v>
      </c>
      <c r="BN27" s="10">
        <v>8.1111849999999999E-2</v>
      </c>
      <c r="BO27" s="10">
        <v>4.4972299999999996E-3</v>
      </c>
      <c r="BP27" s="62">
        <v>0.91439090000000001</v>
      </c>
      <c r="BQ27" s="10">
        <v>8.1111849999999999E-2</v>
      </c>
      <c r="BR27" s="10">
        <v>4.4972299999999996E-3</v>
      </c>
      <c r="BS27" s="51">
        <f>AVERAGE(BS24:BS26)</f>
        <v>0.81998990000000005</v>
      </c>
      <c r="BT27" s="7"/>
      <c r="BU27" s="7"/>
      <c r="BV27" s="7"/>
      <c r="BW27" s="52">
        <f>AVERAGE(BW24:BW26)</f>
        <v>0.96349030000000002</v>
      </c>
      <c r="BX27" s="7"/>
      <c r="BY27" s="7"/>
      <c r="BZ27" s="7"/>
      <c r="CA27" s="10">
        <v>1.226E-2</v>
      </c>
      <c r="CB27" s="7">
        <v>0.75</v>
      </c>
      <c r="CC27" s="7">
        <v>0.25</v>
      </c>
      <c r="CD27" s="7">
        <v>0</v>
      </c>
      <c r="CE27" s="28">
        <v>0.99056670000000002</v>
      </c>
      <c r="CF27" s="10">
        <v>9.4333330000000003E-3</v>
      </c>
      <c r="CG27" s="7">
        <v>0</v>
      </c>
      <c r="CH27" s="28">
        <v>0.99064890000000005</v>
      </c>
      <c r="CI27" s="10">
        <v>2.2296260000000002E-3</v>
      </c>
      <c r="CJ27" s="10">
        <v>7.1215200000000001E-3</v>
      </c>
      <c r="CK27" s="38">
        <f>AVERAGE(CK24:CK26)</f>
        <v>0.84693033333333334</v>
      </c>
      <c r="CL27" s="7"/>
      <c r="CM27" s="7"/>
      <c r="CN27" s="7"/>
      <c r="CO27" s="10">
        <v>4.6100000000000002E-2</v>
      </c>
      <c r="CP27" s="7">
        <v>0.75</v>
      </c>
      <c r="CQ27" s="7">
        <v>0.25</v>
      </c>
      <c r="CR27" s="7">
        <v>0</v>
      </c>
      <c r="CS27" s="28">
        <v>0.96040000000000003</v>
      </c>
      <c r="CT27" s="10">
        <v>3.9600000000000003E-2</v>
      </c>
      <c r="CU27" s="7">
        <v>0</v>
      </c>
      <c r="CV27" s="60">
        <v>0.93293979999999999</v>
      </c>
      <c r="CW27" s="10">
        <v>5.0384289999999998E-2</v>
      </c>
      <c r="CX27" s="10">
        <v>1.6675880000000001E-2</v>
      </c>
      <c r="CY27" s="14">
        <f>AVERAGE(CY24:CY26)</f>
        <v>0.85109460000000003</v>
      </c>
      <c r="CZ27" s="7"/>
      <c r="DA27" s="7"/>
      <c r="DB27" s="7"/>
      <c r="DC27" s="38">
        <f>AVERAGE(DC24:DC26)</f>
        <v>0.94371583333333342</v>
      </c>
      <c r="DD27" s="7"/>
      <c r="DE27" s="7"/>
      <c r="DF27" s="7"/>
      <c r="DG27" s="10">
        <v>3.1899999999999998E-2</v>
      </c>
      <c r="DH27" s="7">
        <v>0.75</v>
      </c>
      <c r="DI27" s="7">
        <v>0.25</v>
      </c>
      <c r="DJ27" s="7">
        <v>0</v>
      </c>
      <c r="DK27" s="28">
        <v>0.99046670000000003</v>
      </c>
      <c r="DL27" s="10">
        <v>9.5333329999999997E-3</v>
      </c>
      <c r="DM27" s="7">
        <v>0</v>
      </c>
      <c r="DN27" s="49">
        <v>0.97409849999999998</v>
      </c>
      <c r="DO27" s="10">
        <v>8.647264E-3</v>
      </c>
      <c r="DP27" s="10">
        <v>1.7254189999999999E-2</v>
      </c>
      <c r="DQ27" s="14">
        <f>AVERAGE(DQ24:DQ26)</f>
        <v>0.86122803333333342</v>
      </c>
      <c r="DR27" s="7"/>
      <c r="DS27" s="7"/>
      <c r="DT27" s="7"/>
      <c r="DU27" s="10">
        <v>1.098E-2</v>
      </c>
      <c r="DV27" s="7">
        <v>0.25</v>
      </c>
      <c r="DW27" s="7">
        <v>0.75</v>
      </c>
      <c r="DX27" s="7">
        <v>0</v>
      </c>
      <c r="DY27" s="10">
        <v>0.32266669999999997</v>
      </c>
      <c r="DZ27" s="10">
        <v>0.67733330000000003</v>
      </c>
      <c r="EA27" s="10">
        <v>0</v>
      </c>
      <c r="EB27" s="10">
        <v>0.53805829999999999</v>
      </c>
      <c r="EC27" s="10">
        <v>0.46006710000000001</v>
      </c>
      <c r="ED27" s="10">
        <v>1.874644E-3</v>
      </c>
      <c r="EE27" s="14">
        <f>AVERAGE(EE24:EE26)</f>
        <v>0.76659536666666661</v>
      </c>
      <c r="EF27" s="7"/>
      <c r="EG27" s="7"/>
      <c r="EH27" s="7"/>
      <c r="EI27" s="38">
        <f>AVERAGE(EI24:EI26)</f>
        <v>0.95741666666666669</v>
      </c>
      <c r="EJ27" s="7"/>
      <c r="EK27" s="7"/>
      <c r="EL27" s="7"/>
      <c r="EM27" s="10">
        <v>5.3589999999999996E-4</v>
      </c>
      <c r="EN27" s="7">
        <v>0.75</v>
      </c>
      <c r="EO27" s="7">
        <v>0.25</v>
      </c>
      <c r="EP27" s="7">
        <v>0</v>
      </c>
      <c r="EQ27" s="28">
        <v>0.99143329999999996</v>
      </c>
      <c r="ER27" s="10">
        <v>8.566667E-3</v>
      </c>
      <c r="ES27" s="10">
        <v>0</v>
      </c>
      <c r="ET27" s="28">
        <v>0.99960230000000005</v>
      </c>
      <c r="EU27" s="10">
        <v>7.5203360000000003E-5</v>
      </c>
      <c r="EV27" s="10">
        <v>3.2252840000000001E-4</v>
      </c>
      <c r="EW27" s="19">
        <f>AVERAGE(EW24:EW26)</f>
        <v>0.95741666666666669</v>
      </c>
      <c r="EX27" s="7"/>
      <c r="EY27" s="7"/>
      <c r="EZ27" s="7"/>
      <c r="FA27" s="10">
        <v>5.0940000000000002E-4</v>
      </c>
      <c r="FB27" s="7">
        <v>0.75</v>
      </c>
      <c r="FC27" s="7">
        <v>0.25</v>
      </c>
      <c r="FD27" s="7">
        <v>0</v>
      </c>
      <c r="FE27" s="28">
        <v>0.99093330000000002</v>
      </c>
      <c r="FF27" s="10">
        <v>9.0666670000000005E-3</v>
      </c>
      <c r="FG27" s="7">
        <v>0</v>
      </c>
      <c r="FH27" s="28">
        <v>0.99962189999999995</v>
      </c>
      <c r="FI27" s="10">
        <v>7.1485660000000003E-5</v>
      </c>
      <c r="FJ27" s="10">
        <v>3.0656599999999998E-4</v>
      </c>
    </row>
    <row r="28" spans="2:166" x14ac:dyDescent="0.2">
      <c r="B28" s="3"/>
      <c r="C28" s="6">
        <v>4</v>
      </c>
      <c r="D28" t="s">
        <v>43</v>
      </c>
      <c r="E28" s="69"/>
      <c r="F28" s="69"/>
      <c r="G28" s="45">
        <v>0.8589</v>
      </c>
      <c r="H28" s="10">
        <v>0.8860614</v>
      </c>
      <c r="I28" s="10">
        <v>0.93433120000000003</v>
      </c>
      <c r="J28" s="10">
        <v>0.90955629999999998</v>
      </c>
      <c r="K28" s="45">
        <v>0.81740000000000002</v>
      </c>
      <c r="L28" s="10">
        <v>0.8063534</v>
      </c>
      <c r="M28" s="10">
        <v>0.99946060000000003</v>
      </c>
      <c r="N28" s="10">
        <v>0.89258190000000004</v>
      </c>
      <c r="O28" s="7" t="s">
        <v>24</v>
      </c>
      <c r="P28" s="7">
        <v>0</v>
      </c>
      <c r="Q28" s="7">
        <v>0.5</v>
      </c>
      <c r="R28" s="7">
        <v>0.5</v>
      </c>
      <c r="S28" s="7">
        <v>0</v>
      </c>
      <c r="T28" s="10">
        <v>0.15946669999999999</v>
      </c>
      <c r="U28" s="10">
        <v>0.84053330000000004</v>
      </c>
      <c r="V28" s="7" t="s">
        <v>24</v>
      </c>
      <c r="W28" s="7" t="s">
        <v>24</v>
      </c>
      <c r="X28" s="7" t="s">
        <v>24</v>
      </c>
      <c r="Y28" s="45">
        <v>0.87270000000000003</v>
      </c>
      <c r="Z28" s="10">
        <v>0.90929579999999999</v>
      </c>
      <c r="AA28" s="10">
        <v>0.92462239999999996</v>
      </c>
      <c r="AB28" s="10">
        <v>0.91689509999999996</v>
      </c>
      <c r="AC28" s="7" t="s">
        <v>24</v>
      </c>
      <c r="AD28" s="7">
        <v>0.5</v>
      </c>
      <c r="AE28" s="33">
        <v>0.5</v>
      </c>
      <c r="AF28" s="7">
        <v>0</v>
      </c>
      <c r="AG28" s="10">
        <v>0.54203330000000005</v>
      </c>
      <c r="AH28" s="10">
        <v>0.4579667</v>
      </c>
      <c r="AI28" s="7">
        <v>0</v>
      </c>
      <c r="AJ28" s="7" t="s">
        <v>24</v>
      </c>
      <c r="AK28" s="7" t="s">
        <v>24</v>
      </c>
      <c r="AL28" s="7" t="s">
        <v>24</v>
      </c>
      <c r="AM28" s="45">
        <v>0.82699999999999996</v>
      </c>
      <c r="AN28" s="10">
        <v>0.85102990000000001</v>
      </c>
      <c r="AO28" s="10">
        <v>0.93594929999999998</v>
      </c>
      <c r="AP28" s="10">
        <v>0.89147189999999998</v>
      </c>
      <c r="AQ28" s="45">
        <v>0.77329999999999999</v>
      </c>
      <c r="AR28" s="10">
        <v>0.77026185000000003</v>
      </c>
      <c r="AS28" s="10">
        <v>0.99959547000000004</v>
      </c>
      <c r="AT28" s="10">
        <v>0.87007042000000001</v>
      </c>
      <c r="AU28" s="7" t="s">
        <v>24</v>
      </c>
      <c r="AV28" s="7">
        <v>0</v>
      </c>
      <c r="AW28" s="7">
        <v>0.5</v>
      </c>
      <c r="AX28" s="7">
        <v>0.5</v>
      </c>
      <c r="AY28" s="7">
        <v>0</v>
      </c>
      <c r="AZ28" s="10">
        <v>0.1574333</v>
      </c>
      <c r="BA28" s="10">
        <v>0.8425667</v>
      </c>
      <c r="BB28" s="7" t="s">
        <v>24</v>
      </c>
      <c r="BC28" s="7" t="s">
        <v>24</v>
      </c>
      <c r="BD28" s="7" t="s">
        <v>24</v>
      </c>
      <c r="BE28" s="45">
        <v>0.81399999999999995</v>
      </c>
      <c r="BF28" s="10">
        <v>0.82285779999999997</v>
      </c>
      <c r="BG28" s="10">
        <v>0.96210899999999999</v>
      </c>
      <c r="BH28" s="10">
        <v>0.8870517</v>
      </c>
      <c r="BI28" s="7" t="s">
        <v>24</v>
      </c>
      <c r="BJ28" s="7">
        <v>0</v>
      </c>
      <c r="BK28" s="7">
        <v>0.5</v>
      </c>
      <c r="BL28" s="7">
        <v>0.5</v>
      </c>
      <c r="BM28" s="7">
        <v>0</v>
      </c>
      <c r="BN28" s="10">
        <v>0.45629999999999998</v>
      </c>
      <c r="BO28" s="10">
        <v>0.54369999999999996</v>
      </c>
      <c r="BP28" s="7" t="s">
        <v>24</v>
      </c>
      <c r="BQ28" s="7" t="s">
        <v>24</v>
      </c>
      <c r="BR28" s="7" t="s">
        <v>24</v>
      </c>
      <c r="BS28" s="45">
        <v>0.75919999999999999</v>
      </c>
      <c r="BT28" s="10">
        <v>0.75921380000000005</v>
      </c>
      <c r="BU28" s="10">
        <v>1</v>
      </c>
      <c r="BV28" s="10">
        <v>0.86312849999999997</v>
      </c>
      <c r="BW28" s="45">
        <v>0.78779999999999994</v>
      </c>
      <c r="BX28" s="10">
        <v>0.78236969999999995</v>
      </c>
      <c r="BY28" s="10">
        <v>0.9981122</v>
      </c>
      <c r="BZ28" s="10">
        <v>0.87717009999999995</v>
      </c>
      <c r="CA28" s="7" t="s">
        <v>24</v>
      </c>
      <c r="CB28" s="7">
        <v>0.5</v>
      </c>
      <c r="CC28" s="7">
        <v>0.5</v>
      </c>
      <c r="CD28" s="7">
        <v>0</v>
      </c>
      <c r="CE28" s="10">
        <v>0.84340000000000004</v>
      </c>
      <c r="CF28" s="10">
        <v>0.15659999999999999</v>
      </c>
      <c r="CG28" s="10">
        <v>0</v>
      </c>
      <c r="CH28" s="7" t="s">
        <v>24</v>
      </c>
      <c r="CI28" s="7" t="s">
        <v>24</v>
      </c>
      <c r="CJ28" s="7" t="s">
        <v>24</v>
      </c>
      <c r="CK28" s="45">
        <v>0.70540000000000003</v>
      </c>
      <c r="CL28" s="10">
        <v>0.79683409999999999</v>
      </c>
      <c r="CM28" s="10">
        <v>0.82133230000000002</v>
      </c>
      <c r="CN28" s="10">
        <v>0.80889770000000005</v>
      </c>
      <c r="CO28" s="7" t="s">
        <v>24</v>
      </c>
      <c r="CP28" s="7">
        <v>0</v>
      </c>
      <c r="CQ28" s="65">
        <v>0.5</v>
      </c>
      <c r="CR28" s="65">
        <v>0.5</v>
      </c>
      <c r="CS28" s="7">
        <v>0</v>
      </c>
      <c r="CT28" s="10">
        <v>0.16089999999999999</v>
      </c>
      <c r="CU28" s="10">
        <v>0.83909999999999996</v>
      </c>
      <c r="CV28" s="7" t="s">
        <v>24</v>
      </c>
      <c r="CW28" s="7" t="s">
        <v>24</v>
      </c>
      <c r="CX28" s="7" t="s">
        <v>24</v>
      </c>
      <c r="CY28" s="45">
        <v>0.85329999999999995</v>
      </c>
      <c r="CZ28" s="10">
        <v>0.88045280000000004</v>
      </c>
      <c r="DA28" s="10">
        <v>0.93352210000000002</v>
      </c>
      <c r="DB28" s="10">
        <v>0.90621110000000005</v>
      </c>
      <c r="DC28" s="45">
        <v>0.7752</v>
      </c>
      <c r="DD28" s="10">
        <v>0.77198833</v>
      </c>
      <c r="DE28" s="10">
        <v>0.99892124999999998</v>
      </c>
      <c r="DF28" s="10">
        <v>0.87091465000000001</v>
      </c>
      <c r="DG28" s="7" t="s">
        <v>24</v>
      </c>
      <c r="DH28" s="7">
        <v>0</v>
      </c>
      <c r="DI28" s="7">
        <v>0.5</v>
      </c>
      <c r="DJ28" s="7">
        <v>0.5</v>
      </c>
      <c r="DK28" s="10">
        <v>0</v>
      </c>
      <c r="DL28" s="10">
        <v>0.15870000000000001</v>
      </c>
      <c r="DM28" s="10">
        <v>0.84130000000000005</v>
      </c>
      <c r="DN28" s="7" t="s">
        <v>24</v>
      </c>
      <c r="DO28" s="7" t="s">
        <v>24</v>
      </c>
      <c r="DP28" s="7" t="s">
        <v>24</v>
      </c>
      <c r="DQ28" s="45">
        <v>0.8266</v>
      </c>
      <c r="DR28" s="10">
        <v>0.8858916</v>
      </c>
      <c r="DS28" s="10">
        <v>0.88565260000000001</v>
      </c>
      <c r="DT28" s="10">
        <v>0.88577209999999995</v>
      </c>
      <c r="DU28" s="7" t="s">
        <v>24</v>
      </c>
      <c r="DV28" s="7">
        <v>0</v>
      </c>
      <c r="DW28" s="7">
        <v>0.5</v>
      </c>
      <c r="DX28" s="7">
        <v>0.5</v>
      </c>
      <c r="DY28" s="7">
        <v>0</v>
      </c>
      <c r="DZ28" s="10">
        <v>0.15973329999999999</v>
      </c>
      <c r="EA28" s="10">
        <v>0.84026670000000003</v>
      </c>
      <c r="EB28" s="7" t="s">
        <v>24</v>
      </c>
      <c r="EC28" s="7" t="s">
        <v>24</v>
      </c>
      <c r="ED28" s="7" t="s">
        <v>24</v>
      </c>
      <c r="EE28" s="45">
        <v>0.77280000000000004</v>
      </c>
      <c r="EF28" s="10">
        <v>0.76969381999999997</v>
      </c>
      <c r="EG28" s="10">
        <v>1</v>
      </c>
      <c r="EH28" s="10">
        <v>0.86986101000000005</v>
      </c>
      <c r="EI28" s="45">
        <v>0.75919999999999999</v>
      </c>
      <c r="EJ28" s="10">
        <v>0.75921380000000005</v>
      </c>
      <c r="EK28" s="10">
        <v>1</v>
      </c>
      <c r="EL28" s="10">
        <v>0.86312849999999997</v>
      </c>
      <c r="EM28" s="7" t="s">
        <v>24</v>
      </c>
      <c r="EN28" s="7">
        <v>0</v>
      </c>
      <c r="EO28" s="7">
        <v>0.5</v>
      </c>
      <c r="EP28" s="7">
        <v>0.5</v>
      </c>
      <c r="EQ28" s="10">
        <v>0</v>
      </c>
      <c r="ER28" s="10">
        <v>0.46479999999999999</v>
      </c>
      <c r="ES28" s="10">
        <v>0.53520000000000001</v>
      </c>
      <c r="ET28" s="7" t="s">
        <v>24</v>
      </c>
      <c r="EU28" s="7" t="s">
        <v>24</v>
      </c>
      <c r="EV28" s="7" t="s">
        <v>24</v>
      </c>
      <c r="EW28" s="45">
        <v>0.75919999999999999</v>
      </c>
      <c r="EX28" s="10">
        <v>0.75921380000000005</v>
      </c>
      <c r="EY28" s="10">
        <v>1</v>
      </c>
      <c r="EZ28" s="10">
        <v>0.86312800000000001</v>
      </c>
      <c r="FA28" s="7" t="s">
        <v>24</v>
      </c>
      <c r="FB28" s="10">
        <v>0</v>
      </c>
      <c r="FC28" s="10">
        <v>0.5</v>
      </c>
      <c r="FD28" s="7">
        <v>0.5</v>
      </c>
      <c r="FE28" s="7">
        <v>0</v>
      </c>
      <c r="FF28" s="10">
        <v>0.46110000000000001</v>
      </c>
      <c r="FG28" s="10">
        <v>0.53890000000000005</v>
      </c>
      <c r="FH28" s="7" t="s">
        <v>24</v>
      </c>
      <c r="FI28" s="7" t="s">
        <v>24</v>
      </c>
      <c r="FJ28" s="7" t="s">
        <v>24</v>
      </c>
    </row>
    <row r="29" spans="2:166" x14ac:dyDescent="0.2">
      <c r="B29" s="3"/>
      <c r="C29" s="6"/>
      <c r="E29" s="69"/>
      <c r="F29" s="69"/>
      <c r="G29" s="14"/>
      <c r="H29" s="7"/>
      <c r="I29" s="7"/>
      <c r="J29" s="7"/>
      <c r="K29" s="1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14"/>
      <c r="AN29" s="7"/>
      <c r="AO29" s="7"/>
      <c r="AP29" s="7"/>
      <c r="AQ29" s="14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14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14"/>
      <c r="BT29" s="7"/>
      <c r="BU29" s="7"/>
      <c r="BV29" s="7"/>
      <c r="BW29" s="14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14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14"/>
      <c r="CZ29" s="7"/>
      <c r="DA29" s="7"/>
      <c r="DB29" s="7"/>
      <c r="DC29" s="14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14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14"/>
      <c r="EF29" s="7"/>
      <c r="EG29" s="7"/>
      <c r="EH29" s="7"/>
      <c r="EI29" s="14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14"/>
      <c r="EX29" s="7"/>
      <c r="EY29" s="7"/>
      <c r="EZ29" s="7"/>
      <c r="FA29" s="7"/>
      <c r="FB29" s="7"/>
      <c r="FC29" s="7"/>
      <c r="FD29" s="10"/>
      <c r="FE29" s="7"/>
      <c r="FF29" s="7"/>
      <c r="FG29" s="7"/>
      <c r="FH29" s="7"/>
      <c r="FI29" s="7"/>
      <c r="FJ29" s="7"/>
    </row>
    <row r="30" spans="2:166" x14ac:dyDescent="0.2">
      <c r="B30" s="3"/>
      <c r="C30" s="6">
        <v>5</v>
      </c>
      <c r="D30" t="s">
        <v>40</v>
      </c>
      <c r="E30" s="69"/>
      <c r="F30" s="69"/>
      <c r="G30" s="46">
        <v>0.86363040000000002</v>
      </c>
      <c r="H30" s="7"/>
      <c r="I30" s="7"/>
      <c r="J30" s="7"/>
      <c r="K30" s="45">
        <v>0.99975170000000002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45">
        <v>0.86742079999999999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45">
        <v>0.82390099999999999</v>
      </c>
      <c r="AN30" s="8"/>
      <c r="AO30" s="8"/>
      <c r="AP30" s="8"/>
      <c r="AQ30" s="45">
        <v>0.99975170000000002</v>
      </c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45">
        <v>0.80144930000000003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45">
        <v>0.81705709999999998</v>
      </c>
      <c r="BT30" s="7"/>
      <c r="BU30" s="7"/>
      <c r="BV30" s="7"/>
      <c r="BW30" s="45">
        <v>0.99975170000000002</v>
      </c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45">
        <v>0.86651579999999995</v>
      </c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45">
        <v>0.84693339999999995</v>
      </c>
      <c r="CZ30" s="7"/>
      <c r="DA30" s="7"/>
      <c r="DB30" s="7"/>
      <c r="DC30" s="45">
        <v>0.99900670000000003</v>
      </c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45">
        <v>0.86238119999999996</v>
      </c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45">
        <v>0.77464789999999994</v>
      </c>
      <c r="EF30" s="7"/>
      <c r="EG30" s="7"/>
      <c r="EH30" s="7"/>
      <c r="EI30" s="45">
        <v>0.99950349999999999</v>
      </c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45">
        <v>0.99950349999999999</v>
      </c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</row>
    <row r="31" spans="2:166" x14ac:dyDescent="0.2">
      <c r="B31" s="3"/>
      <c r="C31" s="6">
        <v>5</v>
      </c>
      <c r="D31" t="s">
        <v>41</v>
      </c>
      <c r="E31" s="69"/>
      <c r="F31" s="69"/>
      <c r="G31" s="45">
        <v>0.85048699999999999</v>
      </c>
      <c r="H31" s="7"/>
      <c r="I31" s="7"/>
      <c r="J31" s="7"/>
      <c r="K31" s="45">
        <v>0.99975170000000002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45">
        <v>0.87822540000000004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45">
        <v>0.82219010000000003</v>
      </c>
      <c r="AN31" s="7"/>
      <c r="AO31" s="7"/>
      <c r="AP31" s="7"/>
      <c r="AQ31" s="45">
        <v>0.99950349999999999</v>
      </c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45">
        <v>0.79455229999999999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45">
        <v>0.7929718</v>
      </c>
      <c r="BT31" s="7"/>
      <c r="BU31" s="7"/>
      <c r="BV31" s="7"/>
      <c r="BW31" s="45">
        <v>0.99950349999999999</v>
      </c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45">
        <v>0.86057039999999996</v>
      </c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45">
        <v>0.85588310000000001</v>
      </c>
      <c r="CZ31" s="7"/>
      <c r="DA31" s="7"/>
      <c r="DB31" s="7"/>
      <c r="DC31" s="45">
        <v>0.99900670000000003</v>
      </c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45">
        <v>0.87375570000000002</v>
      </c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45">
        <v>0.76546460000000005</v>
      </c>
      <c r="EF31" s="7"/>
      <c r="EG31" s="7"/>
      <c r="EH31" s="7"/>
      <c r="EI31" s="45">
        <v>0.99975170000000002</v>
      </c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45">
        <v>0.99975159999999996</v>
      </c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</row>
    <row r="32" spans="2:166" x14ac:dyDescent="0.2">
      <c r="B32" s="3"/>
      <c r="C32" s="6">
        <v>5</v>
      </c>
      <c r="D32" t="s">
        <v>42</v>
      </c>
      <c r="E32" s="69"/>
      <c r="F32" s="69"/>
      <c r="G32" s="45">
        <v>0.85759410000000003</v>
      </c>
      <c r="H32" s="7"/>
      <c r="I32" s="7"/>
      <c r="J32" s="7"/>
      <c r="K32" s="45">
        <v>0.99950340000000004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45">
        <v>0.87505659999999996</v>
      </c>
      <c r="Z32" s="7"/>
      <c r="AA32" s="7"/>
      <c r="AB32" s="7"/>
      <c r="AC32" s="10"/>
      <c r="AD32" s="7"/>
      <c r="AE32" s="7"/>
      <c r="AF32" s="7"/>
      <c r="AG32" s="27"/>
      <c r="AH32" s="10"/>
      <c r="AI32" s="7"/>
      <c r="AJ32" s="27"/>
      <c r="AK32" s="10"/>
      <c r="AL32" s="10"/>
      <c r="AM32" s="45">
        <v>0.8253258</v>
      </c>
      <c r="AN32" s="7"/>
      <c r="AO32" s="7"/>
      <c r="AP32" s="7"/>
      <c r="AQ32" s="45">
        <v>0.99975159999999996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28"/>
      <c r="BC32" s="7"/>
      <c r="BD32" s="7"/>
      <c r="BE32" s="45">
        <v>0.80057970000000001</v>
      </c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45">
        <v>0.84994080000000005</v>
      </c>
      <c r="BT32" s="7"/>
      <c r="BU32" s="7"/>
      <c r="BV32" s="7"/>
      <c r="BW32" s="45">
        <v>0.99975159999999996</v>
      </c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45">
        <v>0.88365780000000005</v>
      </c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10"/>
      <c r="CW32" s="7"/>
      <c r="CX32" s="7"/>
      <c r="CY32" s="45">
        <v>0.85046730000000004</v>
      </c>
      <c r="CZ32" s="7"/>
      <c r="DA32" s="7"/>
      <c r="DB32" s="7"/>
      <c r="DC32" s="45">
        <v>0.9523218</v>
      </c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45">
        <v>0.85468540000000004</v>
      </c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45">
        <v>0.75967359999999995</v>
      </c>
      <c r="EF32" s="7"/>
      <c r="EG32" s="7"/>
      <c r="EH32" s="7"/>
      <c r="EI32" s="45">
        <v>0.99975159999999996</v>
      </c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45">
        <v>0.99975170000000002</v>
      </c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</row>
    <row r="33" spans="1:167" x14ac:dyDescent="0.2">
      <c r="B33" s="3"/>
      <c r="C33" s="6">
        <v>5</v>
      </c>
      <c r="D33" t="s">
        <v>49</v>
      </c>
      <c r="E33" s="69"/>
      <c r="F33" s="69"/>
      <c r="G33" s="13">
        <f>AVERAGE(G30:G32)</f>
        <v>0.85723716666666672</v>
      </c>
      <c r="H33" s="7"/>
      <c r="I33" s="7"/>
      <c r="J33" s="7"/>
      <c r="K33" s="52">
        <v>0.99975170000000002</v>
      </c>
      <c r="L33" s="7"/>
      <c r="M33" s="7"/>
      <c r="N33" s="7"/>
      <c r="O33" s="10">
        <v>9.9713350000000006E-2</v>
      </c>
      <c r="P33" s="33">
        <v>0.75</v>
      </c>
      <c r="Q33" s="7">
        <v>0.25</v>
      </c>
      <c r="R33" s="7">
        <v>0</v>
      </c>
      <c r="S33" s="28">
        <v>0.99073330000000004</v>
      </c>
      <c r="T33" s="10">
        <v>9.2666669999999993E-3</v>
      </c>
      <c r="U33" s="7">
        <v>0</v>
      </c>
      <c r="V33" s="28">
        <v>0.99945110000000004</v>
      </c>
      <c r="W33" s="10">
        <v>1.34423E-4</v>
      </c>
      <c r="X33" s="10">
        <v>4.1448290000000002E-4</v>
      </c>
      <c r="Y33" s="81">
        <f>AVERAGE(Y30:Y32)</f>
        <v>0.8735676</v>
      </c>
      <c r="Z33" s="7"/>
      <c r="AA33" s="7"/>
      <c r="AB33" s="7"/>
      <c r="AC33" s="10">
        <v>0.14280000000000001</v>
      </c>
      <c r="AD33" s="7">
        <v>0.5</v>
      </c>
      <c r="AE33" s="33">
        <v>0.5</v>
      </c>
      <c r="AF33" s="7">
        <v>0</v>
      </c>
      <c r="AG33" s="10">
        <v>0.78476670000000004</v>
      </c>
      <c r="AH33" s="10">
        <v>0.21523329999999999</v>
      </c>
      <c r="AI33" s="10">
        <v>0</v>
      </c>
      <c r="AJ33" s="10">
        <v>0.74393050000000005</v>
      </c>
      <c r="AK33" s="10">
        <v>0.21537310000000001</v>
      </c>
      <c r="AL33" s="10">
        <v>4.0696360000000001E-2</v>
      </c>
      <c r="AM33" s="52">
        <f>AVERAGE(AM30:AM32)</f>
        <v>0.82380563333333334</v>
      </c>
      <c r="AN33" s="8"/>
      <c r="AO33" s="8"/>
      <c r="AP33" s="8"/>
      <c r="AQ33" s="52">
        <f>AVERAGE(AQ30:AQ32)</f>
        <v>0.9996689333333334</v>
      </c>
      <c r="AR33" s="7"/>
      <c r="AS33" s="7"/>
      <c r="AT33" s="7"/>
      <c r="AU33" s="10">
        <v>3.0849999999999998E-5</v>
      </c>
      <c r="AV33" s="10">
        <v>0.75</v>
      </c>
      <c r="AW33" s="10">
        <v>0.25</v>
      </c>
      <c r="AX33" s="7">
        <v>0</v>
      </c>
      <c r="AY33" s="28">
        <v>0.99196669999999998</v>
      </c>
      <c r="AZ33" s="10">
        <v>8.0333330000000001E-3</v>
      </c>
      <c r="BA33" s="7">
        <v>0</v>
      </c>
      <c r="BB33" s="28">
        <v>0.99997689999999995</v>
      </c>
      <c r="BC33" s="10">
        <v>4.7083380000000001E-6</v>
      </c>
      <c r="BD33" s="10">
        <v>1.8414640000000001E-5</v>
      </c>
      <c r="BE33" s="40">
        <f>AVERAGE(BE30:BE32)</f>
        <v>0.79886043333333345</v>
      </c>
      <c r="BF33" s="7"/>
      <c r="BG33" s="7"/>
      <c r="BH33" s="7"/>
      <c r="BI33" s="10">
        <v>1.3469999999999999E-2</v>
      </c>
      <c r="BJ33" s="7" t="s">
        <v>66</v>
      </c>
      <c r="BK33" s="7">
        <v>0.25</v>
      </c>
      <c r="BL33" s="7">
        <v>0.75</v>
      </c>
      <c r="BM33" s="7">
        <v>0</v>
      </c>
      <c r="BN33" s="10">
        <v>9.6333330000000009E-3</v>
      </c>
      <c r="BO33" s="49">
        <v>0.99036670000000004</v>
      </c>
      <c r="BP33" s="10">
        <v>4.6039679999999999E-3</v>
      </c>
      <c r="BQ33" s="10">
        <v>1.911759E-2</v>
      </c>
      <c r="BR33" s="49">
        <v>0.97627839999999999</v>
      </c>
      <c r="BS33" s="51">
        <f>AVERAGE(BS30:BS32)</f>
        <v>0.81998990000000005</v>
      </c>
      <c r="BT33" s="7"/>
      <c r="BU33" s="7"/>
      <c r="BV33" s="7"/>
      <c r="BW33" s="52">
        <f>AVERAGE(BW30:BW32)</f>
        <v>0.9996689333333334</v>
      </c>
      <c r="BX33" s="7"/>
      <c r="BY33" s="7"/>
      <c r="BZ33" s="7"/>
      <c r="CA33" s="10">
        <v>8.2710000000000006E-3</v>
      </c>
      <c r="CB33" s="10">
        <v>0.75</v>
      </c>
      <c r="CC33" s="10">
        <v>0.25</v>
      </c>
      <c r="CD33" s="7">
        <v>0</v>
      </c>
      <c r="CE33" s="28">
        <v>0.99163330000000005</v>
      </c>
      <c r="CF33" s="10">
        <v>8.3666669999999995E-3</v>
      </c>
      <c r="CG33" s="7">
        <v>0</v>
      </c>
      <c r="CH33" s="30">
        <v>0.99385449999999997</v>
      </c>
      <c r="CI33" s="10">
        <v>1.209545E-3</v>
      </c>
      <c r="CJ33" s="10">
        <v>4.9359670000000003E-3</v>
      </c>
      <c r="CK33" s="38">
        <f>AVERAGE(CK30:CK32)</f>
        <v>0.87024800000000002</v>
      </c>
      <c r="CL33" s="7"/>
      <c r="CM33" s="7"/>
      <c r="CN33" s="7"/>
      <c r="CO33" s="10">
        <v>0.12759999999999999</v>
      </c>
      <c r="CP33" s="7">
        <v>0.75</v>
      </c>
      <c r="CQ33" s="7">
        <v>0.25</v>
      </c>
      <c r="CR33" s="7">
        <v>0</v>
      </c>
      <c r="CS33" s="28">
        <v>0.96366669999999999</v>
      </c>
      <c r="CT33" s="10">
        <v>3.6333329999999997E-2</v>
      </c>
      <c r="CU33" s="7">
        <v>0</v>
      </c>
      <c r="CV33" s="10">
        <v>0.88894470000000003</v>
      </c>
      <c r="CW33" s="10">
        <v>5.1062139999999999E-2</v>
      </c>
      <c r="CX33" s="10">
        <v>5.9993169999999998E-2</v>
      </c>
      <c r="CY33" s="14">
        <f>AVERAGE(CY30:CY32)</f>
        <v>0.85109460000000003</v>
      </c>
      <c r="CZ33" s="7"/>
      <c r="DA33" s="7"/>
      <c r="DB33" s="7"/>
      <c r="DC33" s="38">
        <f>AVERAGE(DC30:DC32)</f>
        <v>0.98344506666666665</v>
      </c>
      <c r="DD33" s="7"/>
      <c r="DE33" s="7"/>
      <c r="DF33" s="7"/>
      <c r="DG33" s="10">
        <v>1.338E-2</v>
      </c>
      <c r="DH33" s="7">
        <v>0.75</v>
      </c>
      <c r="DI33" s="7">
        <v>0.25</v>
      </c>
      <c r="DJ33" s="7">
        <v>0</v>
      </c>
      <c r="DK33" s="28">
        <v>0.99036670000000004</v>
      </c>
      <c r="DL33" s="10">
        <v>9.6333330000000009E-3</v>
      </c>
      <c r="DM33" s="7">
        <v>0</v>
      </c>
      <c r="DN33" s="49">
        <v>0.98967709999999998</v>
      </c>
      <c r="DO33" s="10">
        <v>2.635091E-3</v>
      </c>
      <c r="DP33" s="10">
        <v>7.6877660000000004E-3</v>
      </c>
      <c r="DQ33" s="14">
        <f>AVERAGE(DQ30:DQ32)</f>
        <v>0.86360743333333334</v>
      </c>
      <c r="DR33" s="7"/>
      <c r="DS33" s="7"/>
      <c r="DT33" s="7"/>
      <c r="DU33" s="10">
        <v>9.6850000000000006E-2</v>
      </c>
      <c r="DV33" s="7">
        <v>0.5</v>
      </c>
      <c r="DW33" s="7">
        <v>0.5</v>
      </c>
      <c r="DX33" s="7">
        <v>0</v>
      </c>
      <c r="DY33" s="10">
        <v>0.51176670000000002</v>
      </c>
      <c r="DZ33" s="10">
        <v>0.48823329999999998</v>
      </c>
      <c r="EA33" s="7">
        <v>0</v>
      </c>
      <c r="EB33" s="10">
        <v>0.67178910000000003</v>
      </c>
      <c r="EC33" s="10">
        <v>0.30644919999999998</v>
      </c>
      <c r="ED33" s="10">
        <v>2.176175E-2</v>
      </c>
      <c r="EE33" s="14">
        <f>AVERAGE(EE30:EE32)</f>
        <v>0.76659536666666661</v>
      </c>
      <c r="EF33" s="7"/>
      <c r="EG33" s="7"/>
      <c r="EH33" s="7"/>
      <c r="EI33" s="38">
        <f>AVERAGE(EI30:EI32)</f>
        <v>0.9996689333333334</v>
      </c>
      <c r="EJ33" s="7"/>
      <c r="EK33" s="7"/>
      <c r="EL33" s="7"/>
      <c r="EM33" s="10">
        <v>3.6200000000000002E-4</v>
      </c>
      <c r="EN33" s="7">
        <v>0.75</v>
      </c>
      <c r="EO33" s="7">
        <v>0.25</v>
      </c>
      <c r="EP33" s="7">
        <v>0</v>
      </c>
      <c r="EQ33" s="28">
        <v>0.99163330000000005</v>
      </c>
      <c r="ER33" s="10">
        <v>8.3666669999999995E-3</v>
      </c>
      <c r="ES33" s="10">
        <v>0</v>
      </c>
      <c r="ET33" s="28">
        <v>0.99973659999999998</v>
      </c>
      <c r="EU33" s="10">
        <v>4.1538069999999999E-5</v>
      </c>
      <c r="EV33" s="10">
        <v>2.2188749999999999E-4</v>
      </c>
      <c r="EW33" s="19">
        <f>AVERAGE(EW30:EW32)</f>
        <v>0.9996689333333334</v>
      </c>
      <c r="EX33" s="7"/>
      <c r="EY33" s="7"/>
      <c r="EZ33" s="7"/>
      <c r="FA33" s="10">
        <v>3.6210000000000002E-4</v>
      </c>
      <c r="FB33" s="7">
        <v>0.75</v>
      </c>
      <c r="FC33" s="7">
        <v>0.25</v>
      </c>
      <c r="FD33" s="7">
        <v>0</v>
      </c>
      <c r="FE33" s="28">
        <v>0.99063330000000005</v>
      </c>
      <c r="FF33" s="10">
        <v>9.3666670000000004E-3</v>
      </c>
      <c r="FG33" s="7">
        <v>0</v>
      </c>
      <c r="FH33" s="28">
        <v>0.99973659999999998</v>
      </c>
      <c r="FI33" s="10">
        <v>4.1538320000000003E-5</v>
      </c>
      <c r="FJ33" s="10">
        <v>2.218888E-4</v>
      </c>
    </row>
    <row r="34" spans="1:167" x14ac:dyDescent="0.2">
      <c r="A34" s="11"/>
      <c r="B34" s="3"/>
      <c r="C34" s="6">
        <v>5</v>
      </c>
      <c r="D34" t="s">
        <v>43</v>
      </c>
      <c r="E34" s="69"/>
      <c r="F34" s="69"/>
      <c r="G34" s="45">
        <v>0.8589</v>
      </c>
      <c r="H34" s="10">
        <v>0.8860614</v>
      </c>
      <c r="I34" s="10">
        <v>0.93433120000000003</v>
      </c>
      <c r="J34" s="10">
        <v>0.90955629999999998</v>
      </c>
      <c r="K34" s="45">
        <v>0.75919999999999999</v>
      </c>
      <c r="L34" s="10">
        <v>0.75921380000000005</v>
      </c>
      <c r="M34" s="10">
        <v>1</v>
      </c>
      <c r="N34" s="10">
        <v>0.86312849999999997</v>
      </c>
      <c r="O34" s="7" t="s">
        <v>24</v>
      </c>
      <c r="P34" s="7">
        <v>0</v>
      </c>
      <c r="Q34" s="7">
        <v>0.5</v>
      </c>
      <c r="R34" s="7">
        <v>0.5</v>
      </c>
      <c r="S34" s="7">
        <v>0</v>
      </c>
      <c r="T34" s="10">
        <v>0.16006670000000001</v>
      </c>
      <c r="U34" s="10">
        <v>0.83993329999999999</v>
      </c>
      <c r="V34" s="7" t="s">
        <v>24</v>
      </c>
      <c r="W34" s="7" t="s">
        <v>24</v>
      </c>
      <c r="X34" s="7" t="s">
        <v>24</v>
      </c>
      <c r="Y34" s="45">
        <v>0.84889999999999999</v>
      </c>
      <c r="Z34" s="10">
        <v>0.84889999999999999</v>
      </c>
      <c r="AA34" s="10">
        <v>0.92179069999999996</v>
      </c>
      <c r="AB34" s="10">
        <v>0.90256139999999996</v>
      </c>
      <c r="AC34" s="7" t="s">
        <v>24</v>
      </c>
      <c r="AD34" s="7">
        <v>0</v>
      </c>
      <c r="AE34" s="7">
        <v>0.5</v>
      </c>
      <c r="AF34" s="33">
        <v>0.5</v>
      </c>
      <c r="AG34" s="10">
        <v>0.45893329999999999</v>
      </c>
      <c r="AH34" s="10">
        <v>0.54106670000000001</v>
      </c>
      <c r="AI34" s="7">
        <v>0</v>
      </c>
      <c r="AJ34" s="7" t="s">
        <v>24</v>
      </c>
      <c r="AK34" s="7" t="s">
        <v>24</v>
      </c>
      <c r="AL34" s="7" t="s">
        <v>24</v>
      </c>
      <c r="AM34" s="45">
        <v>0.82699999999999996</v>
      </c>
      <c r="AN34" s="10">
        <v>0.85102990000000001</v>
      </c>
      <c r="AO34" s="10">
        <v>0.93594929999999998</v>
      </c>
      <c r="AP34" s="10">
        <v>0.89147189999999998</v>
      </c>
      <c r="AQ34" s="45">
        <v>0.75919999999999999</v>
      </c>
      <c r="AR34" s="10">
        <v>0.75921380000000005</v>
      </c>
      <c r="AS34" s="10">
        <v>1</v>
      </c>
      <c r="AT34" s="10">
        <v>0.86312849999999997</v>
      </c>
      <c r="AU34" s="7" t="s">
        <v>24</v>
      </c>
      <c r="AV34" s="7">
        <v>0</v>
      </c>
      <c r="AW34" s="7">
        <v>0.5</v>
      </c>
      <c r="AX34" s="7">
        <v>0.5</v>
      </c>
      <c r="AY34" s="7">
        <v>0</v>
      </c>
      <c r="AZ34" s="10">
        <v>0.15616669999999999</v>
      </c>
      <c r="BA34" s="10">
        <v>0.84383330000000001</v>
      </c>
      <c r="BB34" s="7" t="s">
        <v>24</v>
      </c>
      <c r="BC34" s="7" t="s">
        <v>24</v>
      </c>
      <c r="BD34" s="7" t="s">
        <v>24</v>
      </c>
      <c r="BE34" s="45">
        <v>0.83740000000000003</v>
      </c>
      <c r="BF34" s="10">
        <v>0.85167749999999998</v>
      </c>
      <c r="BG34" s="10">
        <v>0.95159119999999997</v>
      </c>
      <c r="BH34" s="10">
        <v>0.89886639999999995</v>
      </c>
      <c r="BI34" s="7" t="s">
        <v>24</v>
      </c>
      <c r="BJ34" s="7">
        <v>0.5</v>
      </c>
      <c r="BK34" s="7">
        <v>0.5</v>
      </c>
      <c r="BL34" s="7">
        <v>0</v>
      </c>
      <c r="BM34" s="10">
        <v>0.53953329999999999</v>
      </c>
      <c r="BN34" s="10">
        <v>0.46046670000000001</v>
      </c>
      <c r="BO34" s="7">
        <v>0</v>
      </c>
      <c r="BP34" s="7" t="s">
        <v>24</v>
      </c>
      <c r="BQ34" s="7" t="s">
        <v>24</v>
      </c>
      <c r="BR34" s="7" t="s">
        <v>24</v>
      </c>
      <c r="BS34" s="45">
        <v>0.75919999999999999</v>
      </c>
      <c r="BT34" s="10">
        <v>0.75921380000000005</v>
      </c>
      <c r="BU34" s="10">
        <v>1</v>
      </c>
      <c r="BV34" s="10">
        <v>0.86312849999999997</v>
      </c>
      <c r="BW34" s="45">
        <v>0.75919999999999999</v>
      </c>
      <c r="BX34" s="10">
        <v>0.75921380000000005</v>
      </c>
      <c r="BY34" s="10">
        <v>1</v>
      </c>
      <c r="BZ34" s="10">
        <v>0.86312849999999997</v>
      </c>
      <c r="CA34" s="7" t="s">
        <v>24</v>
      </c>
      <c r="CB34" s="7">
        <v>0</v>
      </c>
      <c r="CC34" s="7">
        <v>1</v>
      </c>
      <c r="CD34" s="7">
        <v>0</v>
      </c>
      <c r="CE34" s="7">
        <v>0</v>
      </c>
      <c r="CF34" s="10">
        <v>1</v>
      </c>
      <c r="CG34" s="10">
        <v>0</v>
      </c>
      <c r="CH34" s="7" t="s">
        <v>24</v>
      </c>
      <c r="CI34" s="7" t="s">
        <v>24</v>
      </c>
      <c r="CJ34" s="7" t="s">
        <v>24</v>
      </c>
      <c r="CK34" s="45">
        <v>0.76900000000000002</v>
      </c>
      <c r="CL34" s="10">
        <v>0.8147877</v>
      </c>
      <c r="CM34" s="10">
        <v>0.90048539999999999</v>
      </c>
      <c r="CN34" s="10">
        <v>0.85549580000000003</v>
      </c>
      <c r="CO34" s="7" t="s">
        <v>24</v>
      </c>
      <c r="CP34" s="7">
        <v>0</v>
      </c>
      <c r="CQ34" s="7">
        <v>1</v>
      </c>
      <c r="CR34" s="7">
        <v>0</v>
      </c>
      <c r="CS34" s="7">
        <v>0</v>
      </c>
      <c r="CT34" s="10">
        <v>0.1578667</v>
      </c>
      <c r="CU34" s="10">
        <v>0.84213329999999997</v>
      </c>
      <c r="CV34" s="7" t="s">
        <v>24</v>
      </c>
      <c r="CW34" s="7" t="s">
        <v>24</v>
      </c>
      <c r="CX34" s="7" t="s">
        <v>24</v>
      </c>
      <c r="CY34" s="45">
        <v>0.85329999999999995</v>
      </c>
      <c r="CZ34" s="10">
        <v>0.88045280000000004</v>
      </c>
      <c r="DA34" s="10">
        <v>0.93352210000000002</v>
      </c>
      <c r="DB34" s="10">
        <v>0.90621110000000005</v>
      </c>
      <c r="DC34" s="45">
        <v>0.68679999999999997</v>
      </c>
      <c r="DD34" s="10">
        <v>0.74229785000000004</v>
      </c>
      <c r="DE34" s="10">
        <v>0.89994605999999999</v>
      </c>
      <c r="DF34" s="10">
        <v>0.81355518999999998</v>
      </c>
      <c r="DG34" s="7" t="s">
        <v>24</v>
      </c>
      <c r="DH34" s="7">
        <v>0</v>
      </c>
      <c r="DI34" s="7">
        <v>0.5</v>
      </c>
      <c r="DJ34" s="7">
        <v>0.5</v>
      </c>
      <c r="DK34" s="7">
        <v>0</v>
      </c>
      <c r="DL34" s="10">
        <v>0.16020000000000001</v>
      </c>
      <c r="DM34" s="10">
        <v>0.83979999999999999</v>
      </c>
      <c r="DN34" s="7" t="s">
        <v>24</v>
      </c>
      <c r="DO34" s="7" t="s">
        <v>24</v>
      </c>
      <c r="DP34" s="7" t="s">
        <v>24</v>
      </c>
      <c r="DQ34" s="45">
        <v>0.81399999999999995</v>
      </c>
      <c r="DR34" s="10">
        <v>0.88187150000000003</v>
      </c>
      <c r="DS34" s="10">
        <v>0.87176379999999998</v>
      </c>
      <c r="DT34" s="10">
        <v>0.87678849999999997</v>
      </c>
      <c r="DU34" s="7" t="s">
        <v>24</v>
      </c>
      <c r="DV34" s="7">
        <v>0</v>
      </c>
      <c r="DW34" s="7">
        <v>0.5</v>
      </c>
      <c r="DX34" s="7">
        <v>0.5</v>
      </c>
      <c r="DY34" s="7">
        <v>0</v>
      </c>
      <c r="DZ34" s="10">
        <v>0.15823329999999999</v>
      </c>
      <c r="EA34" s="10">
        <v>0.84176669999999998</v>
      </c>
      <c r="EB34" s="7" t="s">
        <v>24</v>
      </c>
      <c r="EC34" s="7" t="s">
        <v>24</v>
      </c>
      <c r="ED34" s="7" t="s">
        <v>24</v>
      </c>
      <c r="EE34" s="45">
        <v>0.77280000000000004</v>
      </c>
      <c r="EF34" s="10">
        <v>0.76969381999999997</v>
      </c>
      <c r="EG34" s="10">
        <v>1</v>
      </c>
      <c r="EH34" s="10">
        <v>0.86986101000000005</v>
      </c>
      <c r="EI34" s="45">
        <v>0.75919999999999999</v>
      </c>
      <c r="EJ34" s="10">
        <v>0.75921380000000005</v>
      </c>
      <c r="EK34" s="10">
        <v>1</v>
      </c>
      <c r="EL34" s="10">
        <v>0.86312849999999997</v>
      </c>
      <c r="EM34" s="7" t="s">
        <v>24</v>
      </c>
      <c r="EN34" s="7">
        <v>0</v>
      </c>
      <c r="EO34" s="7">
        <v>0.5</v>
      </c>
      <c r="EP34" s="7">
        <v>0.5</v>
      </c>
      <c r="EQ34" s="10">
        <v>0</v>
      </c>
      <c r="ER34" s="10">
        <v>0.4554667</v>
      </c>
      <c r="ES34" s="10">
        <v>0.5445333</v>
      </c>
      <c r="ET34" s="7" t="s">
        <v>24</v>
      </c>
      <c r="EU34" s="7" t="s">
        <v>24</v>
      </c>
      <c r="EV34" s="7" t="s">
        <v>24</v>
      </c>
      <c r="EW34" s="45">
        <v>0.75919999999999999</v>
      </c>
      <c r="EX34" s="10">
        <v>0.75921380000000005</v>
      </c>
      <c r="EY34" s="7">
        <v>1</v>
      </c>
      <c r="EZ34" s="10">
        <v>0.86312849999999997</v>
      </c>
      <c r="FA34" s="7" t="s">
        <v>24</v>
      </c>
      <c r="FB34" s="10">
        <v>0</v>
      </c>
      <c r="FC34" s="10">
        <v>0.5</v>
      </c>
      <c r="FD34" s="7">
        <v>0.5</v>
      </c>
      <c r="FE34" s="10">
        <v>0</v>
      </c>
      <c r="FF34" s="10">
        <v>0.45553329999999997</v>
      </c>
      <c r="FG34" s="10">
        <v>0.54446669999999997</v>
      </c>
      <c r="FH34" s="7" t="s">
        <v>24</v>
      </c>
      <c r="FI34" s="7" t="s">
        <v>24</v>
      </c>
      <c r="FJ34" s="7" t="s">
        <v>24</v>
      </c>
    </row>
    <row r="35" spans="1:167" s="23" customFormat="1" ht="17" thickBot="1" x14ac:dyDescent="0.25">
      <c r="B35" s="22"/>
      <c r="E35" s="70"/>
      <c r="F35" s="70"/>
      <c r="G35" s="25"/>
      <c r="H35" s="24"/>
      <c r="I35" s="24"/>
      <c r="J35" s="24"/>
      <c r="K35" s="25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5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5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5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5"/>
      <c r="BT35" s="24"/>
      <c r="BU35" s="24"/>
      <c r="BV35" s="24"/>
      <c r="BW35" s="25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5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5"/>
      <c r="CZ35" s="24"/>
      <c r="DA35" s="24"/>
      <c r="DB35" s="24"/>
      <c r="DC35" s="25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5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5"/>
      <c r="EF35" s="24"/>
      <c r="EG35" s="24"/>
      <c r="EH35" s="24"/>
      <c r="EI35" s="25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5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1"/>
    </row>
    <row r="36" spans="1:167" x14ac:dyDescent="0.2">
      <c r="B36" s="3"/>
      <c r="E36" s="69"/>
      <c r="F36" s="69"/>
      <c r="G36" s="14"/>
      <c r="H36" s="7"/>
      <c r="I36" s="7"/>
      <c r="J36" s="7"/>
      <c r="K36" s="1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4"/>
      <c r="AN36" s="7"/>
      <c r="AO36" s="7"/>
      <c r="AP36" s="7"/>
      <c r="AQ36" s="14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14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4"/>
      <c r="BT36" s="7"/>
      <c r="BU36" s="7"/>
      <c r="BV36" s="7"/>
      <c r="BW36" s="14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14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14"/>
      <c r="CZ36" s="7"/>
      <c r="DA36" s="7"/>
      <c r="DB36" s="7"/>
      <c r="DC36" s="14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14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14"/>
      <c r="EF36" s="7"/>
      <c r="EG36" s="7"/>
      <c r="EH36" s="7"/>
      <c r="EI36" s="14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14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</row>
    <row r="37" spans="1:167" x14ac:dyDescent="0.2">
      <c r="B37" s="3" t="s">
        <v>8</v>
      </c>
      <c r="E37" s="154">
        <v>13611</v>
      </c>
      <c r="F37" s="154">
        <v>17</v>
      </c>
      <c r="G37" s="14"/>
      <c r="H37" s="7"/>
      <c r="I37" s="7"/>
      <c r="J37" s="7"/>
      <c r="K37" s="1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4"/>
      <c r="AN37" s="7"/>
      <c r="AO37" s="7"/>
      <c r="AP37" s="7"/>
      <c r="AQ37" s="14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14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4"/>
      <c r="BT37" s="7"/>
      <c r="BU37" s="7"/>
      <c r="BV37" s="7"/>
      <c r="BW37" s="14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14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14"/>
      <c r="CZ37" s="7"/>
      <c r="DA37" s="7"/>
      <c r="DB37" s="7"/>
      <c r="DC37" s="14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14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14"/>
      <c r="EF37" s="7"/>
      <c r="EG37" s="7"/>
      <c r="EH37" s="7"/>
      <c r="EI37" s="14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14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</row>
    <row r="38" spans="1:167" x14ac:dyDescent="0.2">
      <c r="B38" s="3"/>
      <c r="C38" s="6">
        <v>1</v>
      </c>
      <c r="D38" t="s">
        <v>40</v>
      </c>
      <c r="E38" s="154"/>
      <c r="F38" s="154"/>
      <c r="G38" s="45">
        <v>0.92225369999999995</v>
      </c>
      <c r="H38" s="7"/>
      <c r="I38" s="7"/>
      <c r="J38" s="7"/>
      <c r="K38" s="45">
        <v>0.91048709999999999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45">
        <v>0.94882049999999996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45">
        <v>0.92854890000000001</v>
      </c>
      <c r="AN38" s="7"/>
      <c r="AO38" s="7"/>
      <c r="AP38" s="7"/>
      <c r="AQ38" s="45" t="s">
        <v>67</v>
      </c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10">
        <v>0.95321869999999997</v>
      </c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10">
        <v>0.73937679999999995</v>
      </c>
      <c r="BT38" s="7"/>
      <c r="BU38" s="7"/>
      <c r="BV38" s="7"/>
      <c r="BW38" s="10">
        <v>0.89859529999999999</v>
      </c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45">
        <v>0.58856459999999999</v>
      </c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45">
        <v>0.92353680000000005</v>
      </c>
      <c r="CZ38" s="7"/>
      <c r="DA38" s="7"/>
      <c r="DB38" s="7"/>
      <c r="DC38" s="45">
        <v>0.90737489999999998</v>
      </c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45">
        <v>0.9516194</v>
      </c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45">
        <v>0.90806050000000005</v>
      </c>
      <c r="EF38" s="7"/>
      <c r="EG38" s="7"/>
      <c r="EH38" s="7"/>
      <c r="EI38" s="45">
        <v>0.83728069999999999</v>
      </c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45">
        <v>0.92286170000000001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</row>
    <row r="39" spans="1:167" x14ac:dyDescent="0.2">
      <c r="B39" s="3"/>
      <c r="C39" s="6">
        <v>1</v>
      </c>
      <c r="D39" t="s">
        <v>41</v>
      </c>
      <c r="E39" s="154"/>
      <c r="F39" s="154"/>
      <c r="G39" s="45">
        <v>0.92571610000000004</v>
      </c>
      <c r="H39" s="7"/>
      <c r="I39" s="7"/>
      <c r="J39" s="7"/>
      <c r="K39" s="45">
        <v>0.90869180000000005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45">
        <v>0.95001999999999998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45">
        <v>0.93549400000000005</v>
      </c>
      <c r="AN39" s="7"/>
      <c r="AO39" s="7"/>
      <c r="AP39" s="7"/>
      <c r="AQ39" s="45">
        <v>0.91447369999999994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10">
        <v>0.95163869999999995</v>
      </c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10">
        <v>0.47434690000000002</v>
      </c>
      <c r="BT39" s="7"/>
      <c r="BU39" s="7"/>
      <c r="BV39" s="7"/>
      <c r="BW39" s="10">
        <v>0.89376650000000002</v>
      </c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45">
        <v>0.66187050000000003</v>
      </c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45">
        <v>0.92414229999999997</v>
      </c>
      <c r="CZ39" s="7"/>
      <c r="DA39" s="7"/>
      <c r="DB39" s="7"/>
      <c r="DC39" s="45">
        <v>0.91136459999999997</v>
      </c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45">
        <v>0.94842059999999995</v>
      </c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45">
        <v>0.89773440000000004</v>
      </c>
      <c r="EF39" s="7"/>
      <c r="EG39" s="7"/>
      <c r="EH39" s="7"/>
      <c r="EI39" s="45">
        <v>0.82352939999999997</v>
      </c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45">
        <v>0.91436569999999995</v>
      </c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</row>
    <row r="40" spans="1:167" x14ac:dyDescent="0.2">
      <c r="C40" s="6">
        <v>1</v>
      </c>
      <c r="D40" t="s">
        <v>42</v>
      </c>
      <c r="E40" s="155"/>
      <c r="F40" s="155"/>
      <c r="G40" s="45">
        <v>0.91344040000000004</v>
      </c>
      <c r="H40" s="7"/>
      <c r="I40" s="7"/>
      <c r="J40" s="7"/>
      <c r="K40" s="45">
        <v>0.90430200000000005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45">
        <v>0.94882049999999996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45">
        <v>0.92947100000000005</v>
      </c>
      <c r="AN40" s="7"/>
      <c r="AO40" s="7"/>
      <c r="AP40" s="7"/>
      <c r="AQ40" s="45">
        <v>0.91743520000000001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10">
        <v>0.9536</v>
      </c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10">
        <v>0.2603085</v>
      </c>
      <c r="BT40" s="7"/>
      <c r="BU40" s="7"/>
      <c r="BV40" s="7"/>
      <c r="BW40" s="10">
        <v>0.85607719999999998</v>
      </c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45">
        <v>0.59319999999999995</v>
      </c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45">
        <v>0.93104529999999996</v>
      </c>
      <c r="CZ40" s="7"/>
      <c r="DA40" s="7"/>
      <c r="DB40" s="7"/>
      <c r="DC40" s="45">
        <v>0.90913080000000002</v>
      </c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45">
        <v>0.94722110000000004</v>
      </c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45">
        <v>0.90273840000000005</v>
      </c>
      <c r="EF40" s="7"/>
      <c r="EG40" s="7"/>
      <c r="EH40" s="7"/>
      <c r="EI40" s="45">
        <v>0.84365389999999996</v>
      </c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45">
        <v>0.91127100000000005</v>
      </c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</row>
    <row r="41" spans="1:167" x14ac:dyDescent="0.2">
      <c r="B41" s="3"/>
      <c r="C41" s="6">
        <v>1</v>
      </c>
      <c r="D41" t="s">
        <v>60</v>
      </c>
      <c r="E41" s="154"/>
      <c r="F41" s="154"/>
      <c r="G41" s="14">
        <f>AVERAGE(G38:G40)</f>
        <v>0.92047006666666675</v>
      </c>
      <c r="H41" s="7"/>
      <c r="I41" s="7"/>
      <c r="J41" s="7"/>
      <c r="K41" s="14">
        <f>AVERAGE(K38:K40)</f>
        <v>0.90782696666666673</v>
      </c>
      <c r="L41" s="7"/>
      <c r="M41" s="7"/>
      <c r="N41" s="7"/>
      <c r="O41" s="10">
        <v>2.0039999999999999E-2</v>
      </c>
      <c r="P41" s="7">
        <v>0</v>
      </c>
      <c r="Q41" s="7">
        <v>0.5</v>
      </c>
      <c r="R41" s="7">
        <v>0.5</v>
      </c>
      <c r="S41" s="7">
        <v>0</v>
      </c>
      <c r="T41" s="10">
        <v>0.30919999999999997</v>
      </c>
      <c r="U41" s="10">
        <v>0.69079999999999997</v>
      </c>
      <c r="V41" s="10">
        <v>4.2395489999999996E-3</v>
      </c>
      <c r="W41" s="10">
        <v>0.16321069999999999</v>
      </c>
      <c r="X41" s="10">
        <v>0.83254980000000001</v>
      </c>
      <c r="Y41" s="38">
        <f>AVERAGE(Y38:Y40)</f>
        <v>0.94922033333333333</v>
      </c>
      <c r="Z41" s="7"/>
      <c r="AA41" s="7"/>
      <c r="AB41" s="7"/>
      <c r="AC41" s="10">
        <v>2.4039999999999999E-2</v>
      </c>
      <c r="AD41" s="7">
        <v>0.75</v>
      </c>
      <c r="AE41" s="7">
        <v>0.25</v>
      </c>
      <c r="AF41" s="7">
        <v>0</v>
      </c>
      <c r="AG41" s="28">
        <v>0.99126669999999995</v>
      </c>
      <c r="AH41" s="10">
        <v>8.7333329999999994E-3</v>
      </c>
      <c r="AI41" s="7">
        <v>0</v>
      </c>
      <c r="AJ41" s="28">
        <v>0.96272619999999998</v>
      </c>
      <c r="AK41" s="10">
        <v>2.8647510000000001E-2</v>
      </c>
      <c r="AL41" s="10">
        <v>8.6263299999999998E-3</v>
      </c>
      <c r="AM41" s="14">
        <f>AVERAGE(AM38:AM40)</f>
        <v>0.93117130000000004</v>
      </c>
      <c r="AN41" s="7"/>
      <c r="AO41" s="7"/>
      <c r="AP41" s="7"/>
      <c r="AQ41" s="64">
        <f>AVERAGE(AQ38:AQ40)</f>
        <v>0.91595444999999998</v>
      </c>
      <c r="AR41" s="7"/>
      <c r="AS41" s="7"/>
      <c r="AT41" s="7"/>
      <c r="AU41" s="10">
        <v>2.3539999999999998E-2</v>
      </c>
      <c r="AV41" s="7">
        <v>0</v>
      </c>
      <c r="AW41" s="7">
        <v>0.25</v>
      </c>
      <c r="AX41" s="7">
        <v>0.75</v>
      </c>
      <c r="AY41" s="7">
        <v>0</v>
      </c>
      <c r="AZ41" s="10">
        <v>9.1733330000000002E-2</v>
      </c>
      <c r="BA41" s="59">
        <v>0.90826669999999998</v>
      </c>
      <c r="BB41" s="10">
        <v>6.2204490000000003E-3</v>
      </c>
      <c r="BC41" s="10">
        <v>7.2789140000000002E-2</v>
      </c>
      <c r="BD41" s="59">
        <v>0.92099039999999999</v>
      </c>
      <c r="BE41" s="38">
        <f>AVERAGE(BE38:BE40)</f>
        <v>0.95281913333333323</v>
      </c>
      <c r="BF41" s="7"/>
      <c r="BG41" s="7"/>
      <c r="BH41" s="7"/>
      <c r="BI41" s="10">
        <v>7.7149999999999996E-3</v>
      </c>
      <c r="BJ41" s="7">
        <v>0.75</v>
      </c>
      <c r="BK41" s="7">
        <v>0.25</v>
      </c>
      <c r="BL41" s="7">
        <v>0</v>
      </c>
      <c r="BM41" s="28">
        <v>0.96403329999999998</v>
      </c>
      <c r="BN41" s="10">
        <v>3.5966669999999999E-2</v>
      </c>
      <c r="BO41" s="7">
        <v>0</v>
      </c>
      <c r="BP41" s="28">
        <v>0.98294049999999999</v>
      </c>
      <c r="BQ41" s="10">
        <v>1.464241E-2</v>
      </c>
      <c r="BR41" s="10">
        <v>1.464241E-2</v>
      </c>
      <c r="BS41" s="14">
        <f>AVERAGE(BS38:BS40)</f>
        <v>0.49134406666666669</v>
      </c>
      <c r="BT41" s="7"/>
      <c r="BU41" s="7"/>
      <c r="BV41" s="7"/>
      <c r="BW41" s="19">
        <f>AVERAGE(BW38:BW40)</f>
        <v>0.88281300000000007</v>
      </c>
      <c r="BX41" s="7"/>
      <c r="BY41" s="7"/>
      <c r="BZ41" s="7"/>
      <c r="CA41" s="10">
        <v>0.10730000000000001</v>
      </c>
      <c r="CB41" s="7">
        <v>0.75</v>
      </c>
      <c r="CC41" s="7">
        <v>0.25</v>
      </c>
      <c r="CD41" s="7">
        <v>0</v>
      </c>
      <c r="CE41" s="28">
        <v>0.99163330000000005</v>
      </c>
      <c r="CF41" s="10">
        <v>8.3666669999999995E-3</v>
      </c>
      <c r="CG41" s="7">
        <v>0</v>
      </c>
      <c r="CH41" s="28">
        <v>0.92905950000000004</v>
      </c>
      <c r="CI41" s="10">
        <v>5.6024839999999996E-3</v>
      </c>
      <c r="CJ41" s="10">
        <v>6.5337989999999999E-2</v>
      </c>
      <c r="CK41" s="14">
        <f>AVERAGE(CK38:CK40)</f>
        <v>0.61454503333333332</v>
      </c>
      <c r="CL41" s="7"/>
      <c r="CM41" s="7"/>
      <c r="CN41" s="7"/>
      <c r="CO41" s="10">
        <v>0.48049999999999998</v>
      </c>
      <c r="CP41" s="7">
        <v>0.5</v>
      </c>
      <c r="CQ41" s="7">
        <v>0.25</v>
      </c>
      <c r="CR41" s="7">
        <v>0.25</v>
      </c>
      <c r="CS41" s="10">
        <v>0.875</v>
      </c>
      <c r="CT41" s="10">
        <v>1.6500000000000001E-2</v>
      </c>
      <c r="CU41" s="10">
        <v>0</v>
      </c>
      <c r="CV41" s="10">
        <v>0.71774910000000003</v>
      </c>
      <c r="CW41" s="10">
        <v>2.960923E-2</v>
      </c>
      <c r="CX41" s="10">
        <v>0.25264160000000002</v>
      </c>
      <c r="CY41" s="14">
        <f>AVERAGE(CY38:CY40)</f>
        <v>0.92624146666666674</v>
      </c>
      <c r="CZ41" s="7"/>
      <c r="DA41" s="7"/>
      <c r="DB41" s="7"/>
      <c r="DC41" s="75">
        <v>0.92620000000000002</v>
      </c>
      <c r="DD41" s="7"/>
      <c r="DE41" s="7"/>
      <c r="DF41" s="7"/>
      <c r="DG41" s="10">
        <v>2.3869999999999999E-2</v>
      </c>
      <c r="DH41" s="7">
        <v>0</v>
      </c>
      <c r="DI41" s="7">
        <v>0.25</v>
      </c>
      <c r="DJ41" s="7">
        <v>0.75</v>
      </c>
      <c r="DK41" s="7">
        <v>0</v>
      </c>
      <c r="DL41" s="10">
        <v>9.0300000000000005E-2</v>
      </c>
      <c r="DM41" s="83">
        <v>0.90969999999999995</v>
      </c>
      <c r="DN41" s="10">
        <v>6.402891E-3</v>
      </c>
      <c r="DO41" s="10">
        <v>6.9886690000000001E-2</v>
      </c>
      <c r="DP41" s="83">
        <v>0.92371040000000004</v>
      </c>
      <c r="DQ41" s="38">
        <f>AVERAGE(DQ38:DQ40)</f>
        <v>0.94908703333333333</v>
      </c>
      <c r="DR41" s="7"/>
      <c r="DS41" s="7"/>
      <c r="DT41" s="7"/>
      <c r="DU41" s="10">
        <v>1.6230000000000001E-2</v>
      </c>
      <c r="DV41" s="7">
        <v>0.75</v>
      </c>
      <c r="DW41" s="7">
        <v>0.25</v>
      </c>
      <c r="DX41" s="7">
        <v>0</v>
      </c>
      <c r="DY41" s="28">
        <v>0.96203329999999998</v>
      </c>
      <c r="DZ41" s="10">
        <v>3.7966670000000001E-2</v>
      </c>
      <c r="EA41" s="7">
        <v>0</v>
      </c>
      <c r="EB41" s="28">
        <v>0.96823720000000002</v>
      </c>
      <c r="EC41" s="10">
        <v>2.6483909999999999E-2</v>
      </c>
      <c r="ED41" s="10">
        <v>5.2788649999999998E-3</v>
      </c>
      <c r="EE41" s="38">
        <f>AVERAGE(EE38:EE40)</f>
        <v>0.90284443333333331</v>
      </c>
      <c r="EF41" s="7"/>
      <c r="EG41" s="7"/>
      <c r="EH41" s="7"/>
      <c r="EI41" s="34">
        <f>AVERAGE(EI38:EI40)</f>
        <v>0.8348213333333333</v>
      </c>
      <c r="EJ41" s="7"/>
      <c r="EK41" s="7"/>
      <c r="EL41" s="7"/>
      <c r="EM41" s="10">
        <v>4.4980000000000003E-3</v>
      </c>
      <c r="EN41" s="7">
        <v>0</v>
      </c>
      <c r="EO41" s="7">
        <v>0.25</v>
      </c>
      <c r="EP41" s="7">
        <v>0.75</v>
      </c>
      <c r="EQ41" s="7">
        <v>0</v>
      </c>
      <c r="ER41" s="10">
        <v>7.8333329999999996E-3</v>
      </c>
      <c r="ES41" s="49">
        <v>0.99216669999999996</v>
      </c>
      <c r="ET41" s="10">
        <v>2.2788560000000001E-3</v>
      </c>
      <c r="EU41" s="10">
        <v>1.8191590000000001E-3</v>
      </c>
      <c r="EV41" s="49">
        <v>0.99590199999999995</v>
      </c>
      <c r="EW41" s="14">
        <f>AVERAGE(EW38:EW40)</f>
        <v>0.9161661333333333</v>
      </c>
      <c r="EX41" s="7"/>
      <c r="EY41" s="7"/>
      <c r="EZ41" s="7"/>
      <c r="FA41" s="10">
        <v>3.2250000000000001E-2</v>
      </c>
      <c r="FB41" s="7">
        <v>0.5</v>
      </c>
      <c r="FC41" s="7">
        <v>0.5</v>
      </c>
      <c r="FD41" s="7">
        <v>0</v>
      </c>
      <c r="FE41" s="10">
        <v>0.69650000000000001</v>
      </c>
      <c r="FF41" s="10">
        <v>0.30349999999999999</v>
      </c>
      <c r="FG41" s="7">
        <v>0</v>
      </c>
      <c r="FH41" s="10">
        <v>0.8192258</v>
      </c>
      <c r="FI41" s="10">
        <v>0.173563</v>
      </c>
      <c r="FJ41" s="10">
        <v>7.211266E-3</v>
      </c>
    </row>
    <row r="42" spans="1:167" x14ac:dyDescent="0.2">
      <c r="B42" s="3"/>
      <c r="C42" s="6">
        <v>1</v>
      </c>
      <c r="D42" t="s">
        <v>43</v>
      </c>
      <c r="E42" s="154"/>
      <c r="F42" s="154"/>
      <c r="G42" s="45">
        <v>0.92400000000000004</v>
      </c>
      <c r="H42" s="10">
        <v>0.93224929999999995</v>
      </c>
      <c r="I42" s="10">
        <v>0.86868690000000004</v>
      </c>
      <c r="J42" s="10">
        <v>0.89934639999999999</v>
      </c>
      <c r="K42" s="45">
        <v>0.54730000000000001</v>
      </c>
      <c r="L42" s="10">
        <v>0.92307689999999998</v>
      </c>
      <c r="M42" s="10">
        <v>3.0303030000000002E-2</v>
      </c>
      <c r="N42" s="10">
        <v>5.8679706999999998E-2</v>
      </c>
      <c r="O42" s="7" t="s">
        <v>24</v>
      </c>
      <c r="P42" s="7">
        <v>0</v>
      </c>
      <c r="Q42" s="7">
        <v>0.5</v>
      </c>
      <c r="R42" s="7">
        <v>0.5</v>
      </c>
      <c r="S42" s="7">
        <v>0</v>
      </c>
      <c r="T42" s="10">
        <v>0.15890000000000001</v>
      </c>
      <c r="U42" s="10">
        <v>0.84109999999999996</v>
      </c>
      <c r="V42" s="7" t="s">
        <v>24</v>
      </c>
      <c r="W42" s="7" t="s">
        <v>24</v>
      </c>
      <c r="X42" s="7" t="s">
        <v>24</v>
      </c>
      <c r="Y42" s="45">
        <v>0.91349999999999998</v>
      </c>
      <c r="Z42" s="10">
        <v>0.98987340000000001</v>
      </c>
      <c r="AA42" s="10">
        <v>0.98737370000000002</v>
      </c>
      <c r="AB42" s="10">
        <v>0.988622</v>
      </c>
      <c r="AC42" s="7" t="s">
        <v>24</v>
      </c>
      <c r="AD42" s="7">
        <v>0</v>
      </c>
      <c r="AE42" s="7">
        <v>0.5</v>
      </c>
      <c r="AF42" s="7">
        <v>0.5</v>
      </c>
      <c r="AG42" s="7">
        <v>0</v>
      </c>
      <c r="AH42" s="10">
        <v>0.4577</v>
      </c>
      <c r="AI42" s="10">
        <v>0.5423</v>
      </c>
      <c r="AJ42" s="7" t="s">
        <v>24</v>
      </c>
      <c r="AK42" s="7" t="s">
        <v>24</v>
      </c>
      <c r="AL42" s="7" t="s">
        <v>24</v>
      </c>
      <c r="AM42" s="45">
        <v>0.92749999999999999</v>
      </c>
      <c r="AN42" s="10">
        <v>0.94535519999999995</v>
      </c>
      <c r="AO42" s="10">
        <v>0.8737374</v>
      </c>
      <c r="AP42" s="10">
        <v>0.90813650000000001</v>
      </c>
      <c r="AQ42" s="45">
        <v>0.53359999999999996</v>
      </c>
      <c r="AR42" s="10">
        <v>1</v>
      </c>
      <c r="AS42" s="10">
        <v>5.0505050000000003E-3</v>
      </c>
      <c r="AT42" s="10">
        <v>1.005025E-2</v>
      </c>
      <c r="AU42" s="7" t="s">
        <v>24</v>
      </c>
      <c r="AV42" s="7">
        <v>0</v>
      </c>
      <c r="AW42" s="7">
        <v>0.5</v>
      </c>
      <c r="AX42" s="7">
        <v>0.5</v>
      </c>
      <c r="AY42" s="7">
        <v>0</v>
      </c>
      <c r="AZ42" s="10">
        <v>0.15866669999999999</v>
      </c>
      <c r="BA42" s="10">
        <v>0.84133329999999995</v>
      </c>
      <c r="BB42" s="7" t="s">
        <v>24</v>
      </c>
      <c r="BC42" s="7" t="s">
        <v>24</v>
      </c>
      <c r="BD42" s="7" t="s">
        <v>24</v>
      </c>
      <c r="BE42" s="10">
        <v>0.90469999999999995</v>
      </c>
      <c r="BF42" s="10">
        <v>0.94594590000000001</v>
      </c>
      <c r="BG42" s="10">
        <v>0.88383840000000002</v>
      </c>
      <c r="BH42" s="10">
        <v>0.91383809999999999</v>
      </c>
      <c r="BI42" s="7" t="s">
        <v>24</v>
      </c>
      <c r="BJ42" s="7">
        <v>0</v>
      </c>
      <c r="BK42" s="7">
        <v>0.5</v>
      </c>
      <c r="BL42" s="7">
        <v>0.5</v>
      </c>
      <c r="BM42" s="7">
        <v>0</v>
      </c>
      <c r="BN42" s="10">
        <v>0.16239999999999999</v>
      </c>
      <c r="BO42" s="10">
        <v>0.83760000000000001</v>
      </c>
      <c r="BP42" s="7" t="s">
        <v>24</v>
      </c>
      <c r="BQ42" s="7" t="s">
        <v>24</v>
      </c>
      <c r="BR42" s="7" t="s">
        <v>24</v>
      </c>
      <c r="BS42" s="10">
        <v>0.37790000000000001</v>
      </c>
      <c r="BT42" s="10" t="s">
        <v>24</v>
      </c>
      <c r="BU42" s="10">
        <v>0</v>
      </c>
      <c r="BV42" s="10" t="s">
        <v>24</v>
      </c>
      <c r="BW42" s="10">
        <v>0.39950000000000002</v>
      </c>
      <c r="BX42" s="10" t="s">
        <v>24</v>
      </c>
      <c r="BY42" s="10">
        <v>0</v>
      </c>
      <c r="BZ42" s="10" t="s">
        <v>24</v>
      </c>
      <c r="CA42" s="7" t="s">
        <v>24</v>
      </c>
      <c r="CB42" s="7">
        <v>0</v>
      </c>
      <c r="CC42" s="7">
        <v>0.5</v>
      </c>
      <c r="CD42" s="7">
        <v>0.5</v>
      </c>
      <c r="CE42" s="10">
        <v>0.84296669999999996</v>
      </c>
      <c r="CF42" s="10">
        <v>0.15703329999999999</v>
      </c>
      <c r="CG42" s="10">
        <v>0</v>
      </c>
      <c r="CH42" s="7" t="s">
        <v>24</v>
      </c>
      <c r="CI42" s="7" t="s">
        <v>24</v>
      </c>
      <c r="CJ42" s="7" t="s">
        <v>24</v>
      </c>
      <c r="CK42" s="45">
        <v>0.2059</v>
      </c>
      <c r="CL42" s="10">
        <v>0.9029412</v>
      </c>
      <c r="CM42" s="7" t="s">
        <v>24</v>
      </c>
      <c r="CN42" s="7">
        <v>0</v>
      </c>
      <c r="CO42" s="7" t="s">
        <v>24</v>
      </c>
      <c r="CP42" s="7">
        <v>0</v>
      </c>
      <c r="CQ42" s="7">
        <v>0.5</v>
      </c>
      <c r="CR42" s="7">
        <v>0.5</v>
      </c>
      <c r="CS42" s="7">
        <v>0</v>
      </c>
      <c r="CT42" s="10">
        <v>0.1578667</v>
      </c>
      <c r="CU42" s="10">
        <v>0.84213329999999997</v>
      </c>
      <c r="CV42" s="7" t="s">
        <v>24</v>
      </c>
      <c r="CW42" s="7" t="s">
        <v>24</v>
      </c>
      <c r="CX42" s="7" t="s">
        <v>24</v>
      </c>
      <c r="CY42" s="45">
        <v>0.92449999999999999</v>
      </c>
      <c r="CZ42" s="10">
        <v>0.93800539999999999</v>
      </c>
      <c r="DA42" s="10">
        <v>0.87878789999999996</v>
      </c>
      <c r="DB42" s="10">
        <v>0.9074316</v>
      </c>
      <c r="DC42" s="45">
        <v>0.57399999999999995</v>
      </c>
      <c r="DD42" s="10">
        <v>0.72340425500000005</v>
      </c>
      <c r="DE42" s="10">
        <v>0.17171717</v>
      </c>
      <c r="DF42" s="10">
        <v>0.17171717</v>
      </c>
      <c r="DG42" s="7" t="s">
        <v>24</v>
      </c>
      <c r="DH42" s="7">
        <v>0</v>
      </c>
      <c r="DI42" s="7">
        <v>0.5</v>
      </c>
      <c r="DJ42" s="7">
        <v>0.5</v>
      </c>
      <c r="DK42" s="7">
        <v>0</v>
      </c>
      <c r="DL42" s="10">
        <v>0.16163330000000001</v>
      </c>
      <c r="DM42" s="10">
        <v>0.83836670000000002</v>
      </c>
      <c r="DN42" s="7" t="s">
        <v>24</v>
      </c>
      <c r="DO42" s="7" t="s">
        <v>24</v>
      </c>
      <c r="DP42" s="7" t="s">
        <v>24</v>
      </c>
      <c r="DQ42" s="45">
        <v>0.89680000000000004</v>
      </c>
      <c r="DR42" s="10">
        <v>0.93617019999999995</v>
      </c>
      <c r="DS42" s="10">
        <v>0.88888889999999998</v>
      </c>
      <c r="DT42" s="10">
        <v>0.91191699999999998</v>
      </c>
      <c r="DU42" s="7" t="s">
        <v>24</v>
      </c>
      <c r="DV42" s="7">
        <v>0</v>
      </c>
      <c r="DW42" s="7">
        <v>0.5</v>
      </c>
      <c r="DX42" s="7">
        <v>0.5</v>
      </c>
      <c r="DY42" s="7">
        <v>0</v>
      </c>
      <c r="DZ42" s="10">
        <v>0.15989999999999999</v>
      </c>
      <c r="EA42" s="10">
        <v>0.84009999999999996</v>
      </c>
      <c r="EB42" s="7" t="s">
        <v>24</v>
      </c>
      <c r="EC42" s="7" t="s">
        <v>24</v>
      </c>
      <c r="ED42" s="7" t="s">
        <v>24</v>
      </c>
      <c r="EE42" s="45">
        <v>0.89439999999999997</v>
      </c>
      <c r="EF42" s="10">
        <v>0.85673350000000004</v>
      </c>
      <c r="EG42" s="10">
        <v>0.75505049999999996</v>
      </c>
      <c r="EH42" s="10">
        <v>0.80268459999999997</v>
      </c>
      <c r="EI42" s="45">
        <v>0.59799999999999998</v>
      </c>
      <c r="EJ42" s="10">
        <v>0.34794521</v>
      </c>
      <c r="EK42" s="10">
        <v>0.64141413999999997</v>
      </c>
      <c r="EL42" s="10">
        <v>0.45115453</v>
      </c>
      <c r="EM42" s="7" t="s">
        <v>24</v>
      </c>
      <c r="EN42" s="10">
        <v>0</v>
      </c>
      <c r="EO42" s="10">
        <v>0.5</v>
      </c>
      <c r="EP42" s="10">
        <v>0.5</v>
      </c>
      <c r="EQ42" s="10">
        <v>0</v>
      </c>
      <c r="ER42" s="10">
        <v>0.1601667</v>
      </c>
      <c r="ES42" s="10">
        <v>0.8398333</v>
      </c>
      <c r="ET42" s="7" t="s">
        <v>24</v>
      </c>
      <c r="EU42" s="7" t="s">
        <v>24</v>
      </c>
      <c r="EV42" s="7" t="s">
        <v>24</v>
      </c>
      <c r="EW42" s="45">
        <v>0.84850000000000003</v>
      </c>
      <c r="EX42" s="7" t="s">
        <v>24</v>
      </c>
      <c r="EY42" s="7" t="s">
        <v>24</v>
      </c>
      <c r="EZ42" s="7" t="s">
        <v>24</v>
      </c>
      <c r="FA42" s="7" t="s">
        <v>24</v>
      </c>
      <c r="FB42" s="7">
        <v>0</v>
      </c>
      <c r="FC42" s="7">
        <v>0.5</v>
      </c>
      <c r="FD42" s="7">
        <v>0.5</v>
      </c>
      <c r="FE42" s="7">
        <v>0</v>
      </c>
      <c r="FF42" s="10">
        <v>0.16106670000000001</v>
      </c>
      <c r="FG42" s="10">
        <v>0.83893329999999999</v>
      </c>
      <c r="FH42" s="7" t="s">
        <v>24</v>
      </c>
      <c r="FI42" s="7" t="s">
        <v>24</v>
      </c>
      <c r="FJ42" s="7" t="s">
        <v>24</v>
      </c>
    </row>
    <row r="43" spans="1:167" x14ac:dyDescent="0.2">
      <c r="B43" s="3"/>
      <c r="C43" s="6"/>
      <c r="E43" s="154"/>
      <c r="F43" s="154"/>
      <c r="G43" s="45"/>
      <c r="H43" s="7"/>
      <c r="I43" s="7"/>
      <c r="J43" s="7"/>
      <c r="K43" s="1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4"/>
      <c r="AN43" s="7"/>
      <c r="AO43" s="7"/>
      <c r="AP43" s="7"/>
      <c r="AQ43" s="14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14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14"/>
      <c r="BT43" s="7"/>
      <c r="BU43" s="7"/>
      <c r="BV43" s="7"/>
      <c r="BW43" s="14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14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14"/>
      <c r="CZ43" s="7"/>
      <c r="DA43" s="7"/>
      <c r="DB43" s="7"/>
      <c r="DC43" s="14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14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14"/>
      <c r="EF43" s="7"/>
      <c r="EG43" s="7"/>
      <c r="EH43" s="7"/>
      <c r="EI43" s="14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14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</row>
    <row r="44" spans="1:167" x14ac:dyDescent="0.2">
      <c r="B44" s="3"/>
      <c r="C44" s="6">
        <v>2</v>
      </c>
      <c r="D44" t="s">
        <v>40</v>
      </c>
      <c r="E44" s="154"/>
      <c r="F44" s="154"/>
      <c r="G44" s="45">
        <v>0.92225369999999995</v>
      </c>
      <c r="H44" s="7"/>
      <c r="I44" s="7"/>
      <c r="J44" s="7"/>
      <c r="K44" s="45">
        <v>0.88299070000000002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45">
        <v>0.95160599999999995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45">
        <v>0.92854890000000001</v>
      </c>
      <c r="AN44" s="7"/>
      <c r="AO44" s="7"/>
      <c r="AP44" s="7"/>
      <c r="AQ44" s="45">
        <v>0.89682240000000002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10">
        <v>0.95329909999999995</v>
      </c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10">
        <v>0.73937679999999995</v>
      </c>
      <c r="BT44" s="7"/>
      <c r="BU44" s="7"/>
      <c r="BV44" s="7"/>
      <c r="BW44" s="10">
        <v>0.62443950000000004</v>
      </c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45">
        <v>0.68565310000000002</v>
      </c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45">
        <v>0.92353680000000005</v>
      </c>
      <c r="CZ44" s="7"/>
      <c r="DA44" s="7"/>
      <c r="DB44" s="7"/>
      <c r="DC44" s="45">
        <v>0.89457940000000002</v>
      </c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45">
        <v>0.95201369999999996</v>
      </c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45">
        <v>0.90806050000000005</v>
      </c>
      <c r="EF44" s="7"/>
      <c r="EG44" s="7"/>
      <c r="EH44" s="7"/>
      <c r="EI44" s="45">
        <v>0.85415110000000005</v>
      </c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45">
        <v>0.86280369999999995</v>
      </c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</row>
    <row r="45" spans="1:167" x14ac:dyDescent="0.2">
      <c r="B45" s="3"/>
      <c r="C45" s="6">
        <v>2</v>
      </c>
      <c r="D45" t="s">
        <v>41</v>
      </c>
      <c r="E45" s="154"/>
      <c r="F45" s="154"/>
      <c r="G45" s="45">
        <v>0.92571610000000004</v>
      </c>
      <c r="H45" s="7"/>
      <c r="I45" s="7"/>
      <c r="J45" s="7"/>
      <c r="K45" s="45">
        <v>0.89341809999999999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45">
        <v>0.94684950000000001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45">
        <v>0.93549400000000005</v>
      </c>
      <c r="AN45" s="7"/>
      <c r="AO45" s="7"/>
      <c r="AP45" s="7"/>
      <c r="AQ45" s="45">
        <v>0.90426329999999999</v>
      </c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10">
        <v>0.94473010000000002</v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10">
        <v>0.47434690000000002</v>
      </c>
      <c r="BT45" s="7"/>
      <c r="BU45" s="7"/>
      <c r="BV45" s="7"/>
      <c r="BW45" s="10">
        <v>0.63425580000000004</v>
      </c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45">
        <v>0.75396490000000005</v>
      </c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45">
        <v>0.92414229999999997</v>
      </c>
      <c r="CZ45" s="7"/>
      <c r="DA45" s="7"/>
      <c r="DB45" s="7"/>
      <c r="DC45" s="45">
        <v>0.88448599999999999</v>
      </c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45">
        <v>0.94599230000000001</v>
      </c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45">
        <v>0.89773440000000004</v>
      </c>
      <c r="EF45" s="7"/>
      <c r="EG45" s="7"/>
      <c r="EH45" s="7"/>
      <c r="EI45" s="45">
        <v>0.86242989999999997</v>
      </c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45">
        <v>0.84560749999999996</v>
      </c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</row>
    <row r="46" spans="1:167" x14ac:dyDescent="0.2">
      <c r="B46" s="3"/>
      <c r="C46" s="6">
        <v>2</v>
      </c>
      <c r="D46" t="s">
        <v>42</v>
      </c>
      <c r="E46" s="154"/>
      <c r="F46" s="154"/>
      <c r="G46" s="45">
        <v>0.91344040000000004</v>
      </c>
      <c r="H46" s="7"/>
      <c r="I46" s="7"/>
      <c r="J46" s="7"/>
      <c r="K46" s="45">
        <v>0.88523359999999995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46">
        <v>0.93958870000000005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45">
        <v>0.92947100000000005</v>
      </c>
      <c r="AN46" s="7"/>
      <c r="AO46" s="7"/>
      <c r="AP46" s="7"/>
      <c r="AQ46" s="45">
        <v>0.88</v>
      </c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10">
        <v>0.94815700000000003</v>
      </c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10">
        <v>0.2603085</v>
      </c>
      <c r="BT46" s="7"/>
      <c r="BU46" s="7"/>
      <c r="BV46" s="7"/>
      <c r="BW46" s="10">
        <v>0.65519819999999995</v>
      </c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45">
        <v>0.80119969999999996</v>
      </c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45">
        <v>0.93104529999999996</v>
      </c>
      <c r="CZ46" s="7"/>
      <c r="DA46" s="7"/>
      <c r="DB46" s="7"/>
      <c r="DC46" s="45">
        <v>0.88631260000000001</v>
      </c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45">
        <v>0.94989290000000004</v>
      </c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45">
        <v>0.90273840000000005</v>
      </c>
      <c r="EF46" s="7"/>
      <c r="EG46" s="7"/>
      <c r="EH46" s="7"/>
      <c r="EI46" s="45">
        <v>0.86018689999999998</v>
      </c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45">
        <v>0.86724009999999996</v>
      </c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</row>
    <row r="47" spans="1:167" x14ac:dyDescent="0.2">
      <c r="C47" s="6">
        <v>2</v>
      </c>
      <c r="D47" t="s">
        <v>49</v>
      </c>
      <c r="E47" s="155"/>
      <c r="F47" s="155"/>
      <c r="G47" s="14">
        <f>AVERAGE(G44:G46)</f>
        <v>0.92047006666666675</v>
      </c>
      <c r="H47" s="7"/>
      <c r="I47" s="7"/>
      <c r="J47" s="7"/>
      <c r="K47" s="37">
        <f>AVERAGE(K44:K46)</f>
        <v>0.88721413333333332</v>
      </c>
      <c r="L47" s="7"/>
      <c r="M47" s="7"/>
      <c r="N47" s="7"/>
      <c r="O47" s="10">
        <v>3.7479999999999999E-2</v>
      </c>
      <c r="P47" s="7">
        <v>0</v>
      </c>
      <c r="Q47" s="7">
        <v>0.25</v>
      </c>
      <c r="R47" s="7">
        <v>0.75</v>
      </c>
      <c r="S47" s="7" t="s">
        <v>24</v>
      </c>
      <c r="T47" s="7" t="s">
        <v>24</v>
      </c>
      <c r="U47" s="7" t="s">
        <v>24</v>
      </c>
      <c r="V47" s="10">
        <v>1.4946009999999999E-2</v>
      </c>
      <c r="W47" s="10">
        <v>3.1721869999999999E-2</v>
      </c>
      <c r="X47" s="49">
        <v>0.95333210000000002</v>
      </c>
      <c r="Y47" s="38">
        <f>AVERAGE(Y44:Y46)</f>
        <v>0.94601473333333319</v>
      </c>
      <c r="Z47" s="7"/>
      <c r="AA47" s="7"/>
      <c r="AB47" s="7"/>
      <c r="AC47" s="10">
        <v>3.5330000000000002E-4</v>
      </c>
      <c r="AD47" s="7">
        <v>0.75</v>
      </c>
      <c r="AE47" s="7">
        <v>0.25</v>
      </c>
      <c r="AF47" s="7">
        <v>0</v>
      </c>
      <c r="AG47" s="28">
        <v>0.99163330000000005</v>
      </c>
      <c r="AH47" s="10">
        <v>8.3666669999999995E-3</v>
      </c>
      <c r="AI47" s="7">
        <v>0</v>
      </c>
      <c r="AJ47" s="28">
        <v>0.9993649</v>
      </c>
      <c r="AK47" s="10">
        <v>5.1346390000000001E-4</v>
      </c>
      <c r="AL47" s="10">
        <v>1.216583E-4</v>
      </c>
      <c r="AM47" s="14">
        <f>AVERAGE(AM44:AM46)</f>
        <v>0.93117130000000004</v>
      </c>
      <c r="AN47" s="7"/>
      <c r="AO47" s="7"/>
      <c r="AP47" s="7"/>
      <c r="AQ47" s="35">
        <f>AVERAGE(AQ44:AQ46)</f>
        <v>0.89369523333333334</v>
      </c>
      <c r="AR47" s="7"/>
      <c r="AS47" s="7"/>
      <c r="AT47" s="7"/>
      <c r="AU47" s="10">
        <v>2.4680000000000001E-2</v>
      </c>
      <c r="AV47" s="7">
        <v>0</v>
      </c>
      <c r="AW47" s="7">
        <v>0.25</v>
      </c>
      <c r="AX47" s="7">
        <v>0.75</v>
      </c>
      <c r="AY47" s="7">
        <v>0</v>
      </c>
      <c r="AZ47" s="10">
        <v>9.4000000000000004E-3</v>
      </c>
      <c r="BA47" s="49">
        <v>0.99060000000000004</v>
      </c>
      <c r="BB47" s="10">
        <v>1.031659E-2</v>
      </c>
      <c r="BC47" s="10">
        <v>1.8724129999999999E-2</v>
      </c>
      <c r="BD47" s="49">
        <v>0.97095929999999997</v>
      </c>
      <c r="BE47" s="14">
        <f>AVERAGE(BE44:BE46)</f>
        <v>0.9487287333333333</v>
      </c>
      <c r="BF47" s="7"/>
      <c r="BG47" s="7"/>
      <c r="BH47" s="7"/>
      <c r="BI47" s="10">
        <v>6.019E-2</v>
      </c>
      <c r="BJ47" s="7">
        <v>0.5</v>
      </c>
      <c r="BK47" s="7">
        <v>0.5</v>
      </c>
      <c r="BL47" s="7">
        <v>0</v>
      </c>
      <c r="BM47" s="10">
        <v>0.78396670000000002</v>
      </c>
      <c r="BN47" s="10">
        <v>0.21603330000000001</v>
      </c>
      <c r="BO47" s="7">
        <v>0</v>
      </c>
      <c r="BP47" s="10">
        <v>0.85793839999999999</v>
      </c>
      <c r="BQ47" s="10">
        <v>0.12508040000000001</v>
      </c>
      <c r="BR47" s="10">
        <v>1.6981179999999998E-2</v>
      </c>
      <c r="BS47" s="14">
        <f>AVERAGE(BS44:BS46)</f>
        <v>0.49134406666666669</v>
      </c>
      <c r="BT47" s="7"/>
      <c r="BU47" s="7"/>
      <c r="BV47" s="7"/>
      <c r="BW47" s="14">
        <f>AVERAGE(BW44:BW46)</f>
        <v>0.63796449999999993</v>
      </c>
      <c r="BX47" s="7"/>
      <c r="BY47" s="7"/>
      <c r="BZ47" s="7"/>
      <c r="CA47" s="10">
        <v>0.42449999999999999</v>
      </c>
      <c r="CB47" s="7">
        <v>0.5</v>
      </c>
      <c r="CC47" s="7">
        <v>0.25</v>
      </c>
      <c r="CD47" s="7">
        <v>0.25</v>
      </c>
      <c r="CE47" s="10">
        <v>0.87716669999999997</v>
      </c>
      <c r="CF47" s="10">
        <v>1.52E-2</v>
      </c>
      <c r="CG47" s="10">
        <v>0.1076333</v>
      </c>
      <c r="CH47" s="10">
        <v>0.74690570000000001</v>
      </c>
      <c r="CI47" s="10">
        <v>2.5886869999999999E-2</v>
      </c>
      <c r="CJ47" s="10">
        <v>0.22720750000000001</v>
      </c>
      <c r="CK47" s="14">
        <f>AVERAGE(CK44:CK46)</f>
        <v>0.74693923333333334</v>
      </c>
      <c r="CL47" s="7"/>
      <c r="CM47" s="7"/>
      <c r="CN47" s="7"/>
      <c r="CO47" s="10">
        <v>0.2757</v>
      </c>
      <c r="CP47" s="7">
        <v>0.5</v>
      </c>
      <c r="CQ47" s="7">
        <v>0.25</v>
      </c>
      <c r="CR47" s="7">
        <v>0.25</v>
      </c>
      <c r="CS47" s="10">
        <v>0.87626669999999995</v>
      </c>
      <c r="CT47" s="10">
        <v>1.5599999999999999E-2</v>
      </c>
      <c r="CU47" s="10">
        <v>0.1081333</v>
      </c>
      <c r="CV47" s="10">
        <v>0.82904679999999997</v>
      </c>
      <c r="CW47" s="10">
        <v>1.4412629999999999E-2</v>
      </c>
      <c r="CX47" s="10">
        <v>0.1565405</v>
      </c>
      <c r="CY47" s="14">
        <f>AVERAGE(CY44:CY46)</f>
        <v>0.92624146666666674</v>
      </c>
      <c r="CZ47" s="7"/>
      <c r="DA47" s="7"/>
      <c r="DB47" s="7"/>
      <c r="DC47" s="76">
        <v>0.92620000000000002</v>
      </c>
      <c r="DD47" s="7"/>
      <c r="DE47" s="7"/>
      <c r="DF47" s="7"/>
      <c r="DG47" s="10">
        <v>1.481E-2</v>
      </c>
      <c r="DH47" s="7">
        <v>0</v>
      </c>
      <c r="DI47" s="7">
        <v>0.25</v>
      </c>
      <c r="DJ47" s="7">
        <v>0.75</v>
      </c>
      <c r="DK47" s="7">
        <v>0</v>
      </c>
      <c r="DL47" s="10">
        <v>9.5999999999999992E-3</v>
      </c>
      <c r="DM47" s="49">
        <v>0.99039999999999995</v>
      </c>
      <c r="DN47" s="10">
        <v>9.5999999999999992E-3</v>
      </c>
      <c r="DO47" s="10">
        <v>1.149125E-2</v>
      </c>
      <c r="DP47" s="49">
        <v>0.99039999999999995</v>
      </c>
      <c r="DQ47" s="38">
        <f>AVERAGE(DQ44:DQ46)</f>
        <v>0.94929963333333334</v>
      </c>
      <c r="DR47" s="7"/>
      <c r="DS47" s="7"/>
      <c r="DT47" s="7"/>
      <c r="DU47" s="10">
        <v>2.9899999999999999E-2</v>
      </c>
      <c r="DV47" s="7">
        <v>0.75</v>
      </c>
      <c r="DW47" s="7">
        <v>0.25</v>
      </c>
      <c r="DX47" s="7">
        <v>0</v>
      </c>
      <c r="DY47" s="28">
        <v>0.96486669999999997</v>
      </c>
      <c r="DZ47" s="10">
        <v>3.5133329999999997E-2</v>
      </c>
      <c r="EA47" s="7">
        <v>0</v>
      </c>
      <c r="EB47" s="27">
        <v>0.94539660000000003</v>
      </c>
      <c r="EC47" s="10">
        <v>4.4751930000000002E-2</v>
      </c>
      <c r="ED47" s="10">
        <v>9.8514940000000006E-3</v>
      </c>
      <c r="EE47" s="38">
        <f>AVERAGE(EE44:EE46)</f>
        <v>0.90284443333333331</v>
      </c>
      <c r="EF47" s="7"/>
      <c r="EG47" s="7"/>
      <c r="EH47" s="7"/>
      <c r="EI47" s="35">
        <f>AVERAGE(EI44:EI46)</f>
        <v>0.85892263333333341</v>
      </c>
      <c r="EJ47" s="7"/>
      <c r="EK47" s="7"/>
      <c r="EL47" s="7"/>
      <c r="EM47" s="10">
        <v>1.486E-2</v>
      </c>
      <c r="EN47" s="7">
        <v>0</v>
      </c>
      <c r="EO47" s="7">
        <v>0.25</v>
      </c>
      <c r="EP47" s="7">
        <v>0.75</v>
      </c>
      <c r="EQ47" s="7">
        <v>0</v>
      </c>
      <c r="ER47" s="10">
        <v>8.3000000000000001E-3</v>
      </c>
      <c r="ES47" s="49">
        <v>0.99170000000000003</v>
      </c>
      <c r="ET47" s="10">
        <v>6.588867E-3</v>
      </c>
      <c r="EU47" s="10">
        <v>9.5757580000000002E-3</v>
      </c>
      <c r="EV47" s="49">
        <v>0.98383540000000003</v>
      </c>
      <c r="EW47" s="35">
        <f>AVERAGE(EW44:EW46)</f>
        <v>0.85855043333333336</v>
      </c>
      <c r="EX47" s="7"/>
      <c r="EY47" s="7"/>
      <c r="EZ47" s="7"/>
      <c r="FA47" s="10">
        <v>1.166E-2</v>
      </c>
      <c r="FB47" s="7">
        <v>0</v>
      </c>
      <c r="FC47" s="7">
        <v>0.25</v>
      </c>
      <c r="FD47" s="7">
        <v>0.75</v>
      </c>
      <c r="FE47" s="7">
        <v>0</v>
      </c>
      <c r="FF47" s="10">
        <v>8.7666670000000006E-3</v>
      </c>
      <c r="FG47" s="49">
        <v>0.99123329999999998</v>
      </c>
      <c r="FH47" s="10">
        <v>5.1818890000000003E-3</v>
      </c>
      <c r="FI47" s="10">
        <v>7.5110209999999997E-3</v>
      </c>
      <c r="FJ47" s="49">
        <v>0.98730709999999999</v>
      </c>
    </row>
    <row r="48" spans="1:167" x14ac:dyDescent="0.2">
      <c r="C48" s="6">
        <v>2</v>
      </c>
      <c r="D48" t="s">
        <v>43</v>
      </c>
      <c r="E48" s="155"/>
      <c r="F48" s="155"/>
      <c r="G48" s="45">
        <v>0.92400000000000004</v>
      </c>
      <c r="H48" s="10">
        <v>0.93224929999999995</v>
      </c>
      <c r="I48" s="10">
        <v>0.86868690000000004</v>
      </c>
      <c r="J48" s="10">
        <v>0.89934639999999999</v>
      </c>
      <c r="K48" s="45">
        <v>0.82079999999999997</v>
      </c>
      <c r="L48" s="10">
        <v>0.66780819999999996</v>
      </c>
      <c r="M48" s="10">
        <v>0.98484850000000002</v>
      </c>
      <c r="N48" s="10">
        <v>0.79591840000000003</v>
      </c>
      <c r="O48" s="7" t="s">
        <v>24</v>
      </c>
      <c r="P48" s="7">
        <v>0</v>
      </c>
      <c r="Q48" s="7">
        <v>0.25</v>
      </c>
      <c r="R48" s="7">
        <v>0.75</v>
      </c>
      <c r="S48" s="10">
        <v>0</v>
      </c>
      <c r="T48" s="10">
        <v>0.15576670000000001</v>
      </c>
      <c r="U48" s="10">
        <v>0.84423329999999996</v>
      </c>
      <c r="V48" s="7" t="s">
        <v>24</v>
      </c>
      <c r="W48" s="7" t="s">
        <v>24</v>
      </c>
      <c r="X48" s="7" t="s">
        <v>24</v>
      </c>
      <c r="Y48" s="45">
        <v>0.89219999999999999</v>
      </c>
      <c r="Z48" s="10">
        <v>0.88709680000000002</v>
      </c>
      <c r="AA48" s="10">
        <v>0.83333330000000005</v>
      </c>
      <c r="AB48" s="10">
        <v>0.859375</v>
      </c>
      <c r="AC48" s="7" t="s">
        <v>24</v>
      </c>
      <c r="AD48" s="7">
        <v>0</v>
      </c>
      <c r="AE48" s="7">
        <v>0.5</v>
      </c>
      <c r="AF48" s="7">
        <v>0.5</v>
      </c>
      <c r="AG48" s="7">
        <v>0</v>
      </c>
      <c r="AH48" s="10">
        <v>0.15909999999999999</v>
      </c>
      <c r="AI48" s="10">
        <v>0.84089999999999998</v>
      </c>
      <c r="AJ48" s="7" t="s">
        <v>24</v>
      </c>
      <c r="AK48" s="7" t="s">
        <v>24</v>
      </c>
      <c r="AL48" s="7" t="s">
        <v>24</v>
      </c>
      <c r="AM48" s="45">
        <v>0.92749999999999999</v>
      </c>
      <c r="AN48" s="10">
        <v>0.94535519999999995</v>
      </c>
      <c r="AO48" s="10">
        <v>0.8737374</v>
      </c>
      <c r="AP48" s="10">
        <v>0.90813650000000001</v>
      </c>
      <c r="AQ48" s="45">
        <v>0.85760000000000003</v>
      </c>
      <c r="AR48" s="10">
        <v>0.74432989999999999</v>
      </c>
      <c r="AS48" s="10">
        <v>0.91161619999999999</v>
      </c>
      <c r="AT48" s="10">
        <v>0.81952329999999995</v>
      </c>
      <c r="AU48" s="7" t="s">
        <v>24</v>
      </c>
      <c r="AV48" s="7">
        <v>0</v>
      </c>
      <c r="AW48" s="7">
        <v>0.5</v>
      </c>
      <c r="AX48" s="7">
        <v>0.5</v>
      </c>
      <c r="AY48" s="7">
        <v>0</v>
      </c>
      <c r="AZ48" s="10">
        <v>0.15926670000000001</v>
      </c>
      <c r="BA48" s="10">
        <v>0.84073330000000002</v>
      </c>
      <c r="BB48" s="7" t="s">
        <v>24</v>
      </c>
      <c r="BC48" s="7" t="s">
        <v>24</v>
      </c>
      <c r="BD48" s="7" t="s">
        <v>24</v>
      </c>
      <c r="BE48" s="10">
        <v>0.87129999999999996</v>
      </c>
      <c r="BF48" s="10">
        <v>0.94259820000000005</v>
      </c>
      <c r="BG48" s="10">
        <v>0.78787879999999999</v>
      </c>
      <c r="BH48" s="10">
        <v>0.85832189999999997</v>
      </c>
      <c r="BI48" s="7" t="s">
        <v>24</v>
      </c>
      <c r="BJ48" s="7">
        <v>0</v>
      </c>
      <c r="BK48" s="7">
        <v>0.5</v>
      </c>
      <c r="BL48" s="7">
        <v>0.5</v>
      </c>
      <c r="BM48" s="7">
        <v>0</v>
      </c>
      <c r="BN48" s="10">
        <v>0.15620000000000001</v>
      </c>
      <c r="BO48" s="10">
        <v>0.84379999999999999</v>
      </c>
      <c r="BP48" s="7" t="s">
        <v>24</v>
      </c>
      <c r="BQ48" s="7" t="s">
        <v>24</v>
      </c>
      <c r="BR48" s="7" t="s">
        <v>24</v>
      </c>
      <c r="BS48" s="10">
        <v>0.37790000000000001</v>
      </c>
      <c r="BT48" s="10" t="s">
        <v>24</v>
      </c>
      <c r="BU48" s="10">
        <v>0</v>
      </c>
      <c r="BV48" s="10" t="s">
        <v>24</v>
      </c>
      <c r="BW48" s="10">
        <v>0.54679999999999995</v>
      </c>
      <c r="BX48" s="10">
        <v>0.31183670000000002</v>
      </c>
      <c r="BY48" s="10">
        <v>0.96464645999999998</v>
      </c>
      <c r="BZ48" s="10">
        <v>0.47131400400000001</v>
      </c>
      <c r="CA48" s="7" t="s">
        <v>24</v>
      </c>
      <c r="CB48" s="7">
        <v>0.5</v>
      </c>
      <c r="CC48" s="7">
        <v>0.5</v>
      </c>
      <c r="CD48" s="7">
        <v>0</v>
      </c>
      <c r="CE48" s="10">
        <v>0.83696669999999995</v>
      </c>
      <c r="CF48" s="10">
        <v>0.16303329999999999</v>
      </c>
      <c r="CG48" s="10">
        <v>0</v>
      </c>
      <c r="CH48" s="7" t="s">
        <v>24</v>
      </c>
      <c r="CI48" s="7" t="s">
        <v>24</v>
      </c>
      <c r="CJ48" s="7" t="s">
        <v>24</v>
      </c>
      <c r="CK48" s="45">
        <v>0.44290000000000002</v>
      </c>
      <c r="CL48" s="7" t="s">
        <v>24</v>
      </c>
      <c r="CM48" s="7">
        <v>0</v>
      </c>
      <c r="CN48" s="7" t="s">
        <v>24</v>
      </c>
      <c r="CO48" s="7" t="s">
        <v>24</v>
      </c>
      <c r="CP48" s="7">
        <v>0.5</v>
      </c>
      <c r="CQ48" s="7">
        <v>0.5</v>
      </c>
      <c r="CR48" s="7">
        <v>0</v>
      </c>
      <c r="CS48" s="10">
        <v>0.8358333</v>
      </c>
      <c r="CT48" s="10">
        <v>0.1641667</v>
      </c>
      <c r="CU48" s="10">
        <v>0</v>
      </c>
      <c r="CV48" s="7" t="s">
        <v>24</v>
      </c>
      <c r="CW48" s="7" t="s">
        <v>24</v>
      </c>
      <c r="CX48" s="7" t="s">
        <v>24</v>
      </c>
      <c r="CY48" s="45">
        <v>0.92449999999999999</v>
      </c>
      <c r="CZ48" s="10">
        <v>0.93800539999999999</v>
      </c>
      <c r="DA48" s="10">
        <v>0.87878789999999996</v>
      </c>
      <c r="DB48" s="10">
        <v>0.9074316</v>
      </c>
      <c r="DC48" s="45">
        <v>0.88360000000000005</v>
      </c>
      <c r="DD48" s="10">
        <v>0.70799999999999996</v>
      </c>
      <c r="DE48" s="10">
        <v>0.89393940000000005</v>
      </c>
      <c r="DF48" s="10">
        <v>0.79017859999999995</v>
      </c>
      <c r="DG48" s="7" t="s">
        <v>24</v>
      </c>
      <c r="DH48" s="7">
        <v>0</v>
      </c>
      <c r="DI48" s="7">
        <v>0.5</v>
      </c>
      <c r="DJ48" s="7">
        <v>0.5</v>
      </c>
      <c r="DK48" s="10">
        <v>0</v>
      </c>
      <c r="DL48" s="10">
        <v>0.15870000000000001</v>
      </c>
      <c r="DM48" s="10">
        <v>0.84130000000000005</v>
      </c>
      <c r="DN48" s="7" t="s">
        <v>24</v>
      </c>
      <c r="DO48" s="7" t="s">
        <v>24</v>
      </c>
      <c r="DP48" s="7" t="s">
        <v>24</v>
      </c>
      <c r="DQ48" s="45">
        <v>0.87870000000000004</v>
      </c>
      <c r="DR48" s="10">
        <v>0.92722369999999998</v>
      </c>
      <c r="DS48" s="10">
        <v>0.86868690000000004</v>
      </c>
      <c r="DT48" s="10">
        <v>0.8970013</v>
      </c>
      <c r="DU48" s="7" t="s">
        <v>24</v>
      </c>
      <c r="DV48" s="7">
        <v>0</v>
      </c>
      <c r="DW48" s="7">
        <v>0.5</v>
      </c>
      <c r="DX48" s="7">
        <v>0.5</v>
      </c>
      <c r="DY48" s="7">
        <v>0</v>
      </c>
      <c r="DZ48" s="10">
        <v>0.15963330000000001</v>
      </c>
      <c r="EA48" s="10">
        <v>0.84036670000000002</v>
      </c>
      <c r="EB48" s="7" t="s">
        <v>24</v>
      </c>
      <c r="EC48" s="7" t="s">
        <v>24</v>
      </c>
      <c r="ED48" s="7" t="s">
        <v>24</v>
      </c>
      <c r="EE48" s="45">
        <v>0.89439999999999997</v>
      </c>
      <c r="EF48" s="10">
        <v>0.85673350000000004</v>
      </c>
      <c r="EG48" s="10">
        <v>0.75505049999999996</v>
      </c>
      <c r="EH48" s="10">
        <v>0.80268459999999997</v>
      </c>
      <c r="EI48" s="45">
        <v>0.8417</v>
      </c>
      <c r="EJ48" s="10">
        <v>0.79575600000000002</v>
      </c>
      <c r="EK48" s="10">
        <v>0.75757580000000002</v>
      </c>
      <c r="EL48" s="10">
        <v>0.77619660000000001</v>
      </c>
      <c r="EM48" s="7" t="s">
        <v>24</v>
      </c>
      <c r="EN48" s="10">
        <v>0</v>
      </c>
      <c r="EO48" s="10">
        <v>0.5</v>
      </c>
      <c r="EP48" s="10">
        <v>0.5</v>
      </c>
      <c r="EQ48" s="10">
        <v>0</v>
      </c>
      <c r="ER48" s="10">
        <v>0.15953329999999999</v>
      </c>
      <c r="ES48" s="10">
        <v>0.84046670000000001</v>
      </c>
      <c r="ET48" s="7" t="s">
        <v>24</v>
      </c>
      <c r="EU48" s="7" t="s">
        <v>24</v>
      </c>
      <c r="EV48" s="7" t="s">
        <v>24</v>
      </c>
      <c r="EW48" s="45">
        <v>0.8417</v>
      </c>
      <c r="EX48" s="10">
        <v>0.79575600000000002</v>
      </c>
      <c r="EY48" s="10">
        <v>0.75757580000000002</v>
      </c>
      <c r="EZ48" s="10">
        <v>0.77619660000000001</v>
      </c>
      <c r="FA48" s="7" t="s">
        <v>24</v>
      </c>
      <c r="FB48" s="7">
        <v>0</v>
      </c>
      <c r="FC48" s="7">
        <v>0.5</v>
      </c>
      <c r="FD48" s="7">
        <v>0.5</v>
      </c>
      <c r="FE48" s="7">
        <v>0</v>
      </c>
      <c r="FF48" s="10">
        <v>0.16089999999999999</v>
      </c>
      <c r="FG48" s="10">
        <v>0.83909999999999996</v>
      </c>
      <c r="FH48" s="7" t="s">
        <v>24</v>
      </c>
      <c r="FI48" s="7" t="s">
        <v>24</v>
      </c>
      <c r="FJ48" s="7" t="s">
        <v>24</v>
      </c>
    </row>
    <row r="49" spans="3:166" x14ac:dyDescent="0.2">
      <c r="C49" s="6"/>
      <c r="E49" s="155"/>
      <c r="F49" s="155"/>
      <c r="G49" s="14"/>
      <c r="H49" s="7"/>
      <c r="I49" s="7"/>
      <c r="J49" s="7"/>
      <c r="K49" s="1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4"/>
      <c r="AN49" s="7"/>
      <c r="AO49" s="7"/>
      <c r="AP49" s="7"/>
      <c r="AQ49" s="14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14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14"/>
      <c r="BT49" s="7"/>
      <c r="BU49" s="7"/>
      <c r="BV49" s="7"/>
      <c r="BW49" s="14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14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14"/>
      <c r="CZ49" s="7"/>
      <c r="DA49" s="7"/>
      <c r="DB49" s="7"/>
      <c r="DC49" s="14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14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14"/>
      <c r="EF49" s="7"/>
      <c r="EG49" s="7"/>
      <c r="EH49" s="7"/>
      <c r="EI49" s="14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14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</row>
    <row r="50" spans="3:166" x14ac:dyDescent="0.2">
      <c r="C50" s="6">
        <v>3</v>
      </c>
      <c r="D50" t="s">
        <v>40</v>
      </c>
      <c r="E50" s="155"/>
      <c r="F50" s="155"/>
      <c r="G50" s="45">
        <v>0.92225369999999995</v>
      </c>
      <c r="H50" s="7"/>
      <c r="I50" s="7"/>
      <c r="J50" s="7"/>
      <c r="K50" s="45">
        <v>0.93708809999999998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45">
        <v>0.91616770000000003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45">
        <v>0.92854890000000001</v>
      </c>
      <c r="AN50" s="7"/>
      <c r="AO50" s="7"/>
      <c r="AP50" s="7"/>
      <c r="AQ50" s="45">
        <v>0.94787299999999997</v>
      </c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10">
        <v>0.91111111099999997</v>
      </c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10">
        <v>0.73937679999999995</v>
      </c>
      <c r="BT50" s="7"/>
      <c r="BU50" s="7"/>
      <c r="BV50" s="7"/>
      <c r="BW50" s="10">
        <v>0.52007190000000003</v>
      </c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45">
        <v>0.24850559999999999</v>
      </c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45">
        <v>0.92353680000000005</v>
      </c>
      <c r="CZ50" s="7"/>
      <c r="DA50" s="7"/>
      <c r="DB50" s="7"/>
      <c r="DC50" s="45">
        <v>0.95152599999999998</v>
      </c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45">
        <v>0.91111109999999995</v>
      </c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45">
        <v>0.90806050000000005</v>
      </c>
      <c r="EF50" s="7"/>
      <c r="EG50" s="7"/>
      <c r="EH50" s="7"/>
      <c r="EI50" s="45" t="s">
        <v>24</v>
      </c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45" t="s">
        <v>24</v>
      </c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</row>
    <row r="51" spans="3:166" x14ac:dyDescent="0.2">
      <c r="C51" s="6">
        <v>3</v>
      </c>
      <c r="D51" t="s">
        <v>41</v>
      </c>
      <c r="E51" s="155"/>
      <c r="F51" s="155"/>
      <c r="G51" s="45">
        <v>0.92571610000000004</v>
      </c>
      <c r="H51" s="7"/>
      <c r="I51" s="7"/>
      <c r="J51" s="7"/>
      <c r="K51" s="45" t="s">
        <v>24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45" t="s">
        <v>24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45">
        <v>0.93549400000000005</v>
      </c>
      <c r="AN51" s="7"/>
      <c r="AO51" s="7"/>
      <c r="AP51" s="7"/>
      <c r="AQ51" s="45">
        <v>0.91611739999999997</v>
      </c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10">
        <v>5.977797E-3</v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10">
        <v>0.47434690000000002</v>
      </c>
      <c r="BT51" s="7"/>
      <c r="BU51" s="7"/>
      <c r="BV51" s="7"/>
      <c r="BW51" s="10">
        <v>0.84011979999999997</v>
      </c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45">
        <v>0.8948718</v>
      </c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45">
        <v>0.92414229999999997</v>
      </c>
      <c r="CZ51" s="7"/>
      <c r="DA51" s="7"/>
      <c r="DB51" s="7"/>
      <c r="DC51" s="45">
        <v>0.94068300000000005</v>
      </c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45">
        <v>0.89991449999999995</v>
      </c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45">
        <v>0.89773440000000004</v>
      </c>
      <c r="EF51" s="7"/>
      <c r="EG51" s="7"/>
      <c r="EH51" s="7"/>
      <c r="EI51" s="14" t="s">
        <v>24</v>
      </c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14" t="s">
        <v>24</v>
      </c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</row>
    <row r="52" spans="3:166" x14ac:dyDescent="0.2">
      <c r="C52" s="6">
        <v>3</v>
      </c>
      <c r="D52" t="s">
        <v>42</v>
      </c>
      <c r="E52" s="155"/>
      <c r="F52" s="155"/>
      <c r="G52" s="45">
        <v>0.91344040000000004</v>
      </c>
      <c r="H52" s="7"/>
      <c r="I52" s="7"/>
      <c r="J52" s="7"/>
      <c r="K52" s="45">
        <v>0.93828639999999996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45">
        <v>0.90341879999999997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45">
        <v>0.92947100000000005</v>
      </c>
      <c r="AN52" s="7"/>
      <c r="AO52" s="7"/>
      <c r="AP52" s="7"/>
      <c r="AQ52" s="45">
        <v>0.54790419999999995</v>
      </c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10">
        <v>0.917948718</v>
      </c>
      <c r="BF52" s="7"/>
      <c r="BG52" s="7"/>
      <c r="BH52" s="7"/>
      <c r="BI52" s="10"/>
      <c r="BJ52" s="7"/>
      <c r="BK52" s="7"/>
      <c r="BL52" s="7"/>
      <c r="BM52" s="7"/>
      <c r="BN52" s="7"/>
      <c r="BO52" s="7"/>
      <c r="BP52" s="7"/>
      <c r="BQ52" s="7"/>
      <c r="BR52" s="7"/>
      <c r="BS52" s="10">
        <v>0.2603085</v>
      </c>
      <c r="BT52" s="7"/>
      <c r="BU52" s="7"/>
      <c r="BV52" s="7"/>
      <c r="BW52" s="10">
        <v>0.68783700000000003</v>
      </c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45">
        <v>0.86239319999999997</v>
      </c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45">
        <v>0.93104529999999996</v>
      </c>
      <c r="CZ52" s="7"/>
      <c r="DA52" s="7"/>
      <c r="DB52" s="7"/>
      <c r="DC52" s="45">
        <v>0.94364510000000001</v>
      </c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45">
        <v>0.92491469999999998</v>
      </c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45">
        <v>0.90273840000000005</v>
      </c>
      <c r="EF52" s="7"/>
      <c r="EG52" s="7"/>
      <c r="EH52" s="7"/>
      <c r="EI52" s="14" t="s">
        <v>24</v>
      </c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14" t="s">
        <v>24</v>
      </c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</row>
    <row r="53" spans="3:166" x14ac:dyDescent="0.2">
      <c r="C53" s="6">
        <v>3</v>
      </c>
      <c r="D53" t="s">
        <v>49</v>
      </c>
      <c r="E53" s="155"/>
      <c r="F53" s="155"/>
      <c r="G53" s="14">
        <f>AVERAGE(G50:G52)</f>
        <v>0.92047006666666675</v>
      </c>
      <c r="H53" s="7"/>
      <c r="I53" s="7"/>
      <c r="J53" s="7"/>
      <c r="K53" s="37">
        <f>AVERAGE(K50:K52)</f>
        <v>0.93768724999999997</v>
      </c>
      <c r="L53" s="7"/>
      <c r="M53" s="7"/>
      <c r="N53" s="7"/>
      <c r="O53" s="10" t="s">
        <v>24</v>
      </c>
      <c r="P53" s="10" t="s">
        <v>24</v>
      </c>
      <c r="Q53" s="10" t="s">
        <v>24</v>
      </c>
      <c r="R53" s="7" t="s">
        <v>24</v>
      </c>
      <c r="S53" s="10" t="s">
        <v>24</v>
      </c>
      <c r="T53" s="10" t="s">
        <v>24</v>
      </c>
      <c r="U53" s="10" t="s">
        <v>24</v>
      </c>
      <c r="V53" s="7" t="s">
        <v>24</v>
      </c>
      <c r="W53" s="7" t="s">
        <v>24</v>
      </c>
      <c r="X53" s="7" t="s">
        <v>24</v>
      </c>
      <c r="Y53" s="38">
        <f>AVERAGE(Y50:Y52)</f>
        <v>0.90979325</v>
      </c>
      <c r="Z53" s="7"/>
      <c r="AA53" s="7"/>
      <c r="AB53" s="7"/>
      <c r="AC53" s="10" t="s">
        <v>24</v>
      </c>
      <c r="AD53" s="10" t="s">
        <v>24</v>
      </c>
      <c r="AE53" s="53" t="s">
        <v>24</v>
      </c>
      <c r="AF53" s="10" t="s">
        <v>24</v>
      </c>
      <c r="AG53" s="10" t="s">
        <v>24</v>
      </c>
      <c r="AH53" s="10" t="s">
        <v>24</v>
      </c>
      <c r="AI53" s="10" t="s">
        <v>24</v>
      </c>
      <c r="AJ53" s="10" t="s">
        <v>24</v>
      </c>
      <c r="AK53" s="10" t="s">
        <v>24</v>
      </c>
      <c r="AL53" s="10" t="s">
        <v>24</v>
      </c>
      <c r="AM53" s="14">
        <f>AVERAGE(AM50:AM52)</f>
        <v>0.93117130000000004</v>
      </c>
      <c r="AN53" s="7"/>
      <c r="AO53" s="7"/>
      <c r="AP53" s="7"/>
      <c r="AQ53" s="37">
        <f>AVERAGE(AQ50:AQ52)</f>
        <v>0.80396486666666667</v>
      </c>
      <c r="AR53" s="7"/>
      <c r="AS53" s="7"/>
      <c r="AT53" s="7"/>
      <c r="AU53" s="10">
        <v>0.42399999999999999</v>
      </c>
      <c r="AV53" s="7">
        <v>0.25</v>
      </c>
      <c r="AW53" s="7">
        <v>0.25</v>
      </c>
      <c r="AX53" s="7">
        <v>0.5</v>
      </c>
      <c r="AY53" s="10">
        <v>8.1966670000000005E-2</v>
      </c>
      <c r="AZ53" s="10">
        <v>0.24193329999999999</v>
      </c>
      <c r="BA53" s="10">
        <v>0.67610000000000003</v>
      </c>
      <c r="BB53" s="10">
        <v>0.22512760000000001</v>
      </c>
      <c r="BC53" s="10">
        <v>2.9846330000000001E-2</v>
      </c>
      <c r="BD53" s="10">
        <v>0.74502599999999997</v>
      </c>
      <c r="BE53" s="77">
        <f>AVERAGE(BE50:BE52)</f>
        <v>0.6116792086666667</v>
      </c>
      <c r="BF53" s="7"/>
      <c r="BG53" s="7"/>
      <c r="BH53" s="7"/>
      <c r="BI53" s="10">
        <v>0.40100000000000002</v>
      </c>
      <c r="BJ53" s="7">
        <v>0</v>
      </c>
      <c r="BK53" s="7">
        <v>0.25</v>
      </c>
      <c r="BL53" s="7">
        <v>0.75</v>
      </c>
      <c r="BM53" s="7">
        <v>0</v>
      </c>
      <c r="BN53" s="10">
        <v>9.2966670000000001E-2</v>
      </c>
      <c r="BO53" s="83">
        <v>0.90703330000000004</v>
      </c>
      <c r="BP53" s="10">
        <v>0.2222324</v>
      </c>
      <c r="BQ53" s="10">
        <v>1.1987930000000001E-2</v>
      </c>
      <c r="BR53" s="10">
        <v>0.7657796</v>
      </c>
      <c r="BS53" s="14">
        <f>AVERAGE(BS50:BS52)</f>
        <v>0.49134406666666669</v>
      </c>
      <c r="BT53" s="7"/>
      <c r="BU53" s="7"/>
      <c r="BV53" s="7"/>
      <c r="BW53" s="38">
        <f>AVERAGE(BW50:BW52)</f>
        <v>0.68267623333333338</v>
      </c>
      <c r="BX53" s="7"/>
      <c r="BY53" s="7"/>
      <c r="BZ53" s="7"/>
      <c r="CA53" s="10">
        <v>5.586E-2</v>
      </c>
      <c r="CB53" s="7">
        <v>0.75</v>
      </c>
      <c r="CC53" s="7">
        <v>0.25</v>
      </c>
      <c r="CD53" s="7">
        <v>0</v>
      </c>
      <c r="CE53" s="28">
        <v>0.99126669999999995</v>
      </c>
      <c r="CF53" s="10">
        <v>8.7333329999999994E-3</v>
      </c>
      <c r="CG53" s="7">
        <v>0</v>
      </c>
      <c r="CH53" s="28">
        <v>0.96012059999999999</v>
      </c>
      <c r="CI53" s="10">
        <v>6.8005419999999997E-3</v>
      </c>
      <c r="CJ53" s="10">
        <v>3.3078829999999997E-2</v>
      </c>
      <c r="CK53" s="14">
        <f>AVERAGE(CK50:CK52)</f>
        <v>0.66859020000000002</v>
      </c>
      <c r="CL53" s="7"/>
      <c r="CM53" s="7"/>
      <c r="CN53" s="7"/>
      <c r="CO53" s="10">
        <v>0.26590000000000003</v>
      </c>
      <c r="CP53" s="7">
        <v>0.5</v>
      </c>
      <c r="CQ53" s="7">
        <v>0.25</v>
      </c>
      <c r="CR53" s="7">
        <v>0.25</v>
      </c>
      <c r="CS53" s="10">
        <v>0.88390000000000002</v>
      </c>
      <c r="CT53" s="10">
        <v>5.2666669999999999E-2</v>
      </c>
      <c r="CU53" s="10">
        <v>6.3433329999999996E-2</v>
      </c>
      <c r="CV53" s="10">
        <v>0.83102690000000001</v>
      </c>
      <c r="CW53" s="10">
        <v>2.0568860000000001E-2</v>
      </c>
      <c r="CX53" s="10">
        <v>0.14840429999999999</v>
      </c>
      <c r="CY53" s="14">
        <f>AVERAGE(CY50:CY52)</f>
        <v>0.92624146666666674</v>
      </c>
      <c r="CZ53" s="7"/>
      <c r="DA53" s="7"/>
      <c r="DB53" s="7"/>
      <c r="DC53" s="76">
        <v>0.92620000000000002</v>
      </c>
      <c r="DD53" s="7"/>
      <c r="DE53" s="7"/>
      <c r="DF53" s="7"/>
      <c r="DG53" s="10">
        <v>1.481E-2</v>
      </c>
      <c r="DH53" s="7">
        <v>0</v>
      </c>
      <c r="DI53" s="7">
        <v>0.25</v>
      </c>
      <c r="DJ53" s="7">
        <v>0.75</v>
      </c>
      <c r="DK53" s="7">
        <v>0</v>
      </c>
      <c r="DL53" s="10">
        <v>8.9999999999999993E-3</v>
      </c>
      <c r="DM53" s="49">
        <v>0.99099999999999999</v>
      </c>
      <c r="DN53" s="10">
        <v>6.1948919999999996E-3</v>
      </c>
      <c r="DO53" s="10">
        <v>1.149125E-2</v>
      </c>
      <c r="DP53" s="49">
        <v>0.98231389999999996</v>
      </c>
      <c r="DQ53" s="38">
        <f>AVERAGE(DQ50:DQ52)</f>
        <v>0.91198009999999996</v>
      </c>
      <c r="DR53" s="7"/>
      <c r="DS53" s="7"/>
      <c r="DT53" s="7"/>
      <c r="DU53" s="10">
        <v>2.9899999999999999E-2</v>
      </c>
      <c r="DV53" s="7">
        <v>0.75</v>
      </c>
      <c r="DW53" s="7">
        <v>0.25</v>
      </c>
      <c r="DX53" s="7">
        <v>0</v>
      </c>
      <c r="DY53" s="28">
        <v>0.96223329999999996</v>
      </c>
      <c r="DZ53" s="10">
        <v>3.7766670000000002E-2</v>
      </c>
      <c r="EA53" s="7">
        <v>0</v>
      </c>
      <c r="EB53" s="62">
        <v>0.94539660000000003</v>
      </c>
      <c r="EC53" s="10">
        <v>4.4751930000000002E-2</v>
      </c>
      <c r="ED53" s="10">
        <v>9.8514940000000006E-3</v>
      </c>
      <c r="EE53" s="38">
        <f>AVERAGE(EE50:EE52)</f>
        <v>0.90284443333333331</v>
      </c>
      <c r="EF53" s="7"/>
      <c r="EG53" s="7"/>
      <c r="EH53" s="7"/>
      <c r="EI53" s="14" t="s">
        <v>24</v>
      </c>
      <c r="EJ53" s="7"/>
      <c r="EK53" s="7"/>
      <c r="EL53" s="7"/>
      <c r="EM53" s="7" t="s">
        <v>24</v>
      </c>
      <c r="EN53" s="7" t="s">
        <v>24</v>
      </c>
      <c r="EO53" s="45" t="s">
        <v>24</v>
      </c>
      <c r="EP53" s="7" t="s">
        <v>24</v>
      </c>
      <c r="EQ53" s="7" t="s">
        <v>24</v>
      </c>
      <c r="ER53" s="7" t="s">
        <v>24</v>
      </c>
      <c r="ES53" s="7" t="s">
        <v>24</v>
      </c>
      <c r="ET53" s="7" t="s">
        <v>24</v>
      </c>
      <c r="EU53" s="7" t="s">
        <v>24</v>
      </c>
      <c r="EV53" s="7" t="s">
        <v>24</v>
      </c>
      <c r="EW53" s="14" t="s">
        <v>24</v>
      </c>
      <c r="EX53" s="7"/>
      <c r="EY53" s="7"/>
      <c r="EZ53" s="7"/>
      <c r="FA53" s="7" t="s">
        <v>24</v>
      </c>
      <c r="FB53" s="7" t="s">
        <v>24</v>
      </c>
      <c r="FC53" s="45" t="s">
        <v>24</v>
      </c>
      <c r="FD53" s="7" t="s">
        <v>24</v>
      </c>
      <c r="FE53" s="7" t="s">
        <v>24</v>
      </c>
      <c r="FF53" s="7" t="s">
        <v>24</v>
      </c>
      <c r="FG53" s="7" t="s">
        <v>24</v>
      </c>
      <c r="FH53" s="7" t="s">
        <v>24</v>
      </c>
      <c r="FI53" s="7" t="s">
        <v>24</v>
      </c>
      <c r="FJ53" s="7" t="s">
        <v>24</v>
      </c>
    </row>
    <row r="54" spans="3:166" x14ac:dyDescent="0.2">
      <c r="C54" s="6">
        <v>3</v>
      </c>
      <c r="D54" t="s">
        <v>43</v>
      </c>
      <c r="E54" s="155"/>
      <c r="F54" s="155"/>
      <c r="G54" s="45">
        <v>0.92400000000000004</v>
      </c>
      <c r="H54" s="10">
        <v>0.93224929999999995</v>
      </c>
      <c r="I54" s="10">
        <v>0.86868690000000004</v>
      </c>
      <c r="J54" s="10">
        <v>0.89934639999999999</v>
      </c>
      <c r="K54" s="45">
        <v>0.43730000000000002</v>
      </c>
      <c r="L54" s="10" t="s">
        <v>24</v>
      </c>
      <c r="M54" s="10" t="s">
        <v>24</v>
      </c>
      <c r="N54" s="10" t="s">
        <v>24</v>
      </c>
      <c r="O54" s="7" t="s">
        <v>24</v>
      </c>
      <c r="P54" s="7">
        <v>0</v>
      </c>
      <c r="Q54" s="7">
        <v>0.25</v>
      </c>
      <c r="R54" s="7">
        <v>0.75</v>
      </c>
      <c r="S54" s="10">
        <v>0</v>
      </c>
      <c r="T54" s="10">
        <v>0.15883330000000001</v>
      </c>
      <c r="U54" s="10">
        <v>0.84116670000000004</v>
      </c>
      <c r="V54" s="7" t="s">
        <v>24</v>
      </c>
      <c r="W54" s="7" t="s">
        <v>24</v>
      </c>
      <c r="X54" s="7" t="s">
        <v>24</v>
      </c>
      <c r="Y54" s="45">
        <v>0.70779999999999998</v>
      </c>
      <c r="Z54" s="10">
        <v>0.66176469999999998</v>
      </c>
      <c r="AA54" s="10">
        <v>0.11363636000000001</v>
      </c>
      <c r="AB54" s="10">
        <v>0.193965517</v>
      </c>
      <c r="AC54" s="7" t="s">
        <v>24</v>
      </c>
      <c r="AD54" s="7">
        <v>0</v>
      </c>
      <c r="AE54" s="7">
        <v>0.5</v>
      </c>
      <c r="AF54" s="7">
        <v>0.5</v>
      </c>
      <c r="AG54" s="7">
        <v>0</v>
      </c>
      <c r="AH54" s="10">
        <v>0.15989999999999999</v>
      </c>
      <c r="AI54" s="10">
        <v>0.84009999999999996</v>
      </c>
      <c r="AJ54" s="7" t="s">
        <v>24</v>
      </c>
      <c r="AK54" s="7" t="s">
        <v>24</v>
      </c>
      <c r="AL54" s="7" t="s">
        <v>24</v>
      </c>
      <c r="AM54" s="45">
        <v>0.92749999999999999</v>
      </c>
      <c r="AN54" s="10">
        <v>0.94535519999999995</v>
      </c>
      <c r="AO54" s="10">
        <v>0.8737374</v>
      </c>
      <c r="AP54" s="10">
        <v>0.90813650000000001</v>
      </c>
      <c r="AQ54" s="45">
        <v>0.43409999999999999</v>
      </c>
      <c r="AR54" s="10">
        <v>0.68</v>
      </c>
      <c r="AS54" s="10">
        <v>0.90151515199999999</v>
      </c>
      <c r="AT54" s="10">
        <v>0.7752443</v>
      </c>
      <c r="AU54" s="7" t="s">
        <v>24</v>
      </c>
      <c r="AV54" s="7">
        <v>0</v>
      </c>
      <c r="AW54" s="7">
        <v>0.5</v>
      </c>
      <c r="AX54" s="7">
        <v>0.5</v>
      </c>
      <c r="AY54" s="7">
        <v>0</v>
      </c>
      <c r="AZ54" s="10">
        <v>0.16256670000000001</v>
      </c>
      <c r="BA54" s="10">
        <v>0.83743330000000005</v>
      </c>
      <c r="BB54" s="7" t="s">
        <v>24</v>
      </c>
      <c r="BC54" s="7" t="s">
        <v>24</v>
      </c>
      <c r="BD54" s="7" t="s">
        <v>24</v>
      </c>
      <c r="BE54" s="10">
        <v>0.61939999999999995</v>
      </c>
      <c r="BF54" s="10">
        <v>1</v>
      </c>
      <c r="BG54" s="10">
        <v>5.0505050000000003E-3</v>
      </c>
      <c r="BH54" s="10">
        <v>0.91975841000000003</v>
      </c>
      <c r="BI54" s="7" t="s">
        <v>24</v>
      </c>
      <c r="BJ54" s="7">
        <v>0</v>
      </c>
      <c r="BK54" s="7">
        <v>0.5</v>
      </c>
      <c r="BL54" s="7">
        <v>0.5</v>
      </c>
      <c r="BM54" s="7">
        <v>0</v>
      </c>
      <c r="BN54" s="10">
        <v>0.1594333</v>
      </c>
      <c r="BO54" s="10">
        <v>0.8405667</v>
      </c>
      <c r="BP54" s="7" t="s">
        <v>24</v>
      </c>
      <c r="BQ54" s="7" t="s">
        <v>24</v>
      </c>
      <c r="BR54" s="7" t="s">
        <v>24</v>
      </c>
      <c r="BS54" s="10">
        <v>0.37790000000000001</v>
      </c>
      <c r="BT54" s="10" t="s">
        <v>24</v>
      </c>
      <c r="BU54" s="10">
        <v>0</v>
      </c>
      <c r="BV54" s="10" t="s">
        <v>24</v>
      </c>
      <c r="BW54" s="10">
        <v>0.33110000000000001</v>
      </c>
      <c r="BX54" s="10">
        <v>0.71241829999999995</v>
      </c>
      <c r="BY54" s="10">
        <v>0.82575759999999998</v>
      </c>
      <c r="BZ54" s="10">
        <v>0.76491229999999999</v>
      </c>
      <c r="CA54" s="7" t="s">
        <v>24</v>
      </c>
      <c r="CB54" s="7">
        <v>0</v>
      </c>
      <c r="CC54" s="7">
        <v>0.5</v>
      </c>
      <c r="CD54" s="7">
        <v>0.5</v>
      </c>
      <c r="CE54" s="7">
        <v>0</v>
      </c>
      <c r="CF54" s="10">
        <v>0.16196669999999999</v>
      </c>
      <c r="CG54" s="10">
        <v>0.83803329999999998</v>
      </c>
      <c r="CH54" s="7" t="s">
        <v>24</v>
      </c>
      <c r="CI54" s="7" t="s">
        <v>24</v>
      </c>
      <c r="CJ54" s="7" t="s">
        <v>24</v>
      </c>
      <c r="CK54" s="45">
        <v>0.54879999999999995</v>
      </c>
      <c r="CL54" s="7" t="s">
        <v>24</v>
      </c>
      <c r="CM54" s="7">
        <v>0</v>
      </c>
      <c r="CN54" s="7" t="s">
        <v>24</v>
      </c>
      <c r="CO54" s="7" t="s">
        <v>24</v>
      </c>
      <c r="CP54" s="7">
        <v>0.5</v>
      </c>
      <c r="CQ54" s="7">
        <v>0.5</v>
      </c>
      <c r="CR54" s="7">
        <v>0</v>
      </c>
      <c r="CS54" s="10">
        <v>0.83946670000000001</v>
      </c>
      <c r="CT54" s="10">
        <v>0.16053329999999999</v>
      </c>
      <c r="CU54" s="10">
        <v>0</v>
      </c>
      <c r="CV54" s="7" t="s">
        <v>24</v>
      </c>
      <c r="CW54" s="7" t="s">
        <v>24</v>
      </c>
      <c r="CX54" s="7" t="s">
        <v>24</v>
      </c>
      <c r="CY54" s="45">
        <v>0.92449999999999999</v>
      </c>
      <c r="CZ54" s="10">
        <v>0.93800539999999999</v>
      </c>
      <c r="DA54" s="10">
        <v>0.87878789999999996</v>
      </c>
      <c r="DB54" s="10">
        <v>0.9074316</v>
      </c>
      <c r="DC54" s="45">
        <v>0.61050000000000004</v>
      </c>
      <c r="DD54" s="10">
        <v>0.85238100000000006</v>
      </c>
      <c r="DE54" s="10">
        <v>0.90404039999999997</v>
      </c>
      <c r="DF54" s="10">
        <v>0.87745097999999999</v>
      </c>
      <c r="DG54" s="65" t="s">
        <v>24</v>
      </c>
      <c r="DH54" s="7">
        <v>0</v>
      </c>
      <c r="DI54" s="7">
        <v>0.5</v>
      </c>
      <c r="DJ54" s="7">
        <v>0.5</v>
      </c>
      <c r="DK54" s="7">
        <v>0</v>
      </c>
      <c r="DL54" s="10">
        <v>0.1603</v>
      </c>
      <c r="DM54" s="10">
        <v>0.8397</v>
      </c>
      <c r="DN54" s="7" t="s">
        <v>24</v>
      </c>
      <c r="DO54" s="7" t="s">
        <v>24</v>
      </c>
      <c r="DP54" s="7" t="s">
        <v>24</v>
      </c>
      <c r="DQ54" s="45">
        <v>0.75560000000000005</v>
      </c>
      <c r="DR54" s="10">
        <v>0.3504505</v>
      </c>
      <c r="DS54" s="10">
        <v>0.98232319999999995</v>
      </c>
      <c r="DT54" s="10">
        <v>0.51660030000000001</v>
      </c>
      <c r="DU54" s="7" t="s">
        <v>24</v>
      </c>
      <c r="DV54" s="7">
        <v>0</v>
      </c>
      <c r="DW54" s="7">
        <v>0.5</v>
      </c>
      <c r="DX54" s="7">
        <v>0.5</v>
      </c>
      <c r="DY54" s="7">
        <v>0</v>
      </c>
      <c r="DZ54" s="10">
        <v>0.16120000000000001</v>
      </c>
      <c r="EA54" s="10">
        <v>0.83879999999999999</v>
      </c>
      <c r="EB54" s="7" t="s">
        <v>24</v>
      </c>
      <c r="EC54" s="7" t="s">
        <v>24</v>
      </c>
      <c r="ED54" s="7" t="s">
        <v>24</v>
      </c>
      <c r="EE54" s="45">
        <v>0.89439999999999997</v>
      </c>
      <c r="EF54" s="10">
        <v>0.85673350000000004</v>
      </c>
      <c r="EG54" s="10">
        <v>0.75505049999999996</v>
      </c>
      <c r="EH54" s="10">
        <v>0.80268459999999997</v>
      </c>
      <c r="EI54" s="45" t="s">
        <v>24</v>
      </c>
      <c r="EJ54" s="7" t="s">
        <v>24</v>
      </c>
      <c r="EK54" s="7" t="s">
        <v>24</v>
      </c>
      <c r="EL54" s="7" t="s">
        <v>24</v>
      </c>
      <c r="EM54" s="7" t="s">
        <v>24</v>
      </c>
      <c r="EN54" s="7" t="s">
        <v>24</v>
      </c>
      <c r="EO54" s="45" t="s">
        <v>24</v>
      </c>
      <c r="EP54" s="7" t="s">
        <v>24</v>
      </c>
      <c r="EQ54" s="7" t="s">
        <v>24</v>
      </c>
      <c r="ER54" s="7" t="s">
        <v>24</v>
      </c>
      <c r="ES54" s="7" t="s">
        <v>24</v>
      </c>
      <c r="ET54" s="7" t="s">
        <v>24</v>
      </c>
      <c r="EU54" s="7" t="s">
        <v>24</v>
      </c>
      <c r="EV54" s="7" t="s">
        <v>24</v>
      </c>
      <c r="EW54" s="45" t="s">
        <v>24</v>
      </c>
      <c r="EX54" s="7" t="s">
        <v>24</v>
      </c>
      <c r="EY54" s="7" t="s">
        <v>24</v>
      </c>
      <c r="EZ54" s="7" t="s">
        <v>24</v>
      </c>
      <c r="FA54" s="7" t="s">
        <v>24</v>
      </c>
      <c r="FB54" s="7" t="s">
        <v>24</v>
      </c>
      <c r="FC54" s="45" t="s">
        <v>24</v>
      </c>
      <c r="FD54" s="7" t="s">
        <v>24</v>
      </c>
      <c r="FE54" s="7" t="s">
        <v>24</v>
      </c>
      <c r="FF54" s="7" t="s">
        <v>24</v>
      </c>
      <c r="FG54" s="7" t="s">
        <v>24</v>
      </c>
      <c r="FH54" s="7" t="s">
        <v>24</v>
      </c>
      <c r="FI54" s="7" t="s">
        <v>24</v>
      </c>
      <c r="FJ54" s="7" t="s">
        <v>24</v>
      </c>
    </row>
    <row r="55" spans="3:166" x14ac:dyDescent="0.2">
      <c r="C55" s="6"/>
      <c r="E55" s="155"/>
      <c r="F55" s="155"/>
      <c r="G55" s="14"/>
      <c r="H55" s="7"/>
      <c r="I55" s="7"/>
      <c r="J55" s="7"/>
      <c r="K55" s="14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14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4"/>
      <c r="AN55" s="7"/>
      <c r="AO55" s="7"/>
      <c r="AP55" s="7"/>
      <c r="AQ55" s="14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14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14"/>
      <c r="BT55" s="7"/>
      <c r="BU55" s="7"/>
      <c r="BV55" s="7"/>
      <c r="BW55" s="14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14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14"/>
      <c r="CZ55" s="7"/>
      <c r="DA55" s="7"/>
      <c r="DB55" s="7"/>
      <c r="DC55" s="14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14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14"/>
      <c r="EF55" s="7"/>
      <c r="EG55" s="7"/>
      <c r="EH55" s="7"/>
      <c r="EI55" s="14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14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</row>
    <row r="56" spans="3:166" x14ac:dyDescent="0.2">
      <c r="C56" s="6">
        <v>4</v>
      </c>
      <c r="D56" t="s">
        <v>40</v>
      </c>
      <c r="E56" s="155"/>
      <c r="F56" s="155"/>
      <c r="G56" s="45">
        <v>0.92225369999999995</v>
      </c>
      <c r="H56" s="7"/>
      <c r="I56" s="7"/>
      <c r="J56" s="7"/>
      <c r="K56" s="45">
        <v>0.96308720000000003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45">
        <v>0.82593859999999997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45">
        <v>0.92854890000000001</v>
      </c>
      <c r="AN56" s="7"/>
      <c r="AO56" s="7"/>
      <c r="AP56" s="7"/>
      <c r="AQ56" s="45">
        <v>0.9799331</v>
      </c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10">
        <v>0.83788399999999996</v>
      </c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10">
        <v>0.73937679999999995</v>
      </c>
      <c r="BT56" s="7"/>
      <c r="BU56" s="7"/>
      <c r="BV56" s="7"/>
      <c r="BW56" s="10">
        <v>0.94314379999999998</v>
      </c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45">
        <v>0.80375430000000003</v>
      </c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45">
        <v>0.92353680000000005</v>
      </c>
      <c r="CZ56" s="7"/>
      <c r="DA56" s="7"/>
      <c r="DB56" s="7"/>
      <c r="DC56" s="45">
        <v>0.98989899999999997</v>
      </c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45">
        <v>0.80887370000000003</v>
      </c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45">
        <v>0.90806050000000005</v>
      </c>
      <c r="EF56" s="7"/>
      <c r="EG56" s="7"/>
      <c r="EH56" s="7"/>
      <c r="EI56" s="45">
        <v>0.96321069999999998</v>
      </c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45">
        <v>0.956229</v>
      </c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</row>
    <row r="57" spans="3:166" x14ac:dyDescent="0.2">
      <c r="C57" s="6">
        <v>4</v>
      </c>
      <c r="D57" t="s">
        <v>41</v>
      </c>
      <c r="E57" s="155"/>
      <c r="F57" s="155"/>
      <c r="G57" s="45">
        <v>0.92571610000000004</v>
      </c>
      <c r="H57" s="7"/>
      <c r="I57" s="7"/>
      <c r="J57" s="7"/>
      <c r="K57" s="45">
        <v>0.97651010000000005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45">
        <v>0.79557069999999996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45">
        <v>0.93549400000000005</v>
      </c>
      <c r="AN57" s="7"/>
      <c r="AO57" s="7"/>
      <c r="AP57" s="7"/>
      <c r="AQ57" s="45">
        <v>0.98989899999999997</v>
      </c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10">
        <v>0.81228670000000003</v>
      </c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10">
        <v>0.47434690000000002</v>
      </c>
      <c r="BT57" s="7"/>
      <c r="BU57" s="7"/>
      <c r="BV57" s="7"/>
      <c r="BW57" s="10">
        <v>0.97297299999999998</v>
      </c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45">
        <v>0.78023849999999995</v>
      </c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45">
        <v>0.92414229999999997</v>
      </c>
      <c r="CZ57" s="7"/>
      <c r="DA57" s="7"/>
      <c r="DB57" s="7"/>
      <c r="DC57" s="45">
        <v>0.9799331</v>
      </c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45">
        <v>0.81771720000000003</v>
      </c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45">
        <v>0.89773440000000004</v>
      </c>
      <c r="EF57" s="7"/>
      <c r="EG57" s="7"/>
      <c r="EH57" s="7"/>
      <c r="EI57" s="45">
        <v>0.97651010000000005</v>
      </c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45">
        <v>0.97</v>
      </c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</row>
    <row r="58" spans="3:166" x14ac:dyDescent="0.2">
      <c r="C58" s="6">
        <v>1</v>
      </c>
      <c r="D58" t="s">
        <v>42</v>
      </c>
      <c r="E58" s="155"/>
      <c r="F58" s="155"/>
      <c r="G58" s="45">
        <v>0.91344040000000004</v>
      </c>
      <c r="H58" s="7"/>
      <c r="I58" s="7"/>
      <c r="J58" s="7"/>
      <c r="K58" s="45">
        <v>0.98322149999999997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45">
        <v>0.81228670000000003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45">
        <v>0.92947100000000005</v>
      </c>
      <c r="AN58" s="7"/>
      <c r="AO58" s="7"/>
      <c r="AP58" s="7"/>
      <c r="AQ58" s="45">
        <v>0.98322149999999997</v>
      </c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10">
        <v>0.80408860000000004</v>
      </c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10">
        <v>0.2603085</v>
      </c>
      <c r="BT58" s="7"/>
      <c r="BU58" s="7"/>
      <c r="BV58" s="7"/>
      <c r="BW58" s="10">
        <v>0.94648829999999995</v>
      </c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45">
        <v>0.76450510000000005</v>
      </c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45">
        <v>0.93104529999999996</v>
      </c>
      <c r="CZ58" s="7"/>
      <c r="DA58" s="7"/>
      <c r="DB58" s="7"/>
      <c r="DC58" s="45">
        <v>0.9899329</v>
      </c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45">
        <v>0.82764510000000002</v>
      </c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45">
        <v>0.90273840000000005</v>
      </c>
      <c r="EF58" s="7"/>
      <c r="EG58" s="7"/>
      <c r="EH58" s="7"/>
      <c r="EI58" s="45">
        <v>0.98316499999999996</v>
      </c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45">
        <v>0.97979799999999995</v>
      </c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</row>
    <row r="59" spans="3:166" x14ac:dyDescent="0.2">
      <c r="C59" s="6">
        <v>4</v>
      </c>
      <c r="D59" t="s">
        <v>49</v>
      </c>
      <c r="E59" s="155"/>
      <c r="F59" s="155"/>
      <c r="G59" s="14">
        <f>AVERAGE(G56:G58)</f>
        <v>0.92047006666666675</v>
      </c>
      <c r="H59" s="7"/>
      <c r="I59" s="7"/>
      <c r="J59" s="7"/>
      <c r="K59" s="38">
        <f>AVERAGE(K56:K58)</f>
        <v>0.97427293333333331</v>
      </c>
      <c r="L59" s="7"/>
      <c r="M59" s="7"/>
      <c r="N59" s="7"/>
      <c r="O59" s="10">
        <v>2.895E-2</v>
      </c>
      <c r="P59" s="7">
        <v>0.75</v>
      </c>
      <c r="Q59" s="7">
        <v>0.25</v>
      </c>
      <c r="R59" s="7">
        <v>0</v>
      </c>
      <c r="S59" s="28">
        <v>0.99080000000000001</v>
      </c>
      <c r="T59" s="10">
        <v>9.1999999999999998E-3</v>
      </c>
      <c r="U59" s="7">
        <v>0</v>
      </c>
      <c r="V59" s="28">
        <v>0.97209129999999999</v>
      </c>
      <c r="W59" s="10">
        <v>1.4154160000000001E-2</v>
      </c>
      <c r="X59" s="10">
        <v>1.3754509999999999E-2</v>
      </c>
      <c r="Y59" s="35">
        <f>AVERAGE(Y56:Y58)</f>
        <v>0.81126533333333339</v>
      </c>
      <c r="Z59" s="7"/>
      <c r="AA59" s="7"/>
      <c r="AB59" s="7"/>
      <c r="AC59" s="10">
        <v>3.601E-3</v>
      </c>
      <c r="AD59" s="7">
        <v>0</v>
      </c>
      <c r="AE59" s="7">
        <v>0.25</v>
      </c>
      <c r="AF59" s="7">
        <v>0.75</v>
      </c>
      <c r="AG59" s="7">
        <v>0</v>
      </c>
      <c r="AH59" s="10">
        <v>9.0333329999999993E-3</v>
      </c>
      <c r="AI59" s="49">
        <v>0.99096669999999998</v>
      </c>
      <c r="AJ59" s="10">
        <v>2.0135330000000001E-3</v>
      </c>
      <c r="AK59" s="10">
        <v>8.8594659999999997E-4</v>
      </c>
      <c r="AL59" s="49">
        <v>0.99710049999999995</v>
      </c>
      <c r="AM59" s="14">
        <f>AVERAGE(AM56:AM58)</f>
        <v>0.93117130000000004</v>
      </c>
      <c r="AN59" s="7"/>
      <c r="AO59" s="7"/>
      <c r="AP59" s="7"/>
      <c r="AQ59" s="38">
        <f>AVERAGE(AQ56:AQ58)</f>
        <v>0.98435119999999998</v>
      </c>
      <c r="AR59" s="7"/>
      <c r="AS59" s="7"/>
      <c r="AT59" s="7"/>
      <c r="AU59" s="10">
        <v>5.0000000000000001E-3</v>
      </c>
      <c r="AV59" s="7">
        <v>0.75</v>
      </c>
      <c r="AW59" s="7">
        <v>0.25</v>
      </c>
      <c r="AX59" s="7">
        <v>0</v>
      </c>
      <c r="AY59" s="28">
        <v>0.99146670000000003</v>
      </c>
      <c r="AZ59" s="10">
        <v>8.5333330000000006E-3</v>
      </c>
      <c r="BA59" s="7">
        <v>0</v>
      </c>
      <c r="BB59" s="28">
        <v>0.99498209999999998</v>
      </c>
      <c r="BC59" s="10">
        <v>2.6551729999999998E-3</v>
      </c>
      <c r="BD59" s="10">
        <v>2.362758E-3</v>
      </c>
      <c r="BE59" s="34">
        <f>AVERAGE(BE56:BE58)</f>
        <v>0.81808643333333331</v>
      </c>
      <c r="BF59" s="7"/>
      <c r="BG59" s="7"/>
      <c r="BH59" s="7"/>
      <c r="BI59" s="10">
        <v>8.9239999999999996E-3</v>
      </c>
      <c r="BJ59" s="7">
        <v>0</v>
      </c>
      <c r="BK59" s="7">
        <v>0.25</v>
      </c>
      <c r="BL59" s="7">
        <v>0.75</v>
      </c>
      <c r="BM59" s="7">
        <v>0</v>
      </c>
      <c r="BN59" s="10">
        <v>9.7000000000000003E-3</v>
      </c>
      <c r="BO59" s="49">
        <v>0.99029999999999996</v>
      </c>
      <c r="BP59" s="10">
        <v>5.0136030000000002E-3</v>
      </c>
      <c r="BQ59" s="10">
        <v>2.0888579999999999E-3</v>
      </c>
      <c r="BR59" s="49">
        <v>0.99289749999999999</v>
      </c>
      <c r="BS59" s="14">
        <f>AVERAGE(BS56:BS58)</f>
        <v>0.49134406666666669</v>
      </c>
      <c r="BT59" s="7"/>
      <c r="BU59" s="7"/>
      <c r="BV59" s="7"/>
      <c r="BW59" s="38">
        <f>AVERAGE(BW56:BW58)</f>
        <v>0.95420169999999993</v>
      </c>
      <c r="BX59" s="7"/>
      <c r="BY59" s="7"/>
      <c r="BZ59" s="7"/>
      <c r="CA59" s="10">
        <v>7.0400000000000004E-2</v>
      </c>
      <c r="CB59" s="7">
        <v>0.75</v>
      </c>
      <c r="CC59" s="7">
        <v>0.25</v>
      </c>
      <c r="CD59" s="7">
        <v>0</v>
      </c>
      <c r="CE59" s="10">
        <v>0.99093330000000002</v>
      </c>
      <c r="CF59" s="10">
        <v>9.0666670000000005E-3</v>
      </c>
      <c r="CG59" s="7">
        <v>0</v>
      </c>
      <c r="CH59" s="28">
        <v>0.95287080000000002</v>
      </c>
      <c r="CI59" s="10">
        <v>3.4060660000000001E-3</v>
      </c>
      <c r="CJ59" s="10">
        <v>4.3723119999999997E-2</v>
      </c>
      <c r="CK59" s="38">
        <f>AVERAGE(CK56:CK58)</f>
        <v>0.78283263333333331</v>
      </c>
      <c r="CL59" s="7"/>
      <c r="CM59" s="7"/>
      <c r="CN59" s="7"/>
      <c r="CO59" s="10">
        <v>0.14899999999999999</v>
      </c>
      <c r="CP59" s="7">
        <v>0.75</v>
      </c>
      <c r="CQ59" s="7">
        <v>0.25</v>
      </c>
      <c r="CR59" s="7">
        <v>0</v>
      </c>
      <c r="CS59" s="28">
        <v>0.9917667</v>
      </c>
      <c r="CT59" s="10">
        <v>8.2333330000000007E-3</v>
      </c>
      <c r="CU59" s="7">
        <v>0</v>
      </c>
      <c r="CV59" s="62">
        <v>0.90235489999999996</v>
      </c>
      <c r="CW59" s="10">
        <v>9.4155709999999993E-3</v>
      </c>
      <c r="CX59" s="10">
        <v>8.8229509999999997E-2</v>
      </c>
      <c r="CY59" s="14">
        <f>AVERAGE(CY56:CY58)</f>
        <v>0.92624146666666674</v>
      </c>
      <c r="CZ59" s="7"/>
      <c r="DA59" s="7"/>
      <c r="DB59" s="7"/>
      <c r="DC59" s="52">
        <v>0.9799331</v>
      </c>
      <c r="DD59" s="7"/>
      <c r="DE59" s="7"/>
      <c r="DF59" s="7"/>
      <c r="DG59" s="10">
        <v>2.1649999999999998E-3</v>
      </c>
      <c r="DH59" s="7">
        <v>0.75</v>
      </c>
      <c r="DI59" s="7">
        <v>0.25</v>
      </c>
      <c r="DJ59" s="7">
        <v>0</v>
      </c>
      <c r="DK59" s="28">
        <v>0.99129999999999996</v>
      </c>
      <c r="DL59" s="10">
        <v>8.6999999999999994E-3</v>
      </c>
      <c r="DM59" s="7">
        <v>0</v>
      </c>
      <c r="DN59" s="28">
        <v>0.99793200000000004</v>
      </c>
      <c r="DO59" s="10">
        <v>1.005499E-3</v>
      </c>
      <c r="DP59" s="10">
        <v>1.0624569999999999E-3</v>
      </c>
      <c r="DQ59" s="35">
        <f>AVERAGE(DQ56:DQ58)</f>
        <v>0.81807866666666662</v>
      </c>
      <c r="DR59" s="7"/>
      <c r="DS59" s="7"/>
      <c r="DT59" s="7"/>
      <c r="DU59" s="10">
        <v>4.7780000000000001E-3</v>
      </c>
      <c r="DV59" s="7">
        <v>0</v>
      </c>
      <c r="DW59" s="7">
        <v>0.25</v>
      </c>
      <c r="DX59" s="7">
        <v>0.75</v>
      </c>
      <c r="DY59" s="7">
        <v>0</v>
      </c>
      <c r="DZ59" s="10">
        <v>9.8333329999999997E-3</v>
      </c>
      <c r="EA59" s="49">
        <v>0.99016669999999996</v>
      </c>
      <c r="EB59" s="10">
        <v>2.6668579999999998E-3</v>
      </c>
      <c r="EC59" s="10">
        <v>1.183611E-3</v>
      </c>
      <c r="ED59" s="49">
        <v>0.99614950000000002</v>
      </c>
      <c r="EE59" s="38">
        <f>AVERAGE(EE56:EE58)</f>
        <v>0.90284443333333331</v>
      </c>
      <c r="EF59" s="7"/>
      <c r="EG59" s="7"/>
      <c r="EH59" s="7"/>
      <c r="EI59" s="38">
        <f>AVERAGE(EI56:EI58)</f>
        <v>0.97429526666666666</v>
      </c>
      <c r="EJ59" s="7"/>
      <c r="EK59" s="7"/>
      <c r="EL59" s="7"/>
      <c r="EM59" s="10">
        <v>1.281E-2</v>
      </c>
      <c r="EN59" s="7">
        <v>0.75</v>
      </c>
      <c r="EO59" s="7">
        <v>0.25</v>
      </c>
      <c r="EP59" s="7">
        <v>0</v>
      </c>
      <c r="EQ59" s="28">
        <v>0.99133329999999997</v>
      </c>
      <c r="ER59" s="10">
        <v>8.6666669999999994E-3</v>
      </c>
      <c r="ES59" s="7">
        <v>0</v>
      </c>
      <c r="ET59" s="28">
        <v>0.98863230000000002</v>
      </c>
      <c r="EU59" s="10">
        <v>4.8012990000000002E-3</v>
      </c>
      <c r="EV59" s="10">
        <v>6.5663529999999996E-3</v>
      </c>
      <c r="EW59" s="19">
        <f>AVERAGE(EW56:EW58)</f>
        <v>0.9686756666666666</v>
      </c>
      <c r="EX59" s="7"/>
      <c r="EY59" s="7"/>
      <c r="EZ59" s="7"/>
      <c r="FA59" s="10">
        <v>1.7940000000000001E-2</v>
      </c>
      <c r="FB59" s="7">
        <v>0.75</v>
      </c>
      <c r="FC59" s="7">
        <v>0.25</v>
      </c>
      <c r="FD59" s="7">
        <v>0</v>
      </c>
      <c r="FE59" s="28">
        <v>0.99103330000000001</v>
      </c>
      <c r="FF59" s="10">
        <v>8.9666669999999993E-3</v>
      </c>
      <c r="FG59" s="7">
        <v>0</v>
      </c>
      <c r="FH59" s="30">
        <v>0.98373900000000003</v>
      </c>
      <c r="FI59" s="10">
        <v>7.2466709999999997E-3</v>
      </c>
      <c r="FJ59" s="10">
        <v>9.0143240000000006E-3</v>
      </c>
    </row>
    <row r="60" spans="3:166" x14ac:dyDescent="0.2">
      <c r="C60" s="6">
        <v>4</v>
      </c>
      <c r="D60" t="s">
        <v>43</v>
      </c>
      <c r="E60" s="155"/>
      <c r="F60" s="155"/>
      <c r="G60" s="45">
        <v>0.92400000000000004</v>
      </c>
      <c r="H60" s="10">
        <v>0.93224929999999995</v>
      </c>
      <c r="I60" s="10">
        <v>0.86868690000000004</v>
      </c>
      <c r="J60" s="10">
        <v>0.89934639999999999</v>
      </c>
      <c r="K60" s="45">
        <v>0.31269999999999998</v>
      </c>
      <c r="L60" s="10">
        <v>0.97872340000000002</v>
      </c>
      <c r="M60" s="10">
        <v>0.23232320000000001</v>
      </c>
      <c r="N60" s="10">
        <v>0.37551020000000002</v>
      </c>
      <c r="O60" s="7" t="s">
        <v>24</v>
      </c>
      <c r="P60" s="7">
        <v>0</v>
      </c>
      <c r="Q60" s="7">
        <v>0.5</v>
      </c>
      <c r="R60" s="7">
        <v>0.5</v>
      </c>
      <c r="S60" s="7">
        <v>0</v>
      </c>
      <c r="T60" s="10">
        <v>0.1589333</v>
      </c>
      <c r="U60" s="10">
        <v>0.84106669999999994</v>
      </c>
      <c r="V60" s="7" t="s">
        <v>24</v>
      </c>
      <c r="W60" s="7" t="s">
        <v>24</v>
      </c>
      <c r="X60" s="7" t="s">
        <v>24</v>
      </c>
      <c r="Y60" s="45">
        <v>0.49709999999999999</v>
      </c>
      <c r="Z60" s="7" t="s">
        <v>24</v>
      </c>
      <c r="AA60" s="7">
        <v>0</v>
      </c>
      <c r="AB60" s="7" t="s">
        <v>24</v>
      </c>
      <c r="AC60" s="7" t="s">
        <v>24</v>
      </c>
      <c r="AD60" s="7">
        <v>0</v>
      </c>
      <c r="AE60" s="7">
        <v>0.5</v>
      </c>
      <c r="AF60" s="7">
        <v>0.5</v>
      </c>
      <c r="AG60" s="10">
        <v>0</v>
      </c>
      <c r="AH60" s="10">
        <v>0.1593</v>
      </c>
      <c r="AI60" s="10">
        <v>0.8407</v>
      </c>
      <c r="AJ60" s="7" t="s">
        <v>24</v>
      </c>
      <c r="AK60" s="7" t="s">
        <v>24</v>
      </c>
      <c r="AL60" s="7" t="s">
        <v>24</v>
      </c>
      <c r="AM60" s="45">
        <v>0.92749999999999999</v>
      </c>
      <c r="AN60" s="10">
        <v>0.94535519999999995</v>
      </c>
      <c r="AO60" s="10">
        <v>0.8737374</v>
      </c>
      <c r="AP60" s="10">
        <v>0.90813650000000001</v>
      </c>
      <c r="AQ60" s="45">
        <v>0.33700000000000002</v>
      </c>
      <c r="AR60" s="10">
        <v>0.97345130000000002</v>
      </c>
      <c r="AS60" s="10">
        <v>0.55555560000000004</v>
      </c>
      <c r="AT60" s="10">
        <v>0.70739549999999995</v>
      </c>
      <c r="AU60" s="7" t="s">
        <v>24</v>
      </c>
      <c r="AV60" s="7">
        <v>0</v>
      </c>
      <c r="AW60" s="7">
        <v>0.5</v>
      </c>
      <c r="AX60" s="7">
        <v>0.5</v>
      </c>
      <c r="AY60" s="7">
        <v>0</v>
      </c>
      <c r="AZ60" s="10">
        <v>0.1605</v>
      </c>
      <c r="BA60" s="10">
        <v>0.83950000000000002</v>
      </c>
      <c r="BB60" s="7" t="s">
        <v>24</v>
      </c>
      <c r="BC60" s="7" t="s">
        <v>24</v>
      </c>
      <c r="BD60" s="7" t="s">
        <v>24</v>
      </c>
      <c r="BE60" s="10">
        <v>0.3931</v>
      </c>
      <c r="BF60" s="7" t="s">
        <v>24</v>
      </c>
      <c r="BG60" s="7">
        <v>0</v>
      </c>
      <c r="BH60" s="7" t="s">
        <v>24</v>
      </c>
      <c r="BI60" s="7" t="s">
        <v>24</v>
      </c>
      <c r="BJ60" s="7">
        <v>0</v>
      </c>
      <c r="BK60" s="7">
        <v>0.5</v>
      </c>
      <c r="BL60" s="7">
        <v>0.5</v>
      </c>
      <c r="BM60" s="7">
        <v>0</v>
      </c>
      <c r="BN60" s="10">
        <v>0.1624333</v>
      </c>
      <c r="BO60" s="10">
        <v>0.8375667</v>
      </c>
      <c r="BP60" s="7" t="s">
        <v>24</v>
      </c>
      <c r="BQ60" s="7" t="s">
        <v>24</v>
      </c>
      <c r="BR60" s="7" t="s">
        <v>24</v>
      </c>
      <c r="BS60" s="10">
        <v>0.37790000000000001</v>
      </c>
      <c r="BT60" s="10" t="s">
        <v>24</v>
      </c>
      <c r="BU60" s="10">
        <v>0</v>
      </c>
      <c r="BV60" s="10" t="s">
        <v>24</v>
      </c>
      <c r="BW60" s="10">
        <v>0.26469999999999999</v>
      </c>
      <c r="BX60" s="7" t="s">
        <v>24</v>
      </c>
      <c r="BY60" s="7">
        <v>0</v>
      </c>
      <c r="BZ60" s="7" t="s">
        <v>24</v>
      </c>
      <c r="CA60" s="7" t="s">
        <v>24</v>
      </c>
      <c r="CB60" s="7">
        <v>0</v>
      </c>
      <c r="CC60" s="7">
        <v>0.5</v>
      </c>
      <c r="CD60" s="7">
        <v>0.5</v>
      </c>
      <c r="CE60" s="7">
        <v>0</v>
      </c>
      <c r="CF60" s="10">
        <v>0.15559999999999999</v>
      </c>
      <c r="CG60" s="10">
        <v>0.84440000000000004</v>
      </c>
      <c r="CH60" s="7" t="s">
        <v>24</v>
      </c>
      <c r="CI60" s="7" t="s">
        <v>24</v>
      </c>
      <c r="CJ60" s="7" t="s">
        <v>24</v>
      </c>
      <c r="CK60" s="45">
        <v>0.39610000000000001</v>
      </c>
      <c r="CL60" s="7" t="s">
        <v>24</v>
      </c>
      <c r="CM60" s="7">
        <v>0</v>
      </c>
      <c r="CN60" s="7" t="s">
        <v>24</v>
      </c>
      <c r="CO60" s="7" t="s">
        <v>24</v>
      </c>
      <c r="CP60" s="7">
        <v>0.5</v>
      </c>
      <c r="CQ60" s="7">
        <v>0.5</v>
      </c>
      <c r="CR60" s="7">
        <v>0</v>
      </c>
      <c r="CS60" s="10">
        <v>0.54053329999999999</v>
      </c>
      <c r="CT60" s="10">
        <v>0.45946670000000001</v>
      </c>
      <c r="CU60" s="10">
        <v>0</v>
      </c>
      <c r="CV60" s="7" t="s">
        <v>24</v>
      </c>
      <c r="CW60" s="7" t="s">
        <v>24</v>
      </c>
      <c r="CX60" s="7" t="s">
        <v>24</v>
      </c>
      <c r="CY60" s="45">
        <v>0.92449999999999999</v>
      </c>
      <c r="CZ60" s="10">
        <v>0.93800539999999999</v>
      </c>
      <c r="DA60" s="10">
        <v>0.87878789999999996</v>
      </c>
      <c r="DB60" s="10">
        <v>0.9074316</v>
      </c>
      <c r="DC60" s="45">
        <v>0.34310000000000002</v>
      </c>
      <c r="DD60" s="10">
        <v>0.94811319999999999</v>
      </c>
      <c r="DE60" s="10">
        <v>0.50757580000000002</v>
      </c>
      <c r="DF60" s="10">
        <v>0.6611842</v>
      </c>
      <c r="DG60" s="65" t="s">
        <v>24</v>
      </c>
      <c r="DH60" s="7">
        <v>0</v>
      </c>
      <c r="DI60" s="7">
        <v>0.5</v>
      </c>
      <c r="DJ60" s="7">
        <v>0.5</v>
      </c>
      <c r="DK60" s="7">
        <v>0</v>
      </c>
      <c r="DL60" s="10">
        <v>0.15983330000000001</v>
      </c>
      <c r="DM60" s="10">
        <v>0.84016670000000004</v>
      </c>
      <c r="DN60" s="7" t="s">
        <v>24</v>
      </c>
      <c r="DO60" s="7" t="s">
        <v>24</v>
      </c>
      <c r="DP60" s="7" t="s">
        <v>24</v>
      </c>
      <c r="DQ60" s="45">
        <v>0.6623</v>
      </c>
      <c r="DR60" s="7" t="s">
        <v>24</v>
      </c>
      <c r="DS60" s="7">
        <v>0</v>
      </c>
      <c r="DT60" s="7" t="s">
        <v>24</v>
      </c>
      <c r="DU60" s="7" t="s">
        <v>24</v>
      </c>
      <c r="DV60" s="7">
        <v>0</v>
      </c>
      <c r="DW60" s="7">
        <v>0.5</v>
      </c>
      <c r="DX60" s="7">
        <v>0.5</v>
      </c>
      <c r="DY60" s="7">
        <v>0</v>
      </c>
      <c r="DZ60" s="10">
        <v>0.1584333</v>
      </c>
      <c r="EA60" s="10">
        <v>0.8415667</v>
      </c>
      <c r="EB60" s="7" t="s">
        <v>24</v>
      </c>
      <c r="EC60" s="7" t="s">
        <v>24</v>
      </c>
      <c r="ED60" s="7" t="s">
        <v>24</v>
      </c>
      <c r="EE60" s="45">
        <v>0.89439999999999997</v>
      </c>
      <c r="EF60" s="10">
        <v>0.85673350000000004</v>
      </c>
      <c r="EG60" s="10">
        <v>0.75505049999999996</v>
      </c>
      <c r="EH60" s="10">
        <v>0.80268459999999997</v>
      </c>
      <c r="EI60" s="45">
        <v>0.3473</v>
      </c>
      <c r="EJ60" s="10">
        <v>0.30861909999999998</v>
      </c>
      <c r="EK60" s="10">
        <v>0.84090909999999996</v>
      </c>
      <c r="EL60" s="10">
        <v>0.45152540000000002</v>
      </c>
      <c r="EM60" s="7" t="s">
        <v>24</v>
      </c>
      <c r="EN60" s="10">
        <v>0</v>
      </c>
      <c r="EO60" s="10">
        <v>0.5</v>
      </c>
      <c r="EP60" s="10">
        <v>0.5</v>
      </c>
      <c r="EQ60" s="7">
        <v>0</v>
      </c>
      <c r="ER60" s="10">
        <v>0.16159999999999999</v>
      </c>
      <c r="ES60" s="10">
        <v>0.83840000000000003</v>
      </c>
      <c r="ET60" s="7" t="s">
        <v>24</v>
      </c>
      <c r="EU60" s="7" t="s">
        <v>24</v>
      </c>
      <c r="EV60" s="7" t="s">
        <v>24</v>
      </c>
      <c r="EW60" s="45">
        <v>0.3473</v>
      </c>
      <c r="EX60" s="10">
        <v>0.30861909999999998</v>
      </c>
      <c r="EY60" s="10">
        <v>0.84090909999999996</v>
      </c>
      <c r="EZ60" s="10">
        <v>0.45152540000000002</v>
      </c>
      <c r="FA60" s="7" t="s">
        <v>24</v>
      </c>
      <c r="FB60" s="7">
        <v>0</v>
      </c>
      <c r="FC60" s="7">
        <v>0.5</v>
      </c>
      <c r="FD60" s="7">
        <v>0.5</v>
      </c>
      <c r="FE60" s="7">
        <v>0</v>
      </c>
      <c r="FF60" s="10">
        <v>0.1629333</v>
      </c>
      <c r="FG60" s="10">
        <v>0.83706670000000005</v>
      </c>
      <c r="FH60" s="7" t="s">
        <v>24</v>
      </c>
      <c r="FI60" s="7" t="s">
        <v>24</v>
      </c>
      <c r="FJ60" s="7" t="s">
        <v>24</v>
      </c>
    </row>
    <row r="61" spans="3:166" x14ac:dyDescent="0.2">
      <c r="C61" s="6"/>
      <c r="E61" s="155"/>
      <c r="F61" s="155"/>
      <c r="G61" s="14"/>
      <c r="H61" s="7"/>
      <c r="I61" s="7"/>
      <c r="J61" s="7"/>
      <c r="K61" s="14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14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4"/>
      <c r="AN61" s="7"/>
      <c r="AO61" s="7"/>
      <c r="AP61" s="7"/>
      <c r="AQ61" s="14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14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14"/>
      <c r="BT61" s="7"/>
      <c r="BU61" s="7"/>
      <c r="BV61" s="7"/>
      <c r="BW61" s="14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14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14"/>
      <c r="CZ61" s="7"/>
      <c r="DA61" s="7"/>
      <c r="DB61" s="7"/>
      <c r="DC61" s="14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14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14"/>
      <c r="EF61" s="7"/>
      <c r="EG61" s="7"/>
      <c r="EH61" s="7"/>
      <c r="EI61" s="14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14"/>
      <c r="EX61" s="7"/>
      <c r="EY61" s="7"/>
      <c r="EZ61" s="7"/>
      <c r="FA61" s="7"/>
      <c r="FB61" s="7"/>
      <c r="FC61" s="7"/>
      <c r="FD61" s="10"/>
      <c r="FE61" s="7"/>
      <c r="FF61" s="7"/>
      <c r="FG61" s="7"/>
      <c r="FH61" s="7"/>
      <c r="FI61" s="7"/>
      <c r="FJ61" s="7"/>
    </row>
    <row r="62" spans="3:166" x14ac:dyDescent="0.2">
      <c r="C62" s="6">
        <v>5</v>
      </c>
      <c r="D62" t="s">
        <v>40</v>
      </c>
      <c r="E62" s="155"/>
      <c r="F62" s="155"/>
      <c r="G62" s="45">
        <v>0.92225369999999995</v>
      </c>
      <c r="H62" s="7"/>
      <c r="I62" s="7"/>
      <c r="J62" s="7"/>
      <c r="K62" s="14" t="s">
        <v>24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45">
        <v>0.71317830000000004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45">
        <v>0.92854890000000001</v>
      </c>
      <c r="AN62" s="7"/>
      <c r="AO62" s="7"/>
      <c r="AP62" s="7"/>
      <c r="AQ62" s="14" t="s">
        <v>24</v>
      </c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10">
        <v>0.50387599999999999</v>
      </c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10">
        <v>0.73937679999999995</v>
      </c>
      <c r="BT62" s="7"/>
      <c r="BU62" s="7"/>
      <c r="BV62" s="7"/>
      <c r="BW62" s="14" t="s">
        <v>24</v>
      </c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45">
        <v>0.7081712</v>
      </c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45">
        <v>0.92353680000000005</v>
      </c>
      <c r="CZ62" s="7"/>
      <c r="DA62" s="7"/>
      <c r="DB62" s="7"/>
      <c r="DC62" s="45" t="s">
        <v>24</v>
      </c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45">
        <v>0.72972970000000004</v>
      </c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45">
        <v>0.90806050000000005</v>
      </c>
      <c r="EF62" s="7"/>
      <c r="EG62" s="7"/>
      <c r="EH62" s="7"/>
      <c r="EI62" s="45" t="s">
        <v>24</v>
      </c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45" t="s">
        <v>24</v>
      </c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</row>
    <row r="63" spans="3:166" x14ac:dyDescent="0.2">
      <c r="C63" s="6">
        <v>5</v>
      </c>
      <c r="D63" t="s">
        <v>41</v>
      </c>
      <c r="E63" s="155"/>
      <c r="F63" s="155"/>
      <c r="G63" s="45">
        <v>0.92571610000000004</v>
      </c>
      <c r="H63" s="7"/>
      <c r="I63" s="7"/>
      <c r="J63" s="7"/>
      <c r="K63" s="14" t="s">
        <v>24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45">
        <v>0.73929959999999995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45">
        <v>0.93549400000000005</v>
      </c>
      <c r="AN63" s="7"/>
      <c r="AO63" s="7"/>
      <c r="AP63" s="7"/>
      <c r="AQ63" s="14" t="s">
        <v>24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10">
        <v>0.71042470000000002</v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10">
        <v>0.47434690000000002</v>
      </c>
      <c r="BT63" s="7"/>
      <c r="BU63" s="7"/>
      <c r="BV63" s="7"/>
      <c r="BW63" s="14" t="s">
        <v>24</v>
      </c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45">
        <v>0.73255809999999999</v>
      </c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45">
        <v>0.92414229999999997</v>
      </c>
      <c r="CZ63" s="7"/>
      <c r="DA63" s="7"/>
      <c r="DB63" s="7"/>
      <c r="DC63" s="14" t="s">
        <v>24</v>
      </c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45">
        <v>0.73151750000000004</v>
      </c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45">
        <v>0.89773440000000004</v>
      </c>
      <c r="EF63" s="7"/>
      <c r="EG63" s="7"/>
      <c r="EH63" s="7"/>
      <c r="EI63" s="14" t="s">
        <v>24</v>
      </c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14" t="s">
        <v>24</v>
      </c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</row>
    <row r="64" spans="3:166" x14ac:dyDescent="0.2">
      <c r="C64" s="6">
        <v>5</v>
      </c>
      <c r="D64" t="s">
        <v>42</v>
      </c>
      <c r="E64" s="155"/>
      <c r="F64" s="155"/>
      <c r="G64" s="45">
        <v>0.91344040000000004</v>
      </c>
      <c r="H64" s="7"/>
      <c r="I64" s="7"/>
      <c r="J64" s="7"/>
      <c r="K64" s="14" t="s">
        <v>24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45" t="s">
        <v>24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45">
        <v>0.92947100000000005</v>
      </c>
      <c r="AN64" s="7"/>
      <c r="AO64" s="7"/>
      <c r="AP64" s="7"/>
      <c r="AQ64" s="14" t="s">
        <v>24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10">
        <v>0.73540859999999997</v>
      </c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10">
        <v>0.2603085</v>
      </c>
      <c r="BT64" s="7"/>
      <c r="BU64" s="7"/>
      <c r="BV64" s="7"/>
      <c r="BW64" s="45" t="s">
        <v>24</v>
      </c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45">
        <v>0.56370659999999995</v>
      </c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45">
        <v>0.93104529999999996</v>
      </c>
      <c r="CZ64" s="7"/>
      <c r="DA64" s="7"/>
      <c r="DB64" s="7"/>
      <c r="DC64" s="14" t="s">
        <v>24</v>
      </c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45">
        <v>0.748062</v>
      </c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45">
        <v>0.90273840000000005</v>
      </c>
      <c r="EF64" s="7"/>
      <c r="EG64" s="7"/>
      <c r="EH64" s="7"/>
      <c r="EI64" s="14" t="s">
        <v>24</v>
      </c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14" t="s">
        <v>24</v>
      </c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</row>
    <row r="65" spans="1:167" x14ac:dyDescent="0.2">
      <c r="C65" s="6">
        <v>5</v>
      </c>
      <c r="D65" t="s">
        <v>49</v>
      </c>
      <c r="E65" s="155"/>
      <c r="F65" s="155"/>
      <c r="G65" s="14">
        <f>AVERAGE(G62:G64)</f>
        <v>0.92047006666666675</v>
      </c>
      <c r="H65" s="7"/>
      <c r="I65" s="7"/>
      <c r="J65" s="7"/>
      <c r="K65" s="14" t="s">
        <v>24</v>
      </c>
      <c r="L65" s="7"/>
      <c r="M65" s="7"/>
      <c r="N65" s="7"/>
      <c r="O65" s="7" t="s">
        <v>24</v>
      </c>
      <c r="P65" s="10" t="s">
        <v>24</v>
      </c>
      <c r="Q65" s="10" t="s">
        <v>24</v>
      </c>
      <c r="R65" s="10" t="s">
        <v>24</v>
      </c>
      <c r="S65" s="10" t="s">
        <v>24</v>
      </c>
      <c r="T65" s="10" t="s">
        <v>24</v>
      </c>
      <c r="U65" s="10" t="s">
        <v>24</v>
      </c>
      <c r="V65" s="7" t="s">
        <v>24</v>
      </c>
      <c r="W65" s="7" t="s">
        <v>24</v>
      </c>
      <c r="X65" s="7" t="s">
        <v>24</v>
      </c>
      <c r="Y65" s="35" t="s">
        <v>24</v>
      </c>
      <c r="Z65" s="7"/>
      <c r="AA65" s="7"/>
      <c r="AB65" s="7"/>
      <c r="AC65" s="10" t="s">
        <v>24</v>
      </c>
      <c r="AD65" s="10" t="s">
        <v>24</v>
      </c>
      <c r="AE65" s="10" t="s">
        <v>24</v>
      </c>
      <c r="AF65" s="10" t="s">
        <v>24</v>
      </c>
      <c r="AG65" s="10" t="s">
        <v>24</v>
      </c>
      <c r="AH65" s="10" t="s">
        <v>24</v>
      </c>
      <c r="AI65" s="10" t="s">
        <v>24</v>
      </c>
      <c r="AJ65" s="10" t="s">
        <v>24</v>
      </c>
      <c r="AK65" s="10" t="s">
        <v>24</v>
      </c>
      <c r="AL65" s="10" t="s">
        <v>24</v>
      </c>
      <c r="AM65" s="14">
        <f>AVERAGE(AM62:AM64)</f>
        <v>0.93117130000000004</v>
      </c>
      <c r="AN65" s="7"/>
      <c r="AO65" s="7"/>
      <c r="AP65" s="7"/>
      <c r="AQ65" s="14" t="s">
        <v>24</v>
      </c>
      <c r="AR65" s="7"/>
      <c r="AS65" s="7"/>
      <c r="AT65" s="7"/>
      <c r="AU65" s="7" t="s">
        <v>24</v>
      </c>
      <c r="AV65" s="7" t="s">
        <v>24</v>
      </c>
      <c r="AW65" s="10" t="s">
        <v>24</v>
      </c>
      <c r="AX65" s="7" t="s">
        <v>24</v>
      </c>
      <c r="AY65" s="7" t="s">
        <v>24</v>
      </c>
      <c r="AZ65" s="7" t="s">
        <v>24</v>
      </c>
      <c r="BA65" s="7" t="s">
        <v>24</v>
      </c>
      <c r="BB65" s="10" t="s">
        <v>24</v>
      </c>
      <c r="BC65" s="7" t="s">
        <v>24</v>
      </c>
      <c r="BD65" s="7" t="s">
        <v>24</v>
      </c>
      <c r="BE65" s="34">
        <f>AVERAGE(BE62:BE64)</f>
        <v>0.64990309999999996</v>
      </c>
      <c r="BF65" s="7"/>
      <c r="BG65" s="7"/>
      <c r="BH65" s="7"/>
      <c r="BI65" s="10">
        <v>5.9580000000000001E-2</v>
      </c>
      <c r="BJ65" s="7">
        <v>0</v>
      </c>
      <c r="BK65" s="7">
        <v>0.25</v>
      </c>
      <c r="BL65" s="7">
        <v>0.75</v>
      </c>
      <c r="BM65" s="7">
        <v>0</v>
      </c>
      <c r="BN65" s="10">
        <v>8.633333E-3</v>
      </c>
      <c r="BO65" s="49">
        <v>0.99136670000000005</v>
      </c>
      <c r="BP65" s="10">
        <v>3.627002E-2</v>
      </c>
      <c r="BQ65" s="10">
        <v>4.8784900000000001E-3</v>
      </c>
      <c r="BR65" s="49">
        <v>0.95885149999999997</v>
      </c>
      <c r="BS65" s="14">
        <f>AVERAGE(BS62:BS64)</f>
        <v>0.49134406666666669</v>
      </c>
      <c r="BT65" s="7"/>
      <c r="BU65" s="7"/>
      <c r="BV65" s="7"/>
      <c r="BW65" s="38" t="s">
        <v>24</v>
      </c>
      <c r="BX65" s="7"/>
      <c r="BY65" s="7"/>
      <c r="BZ65" s="7"/>
      <c r="CA65" s="7" t="s">
        <v>24</v>
      </c>
      <c r="CB65" s="7" t="s">
        <v>24</v>
      </c>
      <c r="CC65" s="45" t="s">
        <v>24</v>
      </c>
      <c r="CD65" s="7" t="s">
        <v>24</v>
      </c>
      <c r="CE65" s="7" t="s">
        <v>24</v>
      </c>
      <c r="CF65" s="7" t="s">
        <v>24</v>
      </c>
      <c r="CG65" s="7" t="s">
        <v>24</v>
      </c>
      <c r="CH65" s="7" t="s">
        <v>24</v>
      </c>
      <c r="CI65" s="7" t="s">
        <v>24</v>
      </c>
      <c r="CJ65" s="7" t="s">
        <v>24</v>
      </c>
      <c r="CK65" s="14">
        <f>AVERAGE(CK62:CK64)</f>
        <v>0.66814529999999994</v>
      </c>
      <c r="CL65" s="7"/>
      <c r="CM65" s="7"/>
      <c r="CN65" s="7"/>
      <c r="CO65" s="10">
        <v>0.23369999999999999</v>
      </c>
      <c r="CP65" s="7">
        <v>0.5</v>
      </c>
      <c r="CQ65" s="7">
        <v>0.25</v>
      </c>
      <c r="CR65" s="7">
        <v>0.25</v>
      </c>
      <c r="CS65" s="10">
        <v>0.87429999999999997</v>
      </c>
      <c r="CT65" s="10">
        <v>1.496667E-2</v>
      </c>
      <c r="CU65" s="10">
        <v>0.11073330000000001</v>
      </c>
      <c r="CV65" s="10">
        <v>0.84895670000000001</v>
      </c>
      <c r="CW65" s="10">
        <v>1.9686220000000001E-2</v>
      </c>
      <c r="CX65" s="10">
        <v>0.1313571</v>
      </c>
      <c r="CY65" s="14">
        <f>AVERAGE(CY62:CY64)</f>
        <v>0.92624146666666674</v>
      </c>
      <c r="CZ65" s="7"/>
      <c r="DA65" s="7"/>
      <c r="DB65" s="7"/>
      <c r="DC65" s="14" t="s">
        <v>24</v>
      </c>
      <c r="DD65" s="7"/>
      <c r="DE65" s="7"/>
      <c r="DF65" s="7"/>
      <c r="DG65" s="7" t="s">
        <v>24</v>
      </c>
      <c r="DH65" s="7" t="s">
        <v>24</v>
      </c>
      <c r="DI65" s="45" t="s">
        <v>24</v>
      </c>
      <c r="DJ65" s="7" t="s">
        <v>24</v>
      </c>
      <c r="DK65" s="7" t="s">
        <v>24</v>
      </c>
      <c r="DL65" s="7" t="s">
        <v>24</v>
      </c>
      <c r="DM65" s="7" t="s">
        <v>24</v>
      </c>
      <c r="DN65" s="7" t="s">
        <v>24</v>
      </c>
      <c r="DO65" s="7" t="s">
        <v>24</v>
      </c>
      <c r="DP65" s="7" t="s">
        <v>24</v>
      </c>
      <c r="DQ65" s="37">
        <f>AVERAGE(DQ62:DQ64)</f>
        <v>0.73643639999999999</v>
      </c>
      <c r="DR65" s="7"/>
      <c r="DS65" s="7"/>
      <c r="DT65" s="7"/>
      <c r="DU65" s="10">
        <v>1.482E-3</v>
      </c>
      <c r="DV65" s="7">
        <v>0</v>
      </c>
      <c r="DW65" s="7">
        <v>0.25</v>
      </c>
      <c r="DX65" s="7">
        <v>0.75</v>
      </c>
      <c r="DY65" s="7">
        <v>0</v>
      </c>
      <c r="DZ65" s="10">
        <v>8.5000000000000006E-3</v>
      </c>
      <c r="EA65" s="10">
        <v>0.84323329999999996</v>
      </c>
      <c r="EB65" s="10">
        <v>8.9134529999999998E-4</v>
      </c>
      <c r="EC65" s="10">
        <v>2.0862929999999999E-4</v>
      </c>
      <c r="ED65" s="49">
        <v>0.99890000000000001</v>
      </c>
      <c r="EE65" s="38">
        <f>AVERAGE(EE62:EE64)</f>
        <v>0.90284443333333331</v>
      </c>
      <c r="EF65" s="7"/>
      <c r="EG65" s="7"/>
      <c r="EH65" s="7"/>
      <c r="EI65" s="14" t="s">
        <v>24</v>
      </c>
      <c r="EJ65" s="7"/>
      <c r="EK65" s="7"/>
      <c r="EL65" s="7"/>
      <c r="EM65" s="7" t="s">
        <v>24</v>
      </c>
      <c r="EN65" s="7" t="s">
        <v>24</v>
      </c>
      <c r="EO65" s="45" t="s">
        <v>24</v>
      </c>
      <c r="EP65" s="7" t="s">
        <v>24</v>
      </c>
      <c r="EQ65" s="7" t="s">
        <v>24</v>
      </c>
      <c r="ER65" s="7" t="s">
        <v>24</v>
      </c>
      <c r="ES65" s="7" t="s">
        <v>24</v>
      </c>
      <c r="ET65" s="7" t="s">
        <v>24</v>
      </c>
      <c r="EU65" s="7" t="s">
        <v>24</v>
      </c>
      <c r="EV65" s="7" t="s">
        <v>24</v>
      </c>
      <c r="EW65" s="14" t="s">
        <v>24</v>
      </c>
      <c r="EX65" s="7"/>
      <c r="EY65" s="7"/>
      <c r="EZ65" s="7"/>
      <c r="FA65" s="7" t="s">
        <v>24</v>
      </c>
      <c r="FB65" s="7" t="s">
        <v>24</v>
      </c>
      <c r="FC65" s="45" t="s">
        <v>24</v>
      </c>
      <c r="FD65" s="7" t="s">
        <v>24</v>
      </c>
      <c r="FE65" s="7" t="s">
        <v>24</v>
      </c>
      <c r="FF65" s="7" t="s">
        <v>24</v>
      </c>
      <c r="FG65" s="7" t="s">
        <v>24</v>
      </c>
      <c r="FH65" s="7" t="s">
        <v>24</v>
      </c>
      <c r="FI65" s="7" t="s">
        <v>24</v>
      </c>
      <c r="FJ65" s="7" t="s">
        <v>24</v>
      </c>
    </row>
    <row r="66" spans="1:167" x14ac:dyDescent="0.2">
      <c r="C66" s="6">
        <v>5</v>
      </c>
      <c r="D66" t="s">
        <v>43</v>
      </c>
      <c r="E66" s="155"/>
      <c r="F66" s="155"/>
      <c r="G66" s="45">
        <v>0.92400000000000004</v>
      </c>
      <c r="H66" s="10">
        <v>0.93224929999999995</v>
      </c>
      <c r="I66" s="10">
        <v>0.86868690000000004</v>
      </c>
      <c r="J66" s="10">
        <v>0.89934639999999999</v>
      </c>
      <c r="K66" s="45" t="s">
        <v>24</v>
      </c>
      <c r="L66" s="7" t="s">
        <v>24</v>
      </c>
      <c r="M66" s="10" t="s">
        <v>24</v>
      </c>
      <c r="N66" s="7" t="s">
        <v>24</v>
      </c>
      <c r="O66" s="7" t="s">
        <v>24</v>
      </c>
      <c r="P66" s="10" t="s">
        <v>24</v>
      </c>
      <c r="Q66" s="10" t="s">
        <v>24</v>
      </c>
      <c r="R66" s="10" t="s">
        <v>24</v>
      </c>
      <c r="S66" s="10" t="s">
        <v>24</v>
      </c>
      <c r="T66" s="10" t="s">
        <v>24</v>
      </c>
      <c r="U66" s="10" t="s">
        <v>24</v>
      </c>
      <c r="V66" s="7" t="s">
        <v>24</v>
      </c>
      <c r="W66" s="7" t="s">
        <v>24</v>
      </c>
      <c r="X66" s="7" t="s">
        <v>24</v>
      </c>
      <c r="Y66" s="45">
        <v>0.41909999999999997</v>
      </c>
      <c r="Z66" s="7" t="s">
        <v>24</v>
      </c>
      <c r="AA66" s="7">
        <v>0</v>
      </c>
      <c r="AB66" s="7" t="s">
        <v>24</v>
      </c>
      <c r="AC66" s="7" t="s">
        <v>24</v>
      </c>
      <c r="AD66" s="7">
        <v>0</v>
      </c>
      <c r="AE66" s="7">
        <v>0.5</v>
      </c>
      <c r="AF66" s="7">
        <v>0.5</v>
      </c>
      <c r="AG66" s="10">
        <v>0</v>
      </c>
      <c r="AH66" s="10">
        <v>0.15570000000000001</v>
      </c>
      <c r="AI66" s="10">
        <v>0.84430000000000005</v>
      </c>
      <c r="AJ66" s="7" t="s">
        <v>24</v>
      </c>
      <c r="AK66" s="7" t="s">
        <v>24</v>
      </c>
      <c r="AL66" s="7" t="s">
        <v>24</v>
      </c>
      <c r="AM66" s="45">
        <v>0.92749999999999999</v>
      </c>
      <c r="AN66" s="10">
        <v>0.94535519999999995</v>
      </c>
      <c r="AO66" s="10">
        <v>0.8737374</v>
      </c>
      <c r="AP66" s="10">
        <v>0.90813650000000001</v>
      </c>
      <c r="AQ66" s="45" t="s">
        <v>24</v>
      </c>
      <c r="AR66" s="7" t="s">
        <v>24</v>
      </c>
      <c r="AS66" s="10" t="s">
        <v>24</v>
      </c>
      <c r="AT66" s="7" t="s">
        <v>24</v>
      </c>
      <c r="AU66" s="7" t="s">
        <v>24</v>
      </c>
      <c r="AV66" s="7" t="s">
        <v>24</v>
      </c>
      <c r="AW66" s="10" t="s">
        <v>24</v>
      </c>
      <c r="AX66" s="7" t="s">
        <v>24</v>
      </c>
      <c r="AY66" s="7" t="s">
        <v>24</v>
      </c>
      <c r="AZ66" s="7" t="s">
        <v>24</v>
      </c>
      <c r="BA66" s="7" t="s">
        <v>24</v>
      </c>
      <c r="BB66" s="10" t="s">
        <v>24</v>
      </c>
      <c r="BC66" s="7" t="s">
        <v>24</v>
      </c>
      <c r="BD66" s="7" t="s">
        <v>24</v>
      </c>
      <c r="BE66" s="10">
        <v>0.30049999999999999</v>
      </c>
      <c r="BF66" s="7" t="s">
        <v>24</v>
      </c>
      <c r="BG66" s="7">
        <v>0</v>
      </c>
      <c r="BH66" s="7" t="s">
        <v>24</v>
      </c>
      <c r="BI66" s="7" t="s">
        <v>24</v>
      </c>
      <c r="BJ66" s="7">
        <v>0</v>
      </c>
      <c r="BK66" s="7">
        <v>0.5</v>
      </c>
      <c r="BL66" s="7">
        <v>0.5</v>
      </c>
      <c r="BM66" s="7">
        <v>0</v>
      </c>
      <c r="BN66" s="10">
        <v>0.1574333</v>
      </c>
      <c r="BO66" s="10">
        <v>0.8425667</v>
      </c>
      <c r="BP66" s="7" t="s">
        <v>24</v>
      </c>
      <c r="BQ66" s="7" t="s">
        <v>24</v>
      </c>
      <c r="BR66" s="7" t="s">
        <v>24</v>
      </c>
      <c r="BS66" s="10">
        <v>0.37790000000000001</v>
      </c>
      <c r="BT66" s="10" t="s">
        <v>24</v>
      </c>
      <c r="BU66" s="10">
        <v>0</v>
      </c>
      <c r="BV66" s="10" t="s">
        <v>24</v>
      </c>
      <c r="BW66" s="45" t="s">
        <v>24</v>
      </c>
      <c r="BX66" s="7" t="s">
        <v>24</v>
      </c>
      <c r="BY66" s="7" t="s">
        <v>24</v>
      </c>
      <c r="BZ66" s="7" t="s">
        <v>24</v>
      </c>
      <c r="CA66" s="7" t="s">
        <v>24</v>
      </c>
      <c r="CB66" s="7" t="s">
        <v>24</v>
      </c>
      <c r="CC66" s="45" t="s">
        <v>24</v>
      </c>
      <c r="CD66" s="7" t="s">
        <v>24</v>
      </c>
      <c r="CE66" s="7" t="s">
        <v>24</v>
      </c>
      <c r="CF66" s="7" t="s">
        <v>24</v>
      </c>
      <c r="CG66" s="7" t="s">
        <v>24</v>
      </c>
      <c r="CH66" s="7" t="s">
        <v>24</v>
      </c>
      <c r="CI66" s="7" t="s">
        <v>24</v>
      </c>
      <c r="CJ66" s="7" t="s">
        <v>24</v>
      </c>
      <c r="CK66" s="45">
        <v>0.38009999999999999</v>
      </c>
      <c r="CL66" s="7" t="s">
        <v>24</v>
      </c>
      <c r="CM66" s="7">
        <v>0</v>
      </c>
      <c r="CN66" s="7" t="s">
        <v>24</v>
      </c>
      <c r="CO66" s="7" t="s">
        <v>24</v>
      </c>
      <c r="CP66" s="7">
        <v>0</v>
      </c>
      <c r="CQ66" s="7">
        <v>1</v>
      </c>
      <c r="CR66" s="7">
        <v>0</v>
      </c>
      <c r="CS66" s="10">
        <v>0.54333330000000002</v>
      </c>
      <c r="CT66" s="10">
        <v>0.45666669999999998</v>
      </c>
      <c r="CU66" s="10">
        <v>0</v>
      </c>
      <c r="CV66" s="7" t="s">
        <v>24</v>
      </c>
      <c r="CW66" s="7" t="s">
        <v>24</v>
      </c>
      <c r="CX66" s="7" t="s">
        <v>24</v>
      </c>
      <c r="CY66" s="45">
        <v>0.92449999999999999</v>
      </c>
      <c r="CZ66" s="10">
        <v>0.93800539999999999</v>
      </c>
      <c r="DA66" s="10">
        <v>0.87878789999999996</v>
      </c>
      <c r="DB66" s="10">
        <v>0.9074316</v>
      </c>
      <c r="DC66" s="45" t="s">
        <v>24</v>
      </c>
      <c r="DD66" s="7" t="s">
        <v>24</v>
      </c>
      <c r="DE66" s="7" t="s">
        <v>24</v>
      </c>
      <c r="DF66" s="7" t="s">
        <v>24</v>
      </c>
      <c r="DG66" s="7" t="s">
        <v>24</v>
      </c>
      <c r="DH66" s="7" t="s">
        <v>24</v>
      </c>
      <c r="DI66" s="45" t="s">
        <v>24</v>
      </c>
      <c r="DJ66" s="7" t="s">
        <v>24</v>
      </c>
      <c r="DK66" s="7" t="s">
        <v>24</v>
      </c>
      <c r="DL66" s="7" t="s">
        <v>24</v>
      </c>
      <c r="DM66" s="7" t="s">
        <v>24</v>
      </c>
      <c r="DN66" s="7" t="s">
        <v>24</v>
      </c>
      <c r="DO66" s="7" t="s">
        <v>24</v>
      </c>
      <c r="DP66" s="7" t="s">
        <v>24</v>
      </c>
      <c r="DQ66" s="45">
        <v>0.56589999999999996</v>
      </c>
      <c r="DR66" s="7" t="s">
        <v>24</v>
      </c>
      <c r="DS66" s="7">
        <v>0</v>
      </c>
      <c r="DT66" s="7" t="s">
        <v>24</v>
      </c>
      <c r="DU66" s="7" t="s">
        <v>24</v>
      </c>
      <c r="DV66" s="7">
        <v>0</v>
      </c>
      <c r="DW66" s="7">
        <v>0.5</v>
      </c>
      <c r="DX66" s="7">
        <v>0.5</v>
      </c>
      <c r="DY66" s="7">
        <v>0</v>
      </c>
      <c r="DZ66" s="10">
        <v>0.15676670000000001</v>
      </c>
      <c r="EA66" s="7">
        <f>1-DZ66</f>
        <v>0.84323329999999996</v>
      </c>
      <c r="EB66" s="7" t="s">
        <v>24</v>
      </c>
      <c r="EC66" s="7" t="s">
        <v>24</v>
      </c>
      <c r="ED66" s="7" t="s">
        <v>24</v>
      </c>
      <c r="EE66" s="45">
        <v>0.89439999999999997</v>
      </c>
      <c r="EF66" s="10">
        <v>0.85673350000000004</v>
      </c>
      <c r="EG66" s="10">
        <v>0.75505049999999996</v>
      </c>
      <c r="EH66" s="10">
        <v>0.80268459999999997</v>
      </c>
      <c r="EI66" s="45" t="s">
        <v>24</v>
      </c>
      <c r="EJ66" s="7" t="s">
        <v>24</v>
      </c>
      <c r="EK66" s="7" t="s">
        <v>24</v>
      </c>
      <c r="EL66" s="7" t="s">
        <v>24</v>
      </c>
      <c r="EM66" s="7" t="s">
        <v>24</v>
      </c>
      <c r="EN66" s="7" t="s">
        <v>24</v>
      </c>
      <c r="EO66" s="45" t="s">
        <v>24</v>
      </c>
      <c r="EP66" s="7" t="s">
        <v>24</v>
      </c>
      <c r="EQ66" s="7" t="s">
        <v>24</v>
      </c>
      <c r="ER66" s="7" t="s">
        <v>24</v>
      </c>
      <c r="ES66" s="7" t="s">
        <v>24</v>
      </c>
      <c r="ET66" s="7" t="s">
        <v>24</v>
      </c>
      <c r="EU66" s="7" t="s">
        <v>24</v>
      </c>
      <c r="EV66" s="7" t="s">
        <v>24</v>
      </c>
      <c r="EW66" s="45" t="s">
        <v>24</v>
      </c>
      <c r="EX66" s="7" t="s">
        <v>24</v>
      </c>
      <c r="EY66" s="7" t="s">
        <v>24</v>
      </c>
      <c r="EZ66" s="7" t="s">
        <v>24</v>
      </c>
      <c r="FA66" s="7" t="s">
        <v>24</v>
      </c>
      <c r="FB66" s="7" t="s">
        <v>24</v>
      </c>
      <c r="FC66" s="45" t="s">
        <v>24</v>
      </c>
      <c r="FD66" s="7" t="s">
        <v>24</v>
      </c>
      <c r="FE66" s="7" t="s">
        <v>24</v>
      </c>
      <c r="FF66" s="7" t="s">
        <v>24</v>
      </c>
      <c r="FG66" s="7" t="s">
        <v>24</v>
      </c>
      <c r="FH66" s="7" t="s">
        <v>24</v>
      </c>
      <c r="FI66" s="7" t="s">
        <v>24</v>
      </c>
      <c r="FJ66" s="7" t="s">
        <v>24</v>
      </c>
    </row>
    <row r="67" spans="1:167" s="23" customFormat="1" ht="17" thickBot="1" x14ac:dyDescent="0.25">
      <c r="E67" s="156"/>
      <c r="F67" s="156"/>
      <c r="G67" s="25"/>
      <c r="H67" s="24"/>
      <c r="I67" s="24"/>
      <c r="J67" s="24"/>
      <c r="K67" s="25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5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5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5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5"/>
      <c r="BT67" s="24"/>
      <c r="BU67" s="24"/>
      <c r="BV67" s="24"/>
      <c r="BW67" s="25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5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5"/>
      <c r="CZ67" s="24"/>
      <c r="DA67" s="24"/>
      <c r="DB67" s="24"/>
      <c r="DC67" s="25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5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5"/>
      <c r="EF67" s="24"/>
      <c r="EG67" s="24"/>
      <c r="EH67" s="24"/>
      <c r="EI67" s="25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5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6"/>
      <c r="FK67" s="21"/>
    </row>
    <row r="68" spans="1:167" x14ac:dyDescent="0.2">
      <c r="E68" s="155"/>
      <c r="F68" s="155"/>
      <c r="G68" s="14"/>
      <c r="H68" s="7"/>
      <c r="I68" s="7"/>
      <c r="J68" s="7"/>
      <c r="K68" s="1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14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4"/>
      <c r="AN68" s="7"/>
      <c r="AO68" s="7"/>
      <c r="AP68" s="7"/>
      <c r="AQ68" s="14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14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14"/>
      <c r="BT68" s="7"/>
      <c r="BU68" s="7"/>
      <c r="BV68" s="7"/>
      <c r="BW68" s="14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14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14"/>
      <c r="CZ68" s="7"/>
      <c r="DA68" s="7"/>
      <c r="DB68" s="7"/>
      <c r="DC68" s="14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14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14"/>
      <c r="EF68" s="7"/>
      <c r="EG68" s="7"/>
      <c r="EH68" s="7"/>
      <c r="EI68" s="14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14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</row>
    <row r="69" spans="1:167" x14ac:dyDescent="0.2">
      <c r="B69" s="3" t="s">
        <v>11</v>
      </c>
      <c r="E69" s="154">
        <v>17898</v>
      </c>
      <c r="F69" s="154">
        <v>9</v>
      </c>
      <c r="G69" s="14"/>
      <c r="H69" s="7"/>
      <c r="I69" s="7"/>
      <c r="J69" s="7"/>
      <c r="K69" s="1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14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4"/>
      <c r="AN69" s="7"/>
      <c r="AO69" s="7"/>
      <c r="AP69" s="7"/>
      <c r="AQ69" s="14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14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14"/>
      <c r="BT69" s="7"/>
      <c r="BU69" s="7"/>
      <c r="BV69" s="7"/>
      <c r="BW69" s="14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14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14"/>
      <c r="CZ69" s="7"/>
      <c r="DA69" s="7"/>
      <c r="DB69" s="7"/>
      <c r="DC69" s="14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14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14"/>
      <c r="EF69" s="7"/>
      <c r="EG69" s="7"/>
      <c r="EH69" s="7"/>
      <c r="EI69" s="14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14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</row>
    <row r="70" spans="1:167" x14ac:dyDescent="0.2">
      <c r="C70" s="6">
        <v>1</v>
      </c>
      <c r="D70" t="s">
        <v>40</v>
      </c>
      <c r="E70" s="155"/>
      <c r="F70" s="155"/>
      <c r="G70" s="45">
        <v>0.97917169999999998</v>
      </c>
      <c r="H70" s="7"/>
      <c r="I70" s="7"/>
      <c r="J70" s="7"/>
      <c r="K70" s="45">
        <v>0.99941349999999995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45">
        <v>0.96689440000000004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45">
        <v>0.97701150000000003</v>
      </c>
      <c r="AN70" s="7"/>
      <c r="AO70" s="7"/>
      <c r="AP70" s="7"/>
      <c r="AQ70" s="45">
        <v>0.99941369999999996</v>
      </c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10">
        <v>0.98904380000000003</v>
      </c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10">
        <v>0.98132180000000002</v>
      </c>
      <c r="BT70" s="7"/>
      <c r="BU70" s="7"/>
      <c r="BV70" s="7"/>
      <c r="BW70" s="10" t="s">
        <v>68</v>
      </c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45">
        <v>0.96845429999999999</v>
      </c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45">
        <v>0.98108240000000002</v>
      </c>
      <c r="CZ70" s="7"/>
      <c r="DA70" s="7"/>
      <c r="DB70" s="7"/>
      <c r="DC70" s="45">
        <v>0.99941369999999996</v>
      </c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45">
        <v>0.96006309999999995</v>
      </c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45">
        <v>0.96432850000000003</v>
      </c>
      <c r="EF70" s="7"/>
      <c r="EG70" s="7"/>
      <c r="EH70" s="7"/>
      <c r="EI70" s="45">
        <v>0.96246330000000002</v>
      </c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45">
        <v>0.94797690000000001</v>
      </c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</row>
    <row r="71" spans="1:167" x14ac:dyDescent="0.2">
      <c r="C71" s="6">
        <v>1</v>
      </c>
      <c r="D71" t="s">
        <v>41</v>
      </c>
      <c r="E71" s="155"/>
      <c r="F71" s="155"/>
      <c r="G71" s="45">
        <v>0.97749039999999998</v>
      </c>
      <c r="H71" s="7"/>
      <c r="I71" s="7"/>
      <c r="J71" s="7"/>
      <c r="K71" s="45">
        <v>0.99941369999999996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45">
        <v>0.96845429999999999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45">
        <v>0.98156129999999997</v>
      </c>
      <c r="AN71" s="7"/>
      <c r="AO71" s="7"/>
      <c r="AP71" s="7"/>
      <c r="AQ71" s="45">
        <v>0.99941369999999996</v>
      </c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10">
        <v>0.98854580000000003</v>
      </c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10">
        <v>0.98084289999999996</v>
      </c>
      <c r="BT71" s="7"/>
      <c r="BU71" s="7"/>
      <c r="BV71" s="7"/>
      <c r="BW71" s="10">
        <v>0.99941349999999995</v>
      </c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45">
        <v>0.96531789999999995</v>
      </c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45">
        <v>0.97845340000000003</v>
      </c>
      <c r="CZ71" s="7"/>
      <c r="DA71" s="7"/>
      <c r="DB71" s="7"/>
      <c r="DC71" s="45">
        <v>0.99941349999999995</v>
      </c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45">
        <v>0.96218490000000001</v>
      </c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45">
        <v>0.95977009999999996</v>
      </c>
      <c r="EF71" s="7"/>
      <c r="EG71" s="7"/>
      <c r="EH71" s="7"/>
      <c r="EI71" s="45">
        <v>0.97977130000000001</v>
      </c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45">
        <v>0.94587489999999996</v>
      </c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</row>
    <row r="72" spans="1:167" x14ac:dyDescent="0.2">
      <c r="C72" s="6">
        <v>1</v>
      </c>
      <c r="D72" t="s">
        <v>42</v>
      </c>
      <c r="E72" s="155"/>
      <c r="F72" s="155"/>
      <c r="G72" s="45">
        <v>0.98395589999999999</v>
      </c>
      <c r="H72" s="7"/>
      <c r="I72" s="7"/>
      <c r="J72" s="7"/>
      <c r="K72" s="45">
        <v>0.99941369999999996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45">
        <v>0.96008400000000005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45">
        <v>0.98012929999999998</v>
      </c>
      <c r="AN72" s="7"/>
      <c r="AO72" s="7"/>
      <c r="AP72" s="7"/>
      <c r="AQ72" s="45">
        <v>0.99941349999999995</v>
      </c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10">
        <v>0.98854580000000003</v>
      </c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10">
        <v>0.97965049999999998</v>
      </c>
      <c r="BT72" s="7"/>
      <c r="BU72" s="7"/>
      <c r="BV72" s="7"/>
      <c r="BW72" s="10">
        <v>0.99941369999999996</v>
      </c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45">
        <v>0.96586130000000003</v>
      </c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45">
        <v>0.97964560000000001</v>
      </c>
      <c r="CZ72" s="7"/>
      <c r="DA72" s="7"/>
      <c r="DB72" s="7"/>
      <c r="DC72" s="45">
        <v>0.99941369999999996</v>
      </c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45">
        <v>0.96740269999999995</v>
      </c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45">
        <v>0.96216480000000004</v>
      </c>
      <c r="EF72" s="7"/>
      <c r="EG72" s="7"/>
      <c r="EH72" s="7"/>
      <c r="EI72" s="45">
        <v>0.97859870000000004</v>
      </c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45">
        <v>0.95270630000000001</v>
      </c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</row>
    <row r="73" spans="1:167" x14ac:dyDescent="0.2">
      <c r="C73" s="6">
        <v>1</v>
      </c>
      <c r="D73" t="s">
        <v>60</v>
      </c>
      <c r="E73" s="155"/>
      <c r="F73" s="155"/>
      <c r="G73" s="14">
        <f>AVERAGE(G70:G72)</f>
        <v>0.98020599999999991</v>
      </c>
      <c r="H73" s="7"/>
      <c r="I73" s="7"/>
      <c r="J73" s="7"/>
      <c r="K73" s="19">
        <f>AVERAGE(K70:K72)</f>
        <v>0.99941363333333333</v>
      </c>
      <c r="L73" s="7"/>
      <c r="M73" s="7"/>
      <c r="N73" s="7"/>
      <c r="O73" s="10">
        <v>1.001E-2</v>
      </c>
      <c r="P73" s="7">
        <v>0.75</v>
      </c>
      <c r="Q73" s="7">
        <v>0.25</v>
      </c>
      <c r="R73" s="7">
        <v>0</v>
      </c>
      <c r="S73" s="28">
        <v>0.96193329999999999</v>
      </c>
      <c r="T73" s="10">
        <v>3.8066669999999997E-2</v>
      </c>
      <c r="U73" s="7">
        <v>0</v>
      </c>
      <c r="V73" s="10">
        <v>0.97288149999999995</v>
      </c>
      <c r="W73" s="10">
        <v>2.421274E-2</v>
      </c>
      <c r="X73" s="10">
        <v>2.905787E-3</v>
      </c>
      <c r="Y73" s="14">
        <f>AVERAGE(Y70:Y72)</f>
        <v>0.96514423333333343</v>
      </c>
      <c r="Z73" s="7"/>
      <c r="AA73" s="7"/>
      <c r="AB73" s="7"/>
      <c r="AC73" s="10">
        <v>2.5680000000000001E-2</v>
      </c>
      <c r="AD73" s="7">
        <v>0</v>
      </c>
      <c r="AE73" s="7">
        <v>0.25</v>
      </c>
      <c r="AF73" s="7">
        <v>0.75</v>
      </c>
      <c r="AG73" s="7">
        <v>0</v>
      </c>
      <c r="AH73" s="10">
        <v>0.16733329999999999</v>
      </c>
      <c r="AI73" s="10">
        <v>0.83266669999999998</v>
      </c>
      <c r="AJ73" s="10">
        <v>6.3078780000000003E-3</v>
      </c>
      <c r="AK73" s="10">
        <v>0.1021141</v>
      </c>
      <c r="AL73" s="10">
        <v>0.89157810000000004</v>
      </c>
      <c r="AM73" s="14">
        <f>AVERAGE(AM70:AM72)</f>
        <v>0.97956736666666666</v>
      </c>
      <c r="AN73" s="7"/>
      <c r="AO73" s="7"/>
      <c r="AP73" s="7"/>
      <c r="AQ73" s="78">
        <f>AVERAGE(AQ70:AQ72)</f>
        <v>0.99941363333333333</v>
      </c>
      <c r="AR73" s="7"/>
      <c r="AS73" s="7"/>
      <c r="AT73" s="7"/>
      <c r="AU73" s="10">
        <v>4.5490000000000001E-3</v>
      </c>
      <c r="AV73" s="7">
        <v>0.75</v>
      </c>
      <c r="AW73" s="7">
        <v>0.25</v>
      </c>
      <c r="AX73" s="7">
        <v>0</v>
      </c>
      <c r="AY73" s="62">
        <v>0.90753329999999999</v>
      </c>
      <c r="AZ73" s="10">
        <v>9.2466670000000001E-2</v>
      </c>
      <c r="BA73" s="7">
        <v>0</v>
      </c>
      <c r="BB73" s="28">
        <v>0.98803739999999995</v>
      </c>
      <c r="BC73" s="10">
        <v>1.061783E-2</v>
      </c>
      <c r="BD73" s="10">
        <v>1.3447419999999999E-3</v>
      </c>
      <c r="BE73" s="14">
        <f>AVERAGE(BE70:BE72)</f>
        <v>0.98871179999999992</v>
      </c>
      <c r="BF73" s="7"/>
      <c r="BG73" s="7"/>
      <c r="BH73" s="7"/>
      <c r="BI73" s="10">
        <v>5.0500000000000003E-2</v>
      </c>
      <c r="BJ73" s="7">
        <v>0.25</v>
      </c>
      <c r="BK73" s="7">
        <v>0.75</v>
      </c>
      <c r="BL73" s="7">
        <v>0</v>
      </c>
      <c r="BM73" s="10">
        <v>0.1550667</v>
      </c>
      <c r="BN73" s="10">
        <v>0.8449333</v>
      </c>
      <c r="BO73" s="7">
        <v>0</v>
      </c>
      <c r="BP73" s="10">
        <v>0.29090939999999998</v>
      </c>
      <c r="BQ73" s="10">
        <v>0.70157360000000002</v>
      </c>
      <c r="BR73" s="10">
        <v>7.5169690000000001E-3</v>
      </c>
      <c r="BS73" s="14">
        <f>AVERAGE(BS70:BS72)</f>
        <v>0.98060506666666658</v>
      </c>
      <c r="BT73" s="7"/>
      <c r="BU73" s="7"/>
      <c r="BV73" s="7"/>
      <c r="BW73" s="78">
        <f>AVERAGE(BW70:BW72)</f>
        <v>0.99941360000000001</v>
      </c>
      <c r="BX73" s="7"/>
      <c r="BY73" s="7"/>
      <c r="BZ73" s="7"/>
      <c r="CA73" s="10">
        <v>6.9729999999999998E-4</v>
      </c>
      <c r="CB73" s="7">
        <v>0.75</v>
      </c>
      <c r="CC73" s="7">
        <v>0.25</v>
      </c>
      <c r="CD73" s="7">
        <v>0</v>
      </c>
      <c r="CE73" s="10">
        <v>0.83293329999999999</v>
      </c>
      <c r="CF73" s="10">
        <v>0.16706670000000001</v>
      </c>
      <c r="CG73" s="7">
        <v>0</v>
      </c>
      <c r="CH73" s="62">
        <v>0.99789159999999999</v>
      </c>
      <c r="CI73" s="10">
        <v>1.910136E-3</v>
      </c>
      <c r="CJ73" s="10">
        <v>1.982486E-4</v>
      </c>
      <c r="CK73" s="14">
        <f>AVERAGE(CK70:CK72)</f>
        <v>0.96654450000000003</v>
      </c>
      <c r="CL73" s="7"/>
      <c r="CM73" s="7"/>
      <c r="CN73" s="7"/>
      <c r="CO73" s="10">
        <v>3.0560000000000001E-3</v>
      </c>
      <c r="CP73" s="7">
        <v>0</v>
      </c>
      <c r="CQ73" s="7">
        <v>0.25</v>
      </c>
      <c r="CR73" s="7">
        <v>0.75</v>
      </c>
      <c r="CS73" s="7">
        <v>0</v>
      </c>
      <c r="CT73" s="10">
        <v>0.16546669999999999</v>
      </c>
      <c r="CU73" s="10">
        <v>0.83453330000000003</v>
      </c>
      <c r="CV73" s="10">
        <v>6.9744480000000003E-4</v>
      </c>
      <c r="CW73" s="10">
        <v>2.2171219999999998E-2</v>
      </c>
      <c r="CX73" s="10">
        <v>0.97713130000000004</v>
      </c>
      <c r="CY73" s="14">
        <f>AVERAGE(CY70:CY72)</f>
        <v>0.97972713333333328</v>
      </c>
      <c r="CZ73" s="7"/>
      <c r="DA73" s="7"/>
      <c r="DB73" s="7"/>
      <c r="DC73" s="78">
        <f>AVERAGE(DC70:DC72)</f>
        <v>0.99941363333333333</v>
      </c>
      <c r="DD73" s="7"/>
      <c r="DE73" s="7"/>
      <c r="DF73" s="7"/>
      <c r="DG73" s="10">
        <v>1.487E-3</v>
      </c>
      <c r="DH73" s="7">
        <v>0.75</v>
      </c>
      <c r="DI73" s="7">
        <v>0.25</v>
      </c>
      <c r="DJ73" s="7">
        <v>0</v>
      </c>
      <c r="DK73" s="62">
        <v>0.90826669999999998</v>
      </c>
      <c r="DL73" s="10">
        <v>9.1733330000000002E-2</v>
      </c>
      <c r="DM73" s="7">
        <v>0</v>
      </c>
      <c r="DN73" s="10">
        <v>0.99594629999999995</v>
      </c>
      <c r="DO73" s="10">
        <v>3.617351E-3</v>
      </c>
      <c r="DP73" s="10">
        <v>4.3631460000000003E-4</v>
      </c>
      <c r="DQ73" s="64">
        <f>AVERAGE(DQ70:DQ72)</f>
        <v>0.96321689999999993</v>
      </c>
      <c r="DR73" s="7"/>
      <c r="DS73" s="7"/>
      <c r="DT73" s="7"/>
      <c r="DU73" s="10">
        <v>2.2800000000000001E-2</v>
      </c>
      <c r="DV73" s="7">
        <v>0</v>
      </c>
      <c r="DW73" s="7">
        <v>0.25</v>
      </c>
      <c r="DX73" s="7">
        <v>0.75</v>
      </c>
      <c r="DY73" s="7">
        <v>0</v>
      </c>
      <c r="DZ73" s="27">
        <v>9.0033329999999995E-2</v>
      </c>
      <c r="EA73" s="84">
        <v>0.90996670000000002</v>
      </c>
      <c r="EB73" s="10">
        <v>5.9932420000000002E-3</v>
      </c>
      <c r="EC73" s="10">
        <v>7.2149050000000006E-2</v>
      </c>
      <c r="ED73" s="84">
        <v>0.9218577</v>
      </c>
      <c r="EE73" s="14">
        <f>AVERAGE(EE70:EE72)</f>
        <v>0.96208779999999994</v>
      </c>
      <c r="EF73" s="7"/>
      <c r="EG73" s="7"/>
      <c r="EH73" s="7"/>
      <c r="EI73" s="37">
        <f>AVERAGE(EI70:EI72)</f>
        <v>0.97361109999999995</v>
      </c>
      <c r="EJ73" s="7"/>
      <c r="EK73" s="7"/>
      <c r="EL73" s="7"/>
      <c r="EM73" s="10">
        <v>0.23100000000000001</v>
      </c>
      <c r="EN73" s="7">
        <v>0.5</v>
      </c>
      <c r="EO73" s="7">
        <v>0.5</v>
      </c>
      <c r="EP73" s="7">
        <v>0</v>
      </c>
      <c r="EQ73" s="10">
        <v>0.41676669999999999</v>
      </c>
      <c r="ER73" s="10">
        <v>0.58323329999999995</v>
      </c>
      <c r="ES73" s="7">
        <v>0</v>
      </c>
      <c r="ET73" s="10">
        <v>0.56822130000000004</v>
      </c>
      <c r="EU73" s="10">
        <v>0.37649759999999999</v>
      </c>
      <c r="EV73" s="10">
        <v>5.5281120000000003E-2</v>
      </c>
      <c r="EW73" s="14">
        <f>AVERAGE(EW70:EW72)</f>
        <v>0.9488527000000001</v>
      </c>
      <c r="EX73" s="7"/>
      <c r="EY73" s="7"/>
      <c r="EZ73" s="7"/>
      <c r="FA73" s="10">
        <v>2.2450000000000001E-2</v>
      </c>
      <c r="FB73" s="7">
        <v>0</v>
      </c>
      <c r="FC73" s="7">
        <v>0.5</v>
      </c>
      <c r="FD73" s="7">
        <v>0.5</v>
      </c>
      <c r="FE73" s="10">
        <v>0</v>
      </c>
      <c r="FF73" s="10">
        <v>0.30706670000000003</v>
      </c>
      <c r="FG73" s="10">
        <v>0.69293329999999997</v>
      </c>
      <c r="FH73" s="10">
        <v>4.9495620000000002E-3</v>
      </c>
      <c r="FI73" s="10">
        <v>0.14469209999999999</v>
      </c>
      <c r="FJ73" s="10">
        <v>0.85035839999999996</v>
      </c>
    </row>
    <row r="74" spans="1:167" x14ac:dyDescent="0.2">
      <c r="C74" s="6">
        <v>1</v>
      </c>
      <c r="D74" t="s">
        <v>43</v>
      </c>
      <c r="E74" s="155"/>
      <c r="F74" s="155"/>
      <c r="G74" s="45">
        <v>0.97970000000000002</v>
      </c>
      <c r="H74" s="10">
        <v>0.98378489999999996</v>
      </c>
      <c r="I74" s="10">
        <v>0.99377979999999999</v>
      </c>
      <c r="J74" s="10">
        <v>0.98875710000000006</v>
      </c>
      <c r="K74" s="45">
        <v>0.96289999999999998</v>
      </c>
      <c r="L74" s="10">
        <v>0.96240000000000003</v>
      </c>
      <c r="M74" s="10">
        <v>0.99771929999999998</v>
      </c>
      <c r="N74" s="10">
        <v>0.97974139999999998</v>
      </c>
      <c r="O74" s="7" t="s">
        <v>24</v>
      </c>
      <c r="P74" s="10">
        <v>0</v>
      </c>
      <c r="Q74" s="10">
        <v>0.5</v>
      </c>
      <c r="R74" s="10">
        <v>0.5</v>
      </c>
      <c r="S74" s="10">
        <v>0</v>
      </c>
      <c r="T74" s="10">
        <v>0.45703329999999998</v>
      </c>
      <c r="U74" s="10">
        <v>0.54296670000000002</v>
      </c>
      <c r="V74" s="7" t="s">
        <v>24</v>
      </c>
      <c r="W74" s="7" t="s">
        <v>24</v>
      </c>
      <c r="X74" s="7" t="s">
        <v>24</v>
      </c>
      <c r="Y74" s="45">
        <v>0.9909</v>
      </c>
      <c r="Z74" s="10">
        <v>0.9909502</v>
      </c>
      <c r="AA74" s="10">
        <v>0.9989633</v>
      </c>
      <c r="AB74" s="10">
        <v>0.99494059999999995</v>
      </c>
      <c r="AC74" s="7" t="s">
        <v>24</v>
      </c>
      <c r="AD74" s="10">
        <v>0.5</v>
      </c>
      <c r="AE74" s="10">
        <v>0.5</v>
      </c>
      <c r="AF74" s="10">
        <v>0</v>
      </c>
      <c r="AG74" s="10">
        <v>0.54186670000000003</v>
      </c>
      <c r="AH74" s="10">
        <v>0.45813330000000002</v>
      </c>
      <c r="AI74" s="10">
        <v>0</v>
      </c>
      <c r="AJ74" s="7" t="s">
        <v>24</v>
      </c>
      <c r="AK74" s="7" t="s">
        <v>24</v>
      </c>
      <c r="AL74" s="7" t="s">
        <v>24</v>
      </c>
      <c r="AM74" s="45">
        <v>0.97689999999999999</v>
      </c>
      <c r="AN74" s="10">
        <v>0.97880579999999995</v>
      </c>
      <c r="AO74" s="10">
        <v>0.99585319999999999</v>
      </c>
      <c r="AP74" s="10">
        <v>0.98725589999999996</v>
      </c>
      <c r="AQ74" s="45">
        <v>0.89829999999999999</v>
      </c>
      <c r="AR74" s="10">
        <v>0.89830509999999997</v>
      </c>
      <c r="AS74" s="10">
        <v>1</v>
      </c>
      <c r="AT74" s="10">
        <v>0.94642859999999995</v>
      </c>
      <c r="AU74" s="7" t="s">
        <v>24</v>
      </c>
      <c r="AV74" s="10">
        <v>0</v>
      </c>
      <c r="AW74" s="10">
        <v>0.5</v>
      </c>
      <c r="AX74" s="10">
        <v>0.5</v>
      </c>
      <c r="AY74" s="10">
        <v>0</v>
      </c>
      <c r="AZ74" s="10">
        <v>0.16109999999999999</v>
      </c>
      <c r="BA74" s="10">
        <v>0.83889999999999998</v>
      </c>
      <c r="BB74" s="7" t="s">
        <v>24</v>
      </c>
      <c r="BC74" s="7" t="s">
        <v>24</v>
      </c>
      <c r="BD74" s="7" t="s">
        <v>24</v>
      </c>
      <c r="BE74" s="10">
        <v>0.8992</v>
      </c>
      <c r="BF74" s="10">
        <v>0.89914243100000002</v>
      </c>
      <c r="BG74" s="10">
        <v>1</v>
      </c>
      <c r="BH74" s="10">
        <v>0.94689309899999996</v>
      </c>
      <c r="BI74" s="7" t="s">
        <v>24</v>
      </c>
      <c r="BJ74" s="10">
        <v>0</v>
      </c>
      <c r="BK74" s="7">
        <v>0.5</v>
      </c>
      <c r="BL74" s="10">
        <v>0.5</v>
      </c>
      <c r="BM74" s="7">
        <v>0</v>
      </c>
      <c r="BN74" s="10">
        <v>0.15740000000000001</v>
      </c>
      <c r="BO74" s="10">
        <v>0.84260000000000002</v>
      </c>
      <c r="BP74" s="7" t="s">
        <v>24</v>
      </c>
      <c r="BQ74" s="7" t="s">
        <v>24</v>
      </c>
      <c r="BR74" s="7" t="s">
        <v>24</v>
      </c>
      <c r="BS74" s="10">
        <v>0.97989999999999999</v>
      </c>
      <c r="BT74" s="10">
        <v>0.98458380000000001</v>
      </c>
      <c r="BU74" s="10">
        <v>0.99315779999999998</v>
      </c>
      <c r="BV74" s="10">
        <v>0.98885219999999996</v>
      </c>
      <c r="BW74" s="10">
        <v>0.89829999999999999</v>
      </c>
      <c r="BX74" s="10">
        <v>0.89830509999999997</v>
      </c>
      <c r="BY74" s="10">
        <v>1</v>
      </c>
      <c r="BZ74" s="10">
        <v>0.94642859999999995</v>
      </c>
      <c r="CA74" s="7" t="s">
        <v>24</v>
      </c>
      <c r="CB74" s="10">
        <v>0</v>
      </c>
      <c r="CC74" s="10">
        <v>0.5</v>
      </c>
      <c r="CD74" s="10">
        <v>0.5</v>
      </c>
      <c r="CE74" s="10">
        <v>0</v>
      </c>
      <c r="CF74" s="10">
        <v>0.15906670000000001</v>
      </c>
      <c r="CG74" s="10">
        <v>0.84093329999999999</v>
      </c>
      <c r="CH74" s="7" t="s">
        <v>24</v>
      </c>
      <c r="CI74" s="7" t="s">
        <v>24</v>
      </c>
      <c r="CJ74" s="7" t="s">
        <v>24</v>
      </c>
      <c r="CK74" s="56">
        <v>0.98080000000000001</v>
      </c>
      <c r="CL74" s="10">
        <v>0.98479870000000003</v>
      </c>
      <c r="CM74" s="10">
        <v>0.99398710000000001</v>
      </c>
      <c r="CN74" s="10">
        <v>0.98937160000000002</v>
      </c>
      <c r="CO74" s="7" t="s">
        <v>24</v>
      </c>
      <c r="CP74" s="10">
        <v>0</v>
      </c>
      <c r="CQ74" s="50">
        <v>1</v>
      </c>
      <c r="CR74" s="10">
        <v>0</v>
      </c>
      <c r="CS74" s="10">
        <v>0</v>
      </c>
      <c r="CT74" s="50">
        <v>1</v>
      </c>
      <c r="CU74" s="10">
        <v>0</v>
      </c>
      <c r="CV74" s="7" t="s">
        <v>24</v>
      </c>
      <c r="CW74" s="7" t="s">
        <v>24</v>
      </c>
      <c r="CX74" s="7" t="s">
        <v>24</v>
      </c>
      <c r="CY74" s="45">
        <v>0.9778</v>
      </c>
      <c r="CZ74" s="10">
        <v>0.98157249999999996</v>
      </c>
      <c r="DA74" s="10">
        <v>0.99398710000000001</v>
      </c>
      <c r="DB74" s="10">
        <v>0.98774079999999997</v>
      </c>
      <c r="DC74" s="45">
        <v>0.89849999999999997</v>
      </c>
      <c r="DD74" s="10">
        <v>0.898918314</v>
      </c>
      <c r="DE74" s="10">
        <v>0.99937798099999997</v>
      </c>
      <c r="DF74" s="10">
        <v>0.94648993599999998</v>
      </c>
      <c r="DG74" s="7" t="s">
        <v>24</v>
      </c>
      <c r="DH74" s="10">
        <v>0</v>
      </c>
      <c r="DI74" s="10">
        <v>0.5</v>
      </c>
      <c r="DJ74" s="10">
        <v>0.5</v>
      </c>
      <c r="DK74" s="10">
        <v>0</v>
      </c>
      <c r="DL74" s="10">
        <v>0.15620000000000001</v>
      </c>
      <c r="DM74" s="10">
        <v>0.84379999999999999</v>
      </c>
      <c r="DN74" s="7" t="s">
        <v>24</v>
      </c>
      <c r="DO74" s="7" t="s">
        <v>24</v>
      </c>
      <c r="DP74" s="7" t="s">
        <v>24</v>
      </c>
      <c r="DQ74" s="56">
        <v>0.97860000000000003</v>
      </c>
      <c r="DR74" s="10">
        <v>0.98237699999999994</v>
      </c>
      <c r="DS74" s="10">
        <v>0.99398710000000001</v>
      </c>
      <c r="DT74" s="10">
        <v>0.98814800000000003</v>
      </c>
      <c r="DU74" s="7" t="s">
        <v>24</v>
      </c>
      <c r="DV74" s="10">
        <v>0</v>
      </c>
      <c r="DW74" s="50">
        <v>1</v>
      </c>
      <c r="DX74" s="10">
        <v>0</v>
      </c>
      <c r="DY74" s="10">
        <v>0</v>
      </c>
      <c r="DZ74" s="50">
        <v>1</v>
      </c>
      <c r="EA74" s="10">
        <v>0</v>
      </c>
      <c r="EB74" s="7" t="s">
        <v>24</v>
      </c>
      <c r="EC74" s="7" t="s">
        <v>24</v>
      </c>
      <c r="ED74" s="7" t="s">
        <v>24</v>
      </c>
      <c r="EE74" s="45">
        <v>0.96179999999999999</v>
      </c>
      <c r="EF74" s="10">
        <v>0.98447340000000005</v>
      </c>
      <c r="EG74" s="10">
        <v>0.97283850000000005</v>
      </c>
      <c r="EH74" s="10">
        <v>0.97862130000000003</v>
      </c>
      <c r="EI74" s="45">
        <v>0.89419999999999999</v>
      </c>
      <c r="EJ74" s="7" t="s">
        <v>24</v>
      </c>
      <c r="EK74" s="7" t="s">
        <v>24</v>
      </c>
      <c r="EL74" s="7" t="s">
        <v>24</v>
      </c>
      <c r="EM74" s="7" t="s">
        <v>24</v>
      </c>
      <c r="EN74" s="7">
        <v>0</v>
      </c>
      <c r="EO74" s="7">
        <v>0.5</v>
      </c>
      <c r="EP74" s="7">
        <v>0.5</v>
      </c>
      <c r="EQ74" s="7">
        <v>0</v>
      </c>
      <c r="ER74" s="10">
        <v>0.1586333</v>
      </c>
      <c r="ES74" s="10">
        <v>0.84136670000000002</v>
      </c>
      <c r="ET74" s="7" t="s">
        <v>24</v>
      </c>
      <c r="EU74" s="7" t="s">
        <v>24</v>
      </c>
      <c r="EV74" s="7" t="s">
        <v>24</v>
      </c>
      <c r="EW74" s="56">
        <v>0.96950000000000003</v>
      </c>
      <c r="EX74" s="7" t="s">
        <v>24</v>
      </c>
      <c r="EY74" s="7" t="s">
        <v>24</v>
      </c>
      <c r="EZ74" s="7" t="s">
        <v>24</v>
      </c>
      <c r="FA74" s="7" t="s">
        <v>69</v>
      </c>
      <c r="FB74" s="7">
        <v>0</v>
      </c>
      <c r="FC74" s="32">
        <v>1</v>
      </c>
      <c r="FD74" s="7">
        <v>0</v>
      </c>
      <c r="FE74" s="7">
        <v>0</v>
      </c>
      <c r="FF74" s="31">
        <v>1</v>
      </c>
      <c r="FG74" s="7">
        <v>0</v>
      </c>
      <c r="FH74" s="7" t="s">
        <v>24</v>
      </c>
      <c r="FI74" s="7" t="s">
        <v>24</v>
      </c>
      <c r="FJ74" s="7" t="s">
        <v>24</v>
      </c>
    </row>
    <row r="75" spans="1:167" x14ac:dyDescent="0.2">
      <c r="C75" s="6"/>
      <c r="E75" s="155"/>
      <c r="F75" s="155"/>
      <c r="G75" s="14"/>
      <c r="H75" s="7"/>
      <c r="I75" s="7"/>
      <c r="J75" s="7"/>
      <c r="K75" s="14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14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14"/>
      <c r="AN75" s="7"/>
      <c r="AO75" s="7"/>
      <c r="AP75" s="7"/>
      <c r="AQ75" s="14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14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14"/>
      <c r="BT75" s="7"/>
      <c r="BU75" s="7"/>
      <c r="BV75" s="7"/>
      <c r="BW75" s="14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14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14"/>
      <c r="CZ75" s="7"/>
      <c r="DA75" s="7"/>
      <c r="DB75" s="7"/>
      <c r="DC75" s="14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14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14"/>
      <c r="EF75" s="7"/>
      <c r="EG75" s="7"/>
      <c r="EH75" s="7"/>
      <c r="EI75" s="14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14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</row>
    <row r="76" spans="1:167" x14ac:dyDescent="0.2">
      <c r="C76" s="6">
        <v>2</v>
      </c>
      <c r="D76" t="s">
        <v>40</v>
      </c>
      <c r="E76" s="155"/>
      <c r="F76" s="155"/>
      <c r="G76" s="45">
        <v>0.97917169999999998</v>
      </c>
      <c r="H76" s="7"/>
      <c r="I76" s="7"/>
      <c r="J76" s="7"/>
      <c r="K76" s="45">
        <v>0.98553139999999995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45">
        <v>0.97949620000000004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45">
        <v>0.97701150000000003</v>
      </c>
      <c r="AN76" s="7"/>
      <c r="AO76" s="7"/>
      <c r="AP76" s="7"/>
      <c r="AQ76" s="45">
        <v>0.98460400000000003</v>
      </c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10">
        <v>0.97889800000000005</v>
      </c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10">
        <v>0.98132180000000002</v>
      </c>
      <c r="BT76" s="7"/>
      <c r="BU76" s="7"/>
      <c r="BV76" s="7"/>
      <c r="BW76" s="10">
        <v>0.98478949999999998</v>
      </c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45">
        <v>0.98506669999999996</v>
      </c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45">
        <v>0.98108240000000002</v>
      </c>
      <c r="CZ76" s="7"/>
      <c r="DA76" s="7"/>
      <c r="DB76" s="7"/>
      <c r="DC76" s="45">
        <v>0.98460400000000003</v>
      </c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45">
        <v>0.98065650000000004</v>
      </c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45">
        <v>0.96432850000000003</v>
      </c>
      <c r="EF76" s="7"/>
      <c r="EG76" s="7"/>
      <c r="EH76" s="7"/>
      <c r="EI76" s="45">
        <v>0.95306990000000003</v>
      </c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45">
        <v>0.95178039999999997</v>
      </c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</row>
    <row r="77" spans="1:167" x14ac:dyDescent="0.2">
      <c r="C77" s="6">
        <v>2</v>
      </c>
      <c r="D77" t="s">
        <v>41</v>
      </c>
      <c r="E77" s="155"/>
      <c r="F77" s="155"/>
      <c r="G77" s="45">
        <v>0.97749039999999998</v>
      </c>
      <c r="H77" s="7"/>
      <c r="I77" s="7"/>
      <c r="J77" s="7"/>
      <c r="K77" s="45">
        <v>0.98497769999999996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45">
        <v>0.98007029999999995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45">
        <v>0.98156129999999997</v>
      </c>
      <c r="AN77" s="7"/>
      <c r="AO77" s="7"/>
      <c r="AP77" s="7"/>
      <c r="AQ77" s="45">
        <v>0.9853459</v>
      </c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10">
        <v>0.97833720000000002</v>
      </c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10">
        <v>0.98084289999999996</v>
      </c>
      <c r="BT77" s="7"/>
      <c r="BU77" s="7"/>
      <c r="BV77" s="7"/>
      <c r="BW77" s="10">
        <v>0.98478949999999998</v>
      </c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45">
        <v>0.98506669999999996</v>
      </c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45">
        <v>0.97845340000000003</v>
      </c>
      <c r="CZ77" s="7"/>
      <c r="DA77" s="7"/>
      <c r="DB77" s="7"/>
      <c r="DC77" s="45">
        <v>0.98497500000000004</v>
      </c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45">
        <v>0.97950820000000005</v>
      </c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45">
        <v>0.95977009999999996</v>
      </c>
      <c r="EF77" s="7"/>
      <c r="EG77" s="7"/>
      <c r="EH77" s="7"/>
      <c r="EI77" s="45">
        <v>0.95436840000000001</v>
      </c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45">
        <v>0.95492489999999997</v>
      </c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</row>
    <row r="78" spans="1:167" x14ac:dyDescent="0.2">
      <c r="C78" s="6">
        <v>2</v>
      </c>
      <c r="D78" t="s">
        <v>42</v>
      </c>
      <c r="E78" s="155"/>
      <c r="F78" s="155"/>
      <c r="G78" s="45">
        <v>0.98395589999999999</v>
      </c>
      <c r="H78" s="7"/>
      <c r="I78" s="7"/>
      <c r="J78" s="7"/>
      <c r="K78" s="45">
        <v>0.98497500000000004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45">
        <v>0.97775179999999995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45">
        <v>0.98012929999999998</v>
      </c>
      <c r="AN78" s="7"/>
      <c r="AO78" s="7"/>
      <c r="AP78" s="7"/>
      <c r="AQ78" s="45">
        <v>0.98516320000000002</v>
      </c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10">
        <v>0.97773869999999996</v>
      </c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10">
        <v>0.97965049999999998</v>
      </c>
      <c r="BT78" s="7"/>
      <c r="BU78" s="7"/>
      <c r="BV78" s="7"/>
      <c r="BW78" s="10">
        <v>0.98571690000000001</v>
      </c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45">
        <v>0.98505869999999995</v>
      </c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45">
        <v>0.97964560000000001</v>
      </c>
      <c r="CZ78" s="7"/>
      <c r="DA78" s="7"/>
      <c r="DB78" s="7"/>
      <c r="DC78" s="45">
        <v>0.98386499999999999</v>
      </c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45">
        <v>0.97832450000000004</v>
      </c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45">
        <v>0.96216480000000004</v>
      </c>
      <c r="EF78" s="7"/>
      <c r="EG78" s="7"/>
      <c r="EH78" s="7"/>
      <c r="EI78" s="45">
        <v>0.95474780000000004</v>
      </c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45">
        <v>0.95882029999999996</v>
      </c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</row>
    <row r="79" spans="1:167" x14ac:dyDescent="0.2">
      <c r="C79" s="6">
        <v>2</v>
      </c>
      <c r="D79" t="s">
        <v>49</v>
      </c>
      <c r="E79" s="155"/>
      <c r="F79" s="155"/>
      <c r="G79" s="14">
        <f>AVERAGE(G76:G78)</f>
        <v>0.98020599999999991</v>
      </c>
      <c r="H79" s="7"/>
      <c r="I79" s="7"/>
      <c r="J79" s="7"/>
      <c r="K79" s="66">
        <f>AVERAGE(K76:K78)</f>
        <v>0.98516136666666665</v>
      </c>
      <c r="L79" s="7"/>
      <c r="M79" s="7"/>
      <c r="N79" s="7"/>
      <c r="O79" s="10">
        <v>0.1062</v>
      </c>
      <c r="P79" s="7">
        <v>0</v>
      </c>
      <c r="Q79" s="32">
        <v>1</v>
      </c>
      <c r="R79" s="7">
        <v>0</v>
      </c>
      <c r="S79" s="7">
        <v>0</v>
      </c>
      <c r="T79" s="32">
        <v>1</v>
      </c>
      <c r="U79" s="7">
        <v>0</v>
      </c>
      <c r="V79" s="10">
        <v>6.5441269999999996E-2</v>
      </c>
      <c r="W79" s="85">
        <v>0.92559349999999996</v>
      </c>
      <c r="X79" s="10">
        <v>8.9651969999999994E-3</v>
      </c>
      <c r="Y79" s="66">
        <f>AVERAGE(Y76:Y78)</f>
        <v>0.97910609999999998</v>
      </c>
      <c r="Z79" s="7"/>
      <c r="AA79" s="7"/>
      <c r="AB79" s="7"/>
      <c r="AC79" s="10">
        <v>0.71679999999999999</v>
      </c>
      <c r="AD79" s="7">
        <v>0</v>
      </c>
      <c r="AE79" s="32">
        <v>1</v>
      </c>
      <c r="AF79" s="7">
        <v>0</v>
      </c>
      <c r="AG79" s="7">
        <v>0</v>
      </c>
      <c r="AH79" s="32">
        <v>1</v>
      </c>
      <c r="AI79" s="10">
        <v>0</v>
      </c>
      <c r="AJ79" s="10">
        <v>3.3777639999999998E-2</v>
      </c>
      <c r="AK79" s="85">
        <v>0.91640889999999997</v>
      </c>
      <c r="AL79" s="10">
        <v>4.9813419999999997E-2</v>
      </c>
      <c r="AM79" s="14">
        <f>AVERAGE(AM76:AM78)</f>
        <v>0.97956736666666666</v>
      </c>
      <c r="AN79" s="7"/>
      <c r="AO79" s="7"/>
      <c r="AP79" s="7"/>
      <c r="AQ79" s="36">
        <f>AVERAGE(AQ76:AQ78)</f>
        <v>0.98503770000000002</v>
      </c>
      <c r="AR79" s="7"/>
      <c r="AS79" s="7"/>
      <c r="AT79" s="7"/>
      <c r="AU79" s="10">
        <v>4.2070000000000003E-2</v>
      </c>
      <c r="AV79" s="7">
        <v>0</v>
      </c>
      <c r="AW79" s="7">
        <v>1</v>
      </c>
      <c r="AX79" s="7">
        <v>0</v>
      </c>
      <c r="AY79" s="10">
        <v>0</v>
      </c>
      <c r="AZ79" s="50">
        <v>1</v>
      </c>
      <c r="BA79" s="7">
        <v>0</v>
      </c>
      <c r="BB79" s="10">
        <v>3.8649360000000001E-2</v>
      </c>
      <c r="BC79" s="50">
        <v>0.95765069999999997</v>
      </c>
      <c r="BD79" s="10">
        <v>3.699899E-3</v>
      </c>
      <c r="BE79" s="66">
        <f>AVERAGE(BE76:BE78)</f>
        <v>0.97832463333333342</v>
      </c>
      <c r="BF79" s="7"/>
      <c r="BG79" s="7"/>
      <c r="BH79" s="7"/>
      <c r="BI79" s="10">
        <v>0.48120000000000002</v>
      </c>
      <c r="BJ79" s="7">
        <v>0</v>
      </c>
      <c r="BK79" s="32">
        <v>1</v>
      </c>
      <c r="BL79" s="7">
        <v>0</v>
      </c>
      <c r="BM79" s="7">
        <v>0</v>
      </c>
      <c r="BN79" s="32">
        <v>1</v>
      </c>
      <c r="BO79" s="7">
        <v>0</v>
      </c>
      <c r="BP79" s="10">
        <v>2.1253540000000001E-2</v>
      </c>
      <c r="BQ79" s="10">
        <v>0.93625429999999998</v>
      </c>
      <c r="BR79" s="10">
        <v>4.2492160000000001E-2</v>
      </c>
      <c r="BS79" s="14">
        <f>AVERAGE(BS76:BS78)</f>
        <v>0.98060506666666658</v>
      </c>
      <c r="BT79" s="7"/>
      <c r="BU79" s="7"/>
      <c r="BV79" s="7"/>
      <c r="BW79" s="36">
        <f>AVERAGE(BW76:BW78)</f>
        <v>0.98509863333333325</v>
      </c>
      <c r="BX79" s="7"/>
      <c r="BY79" s="7"/>
      <c r="BZ79" s="7"/>
      <c r="CA79" s="10">
        <v>2.4299999999999999E-2</v>
      </c>
      <c r="CB79" s="7">
        <v>0</v>
      </c>
      <c r="CC79" s="32">
        <v>1</v>
      </c>
      <c r="CD79" s="7">
        <v>0</v>
      </c>
      <c r="CE79" s="7">
        <v>0</v>
      </c>
      <c r="CF79" s="32">
        <v>1</v>
      </c>
      <c r="CG79" s="7">
        <v>0</v>
      </c>
      <c r="CH79" s="10">
        <v>1.664214E-2</v>
      </c>
      <c r="CI79" s="10">
        <v>0.98147510000000004</v>
      </c>
      <c r="CJ79" s="10">
        <v>1.8827799999999999E-3</v>
      </c>
      <c r="CK79" s="66">
        <f>AVERAGE(CK76:CK78)</f>
        <v>0.98506403333333326</v>
      </c>
      <c r="CL79" s="7"/>
      <c r="CM79" s="7"/>
      <c r="CN79" s="7"/>
      <c r="CO79" s="10">
        <v>1.2070000000000001E-2</v>
      </c>
      <c r="CP79" s="10">
        <v>0</v>
      </c>
      <c r="CQ79" s="50">
        <v>1</v>
      </c>
      <c r="CR79" s="10">
        <v>0</v>
      </c>
      <c r="CS79" s="10">
        <v>0</v>
      </c>
      <c r="CT79" s="50">
        <v>1</v>
      </c>
      <c r="CU79" s="10">
        <v>0</v>
      </c>
      <c r="CV79" s="10">
        <v>5.2237550000000001E-3</v>
      </c>
      <c r="CW79" s="10">
        <v>0.99399870000000001</v>
      </c>
      <c r="CX79" s="10">
        <v>7.7755260000000003E-4</v>
      </c>
      <c r="CY79" s="14">
        <f>AVERAGE(CY76:CY78)</f>
        <v>0.97972713333333328</v>
      </c>
      <c r="CZ79" s="7"/>
      <c r="DA79" s="7"/>
      <c r="DB79" s="7"/>
      <c r="DC79" s="66">
        <f>AVERAGE(DC76:DC78)</f>
        <v>0.98448133333333343</v>
      </c>
      <c r="DD79" s="7"/>
      <c r="DE79" s="7"/>
      <c r="DF79" s="7"/>
      <c r="DG79" s="10">
        <v>3.4479999999999997E-2</v>
      </c>
      <c r="DH79" s="7">
        <v>0</v>
      </c>
      <c r="DI79" s="32">
        <v>1</v>
      </c>
      <c r="DJ79" s="7">
        <v>0</v>
      </c>
      <c r="DK79" s="7">
        <v>0</v>
      </c>
      <c r="DL79" s="32">
        <v>1</v>
      </c>
      <c r="DM79" s="7">
        <v>0</v>
      </c>
      <c r="DN79" s="10">
        <v>1.8786230000000001E-2</v>
      </c>
      <c r="DO79" s="10">
        <v>0.9787169</v>
      </c>
      <c r="DP79" s="10">
        <v>2.4969139999999998E-3</v>
      </c>
      <c r="DQ79" s="66">
        <f>AVERAGE(DQ76:DQ78)</f>
        <v>0.97949640000000004</v>
      </c>
      <c r="DR79" s="7"/>
      <c r="DS79" s="7"/>
      <c r="DT79" s="7"/>
      <c r="DU79" s="10">
        <v>0.77080000000000004</v>
      </c>
      <c r="DV79" s="10">
        <v>0</v>
      </c>
      <c r="DW79" s="50">
        <v>1</v>
      </c>
      <c r="DX79" s="10">
        <v>0</v>
      </c>
      <c r="DY79" s="10">
        <v>0</v>
      </c>
      <c r="DZ79" s="50">
        <v>1</v>
      </c>
      <c r="EA79" s="10">
        <v>0</v>
      </c>
      <c r="EB79" s="10">
        <v>3.0288720000000002E-3</v>
      </c>
      <c r="EC79" s="10">
        <v>0.99365230000000004</v>
      </c>
      <c r="ED79" s="10">
        <v>3.3188480000000001E-3</v>
      </c>
      <c r="EE79" s="14">
        <f>AVERAGE(EE76:EE78)</f>
        <v>0.96208779999999994</v>
      </c>
      <c r="EF79" s="7"/>
      <c r="EG79" s="7"/>
      <c r="EH79" s="7"/>
      <c r="EI79" s="66">
        <f>AVERAGE(EI76:EI78)</f>
        <v>0.95406203333333328</v>
      </c>
      <c r="EJ79" s="7"/>
      <c r="EK79" s="7"/>
      <c r="EL79" s="7"/>
      <c r="EM79" s="10">
        <v>4.2889999999999998E-2</v>
      </c>
      <c r="EN79" s="7">
        <v>0</v>
      </c>
      <c r="EO79" s="32">
        <v>0.75</v>
      </c>
      <c r="EP79" s="7">
        <v>0</v>
      </c>
      <c r="EQ79" s="7">
        <v>0</v>
      </c>
      <c r="ER79" s="50">
        <v>0.95479999999999998</v>
      </c>
      <c r="ES79" s="10">
        <v>4.5199999999999997E-2</v>
      </c>
      <c r="ET79" s="10">
        <v>5.9472149999999996E-3</v>
      </c>
      <c r="EU79" s="10">
        <v>0.78181369999999994</v>
      </c>
      <c r="EV79" s="10">
        <v>0.21223910000000001</v>
      </c>
      <c r="EW79" s="56">
        <v>0.9385</v>
      </c>
      <c r="EX79" s="7"/>
      <c r="EY79" s="7"/>
      <c r="EZ79" s="7"/>
      <c r="FA79" s="10">
        <v>0.13619999999999999</v>
      </c>
      <c r="FB79" s="7">
        <v>0</v>
      </c>
      <c r="FC79" s="33">
        <v>0.75</v>
      </c>
      <c r="FD79" s="7">
        <v>0.25</v>
      </c>
      <c r="FE79" s="7">
        <v>0</v>
      </c>
      <c r="FF79" s="50">
        <v>0.95266669999999998</v>
      </c>
      <c r="FG79" s="10">
        <v>4.733333E-2</v>
      </c>
      <c r="FH79" s="10">
        <v>1.7929629999999998E-2</v>
      </c>
      <c r="FI79" s="10">
        <v>0.75841619999999998</v>
      </c>
      <c r="FJ79" s="10">
        <v>0.2236542</v>
      </c>
    </row>
    <row r="80" spans="1:167" s="11" customFormat="1" x14ac:dyDescent="0.2">
      <c r="A80"/>
      <c r="B80"/>
      <c r="C80" s="6">
        <v>2</v>
      </c>
      <c r="D80" t="s">
        <v>43</v>
      </c>
      <c r="E80" s="155"/>
      <c r="F80" s="155"/>
      <c r="G80" s="45">
        <v>0.97970000000000002</v>
      </c>
      <c r="H80" s="10">
        <v>0.98378489999999996</v>
      </c>
      <c r="I80" s="10">
        <v>0.99377979999999999</v>
      </c>
      <c r="J80" s="10">
        <v>0.98875710000000006</v>
      </c>
      <c r="K80" s="45">
        <v>0.91839999999999999</v>
      </c>
      <c r="L80" s="10">
        <v>0.9167459</v>
      </c>
      <c r="M80" s="10">
        <v>1</v>
      </c>
      <c r="N80" s="10">
        <v>0.95656490000000005</v>
      </c>
      <c r="O80" s="7" t="s">
        <v>24</v>
      </c>
      <c r="P80" s="10">
        <v>0</v>
      </c>
      <c r="Q80" s="10">
        <v>0.5</v>
      </c>
      <c r="R80" s="10">
        <v>0.5</v>
      </c>
      <c r="S80" s="10">
        <v>0</v>
      </c>
      <c r="T80" s="10">
        <v>0.15896669999999999</v>
      </c>
      <c r="U80" s="10">
        <v>0.84103329999999998</v>
      </c>
      <c r="V80" s="7" t="s">
        <v>24</v>
      </c>
      <c r="W80" s="7" t="s">
        <v>24</v>
      </c>
      <c r="X80" s="7" t="s">
        <v>24</v>
      </c>
      <c r="Y80" s="45">
        <v>0.93479999999999996</v>
      </c>
      <c r="Z80" s="10">
        <v>0.93622000000000005</v>
      </c>
      <c r="AA80" s="10">
        <v>0.99523119999999998</v>
      </c>
      <c r="AB80" s="10">
        <v>0.99523119999999998</v>
      </c>
      <c r="AC80" s="7" t="s">
        <v>24</v>
      </c>
      <c r="AD80" s="10">
        <v>0</v>
      </c>
      <c r="AE80" s="10">
        <v>0.5</v>
      </c>
      <c r="AF80" s="10">
        <v>0.5</v>
      </c>
      <c r="AG80" s="53">
        <v>0</v>
      </c>
      <c r="AH80" s="10">
        <v>0.15723329999999999</v>
      </c>
      <c r="AI80" s="10">
        <v>0.84276669999999998</v>
      </c>
      <c r="AJ80" s="7" t="s">
        <v>24</v>
      </c>
      <c r="AK80" s="7" t="s">
        <v>24</v>
      </c>
      <c r="AL80" s="7" t="s">
        <v>24</v>
      </c>
      <c r="AM80" s="45">
        <v>0.97689999999999999</v>
      </c>
      <c r="AN80" s="10">
        <v>0.97880579999999995</v>
      </c>
      <c r="AO80" s="10">
        <v>0.99585319999999999</v>
      </c>
      <c r="AP80" s="10">
        <v>0.98725589999999996</v>
      </c>
      <c r="AQ80" s="45">
        <v>0.90449999999999997</v>
      </c>
      <c r="AR80" s="10">
        <v>0.90401200000000004</v>
      </c>
      <c r="AS80" s="10">
        <v>0.99979266</v>
      </c>
      <c r="AT80" s="10">
        <v>0.94949296000000005</v>
      </c>
      <c r="AU80" s="7" t="s">
        <v>24</v>
      </c>
      <c r="AV80" s="10">
        <v>0</v>
      </c>
      <c r="AW80" s="10">
        <v>0.5</v>
      </c>
      <c r="AX80" s="10">
        <v>0.5</v>
      </c>
      <c r="AY80" s="10">
        <v>0</v>
      </c>
      <c r="AZ80" s="10">
        <v>0.15846669999999999</v>
      </c>
      <c r="BA80" s="10">
        <v>0.84153330000000004</v>
      </c>
      <c r="BB80" s="7" t="s">
        <v>24</v>
      </c>
      <c r="BC80" s="7" t="s">
        <v>24</v>
      </c>
      <c r="BD80" s="7" t="s">
        <v>24</v>
      </c>
      <c r="BE80" s="10">
        <v>0.9022</v>
      </c>
      <c r="BF80" s="10">
        <v>0.90198279000000003</v>
      </c>
      <c r="BG80" s="10">
        <v>0.99979266</v>
      </c>
      <c r="BH80" s="10">
        <v>0.94837249999999995</v>
      </c>
      <c r="BI80" s="7" t="s">
        <v>24</v>
      </c>
      <c r="BJ80" s="10">
        <v>0</v>
      </c>
      <c r="BK80" s="7">
        <v>0.5</v>
      </c>
      <c r="BL80" s="10">
        <v>0.5</v>
      </c>
      <c r="BM80" s="7">
        <v>0</v>
      </c>
      <c r="BN80" s="10">
        <v>0.1624333</v>
      </c>
      <c r="BO80" s="10">
        <v>0.8375667</v>
      </c>
      <c r="BP80" s="7" t="s">
        <v>24</v>
      </c>
      <c r="BQ80" s="7" t="s">
        <v>24</v>
      </c>
      <c r="BR80" s="7" t="s">
        <v>24</v>
      </c>
      <c r="BS80" s="10">
        <v>0.97989999999999999</v>
      </c>
      <c r="BT80" s="10">
        <v>0.98458380000000001</v>
      </c>
      <c r="BU80" s="10">
        <v>0.99315779999999998</v>
      </c>
      <c r="BV80" s="10">
        <v>0.98885219999999996</v>
      </c>
      <c r="BW80" s="10">
        <v>0.95230000000000004</v>
      </c>
      <c r="BX80" s="10">
        <v>0.95190980000000003</v>
      </c>
      <c r="BY80" s="10">
        <v>0.99730459999999999</v>
      </c>
      <c r="BZ80" s="10">
        <v>0.97407860000000002</v>
      </c>
      <c r="CA80" s="7" t="s">
        <v>24</v>
      </c>
      <c r="CB80" s="10">
        <v>0</v>
      </c>
      <c r="CC80" s="10">
        <v>0.5</v>
      </c>
      <c r="CD80" s="10">
        <v>0.5</v>
      </c>
      <c r="CE80" s="10">
        <v>0</v>
      </c>
      <c r="CF80" s="10">
        <v>0.1570667</v>
      </c>
      <c r="CG80" s="10">
        <v>0.8429333</v>
      </c>
      <c r="CH80" s="14"/>
      <c r="CI80" s="14"/>
      <c r="CJ80" s="14"/>
      <c r="CK80" s="81">
        <v>0.93089999999999995</v>
      </c>
      <c r="CL80" s="10">
        <v>0.92989569999999999</v>
      </c>
      <c r="CM80" s="10">
        <v>0.99834129999999999</v>
      </c>
      <c r="CN80" s="10">
        <v>0.96290370000000003</v>
      </c>
      <c r="CO80" s="7" t="s">
        <v>24</v>
      </c>
      <c r="CP80" s="10">
        <v>0</v>
      </c>
      <c r="CQ80" s="79">
        <v>0.5</v>
      </c>
      <c r="CR80" s="10">
        <v>0.5</v>
      </c>
      <c r="CS80" s="10">
        <v>0</v>
      </c>
      <c r="CT80" s="10">
        <v>0.1604333</v>
      </c>
      <c r="CU80" s="10">
        <v>0.8395667</v>
      </c>
      <c r="CV80" s="7" t="s">
        <v>24</v>
      </c>
      <c r="CW80" s="7" t="s">
        <v>24</v>
      </c>
      <c r="CX80" s="7" t="s">
        <v>24</v>
      </c>
      <c r="CY80" s="45">
        <v>0.9778</v>
      </c>
      <c r="CZ80" s="10">
        <v>0.98157249999999996</v>
      </c>
      <c r="DA80" s="10">
        <v>0.99398710000000001</v>
      </c>
      <c r="DB80" s="10">
        <v>0.98774079999999997</v>
      </c>
      <c r="DC80" s="45">
        <v>0.94450000000000001</v>
      </c>
      <c r="DD80" s="10">
        <v>0.9435405</v>
      </c>
      <c r="DE80" s="10">
        <v>0.9979266</v>
      </c>
      <c r="DF80" s="10">
        <v>0.96997180000000005</v>
      </c>
      <c r="DG80" s="7" t="s">
        <v>24</v>
      </c>
      <c r="DH80" s="10">
        <v>0</v>
      </c>
      <c r="DI80" s="10">
        <v>0.5</v>
      </c>
      <c r="DJ80" s="10">
        <v>0.5</v>
      </c>
      <c r="DK80" s="10">
        <v>0</v>
      </c>
      <c r="DL80" s="10">
        <v>0.1585</v>
      </c>
      <c r="DM80" s="10">
        <v>0.84150000000000003</v>
      </c>
      <c r="DN80" s="7" t="s">
        <v>24</v>
      </c>
      <c r="DO80" s="7" t="s">
        <v>24</v>
      </c>
      <c r="DP80" s="7" t="s">
        <v>24</v>
      </c>
      <c r="DQ80" s="56">
        <v>0.9788</v>
      </c>
      <c r="DR80" s="10">
        <v>0.98576439999999999</v>
      </c>
      <c r="DS80" s="10">
        <v>0.99066969999999999</v>
      </c>
      <c r="DT80" s="10">
        <v>0.98821099999999995</v>
      </c>
      <c r="DU80" s="7" t="s">
        <v>24</v>
      </c>
      <c r="DV80" s="10">
        <v>0</v>
      </c>
      <c r="DW80" s="50">
        <v>1</v>
      </c>
      <c r="DX80" s="10">
        <v>0</v>
      </c>
      <c r="DY80" s="10">
        <v>0</v>
      </c>
      <c r="DZ80" s="50">
        <v>1</v>
      </c>
      <c r="EA80" s="10">
        <v>0</v>
      </c>
      <c r="EB80" s="7" t="s">
        <v>24</v>
      </c>
      <c r="EC80" s="7" t="s">
        <v>24</v>
      </c>
      <c r="ED80" s="7" t="s">
        <v>24</v>
      </c>
      <c r="EE80" s="45">
        <v>0.96179999999999999</v>
      </c>
      <c r="EF80" s="10">
        <v>0.98447340000000005</v>
      </c>
      <c r="EG80" s="10">
        <v>0.97283850000000005</v>
      </c>
      <c r="EH80" s="10">
        <v>0.97862130000000003</v>
      </c>
      <c r="EI80" s="45">
        <v>0.9385</v>
      </c>
      <c r="EJ80" s="10">
        <v>0.96870440000000002</v>
      </c>
      <c r="EK80" s="10">
        <v>0.96267879999999995</v>
      </c>
      <c r="EL80" s="10">
        <v>0.96568220000000005</v>
      </c>
      <c r="EM80" s="7" t="s">
        <v>24</v>
      </c>
      <c r="EN80" s="7">
        <v>0</v>
      </c>
      <c r="EO80" s="7">
        <v>0.5</v>
      </c>
      <c r="EP80" s="7">
        <v>0.5</v>
      </c>
      <c r="EQ80" s="7">
        <v>0</v>
      </c>
      <c r="ER80" s="10">
        <v>0.15726670000000001</v>
      </c>
      <c r="ES80" s="10">
        <v>0.84273330000000002</v>
      </c>
      <c r="ET80" s="7" t="s">
        <v>24</v>
      </c>
      <c r="EU80" s="7" t="s">
        <v>24</v>
      </c>
      <c r="EV80" s="7" t="s">
        <v>24</v>
      </c>
      <c r="EW80" s="45">
        <v>0.9385</v>
      </c>
      <c r="EX80" s="10">
        <v>0.96870440000000002</v>
      </c>
      <c r="EY80" s="10">
        <v>0.96267879999999995</v>
      </c>
      <c r="EZ80" s="10">
        <v>0.96568220000000005</v>
      </c>
      <c r="FA80" s="7" t="s">
        <v>24</v>
      </c>
      <c r="FB80" s="7">
        <v>0</v>
      </c>
      <c r="FC80" s="7">
        <v>0.5</v>
      </c>
      <c r="FD80" s="7">
        <v>0.5</v>
      </c>
      <c r="FE80" s="10">
        <v>0</v>
      </c>
      <c r="FF80" s="10">
        <v>0.1588667</v>
      </c>
      <c r="FG80" s="10">
        <v>0.84113329999999997</v>
      </c>
      <c r="FH80" s="7" t="s">
        <v>24</v>
      </c>
      <c r="FI80" s="7" t="s">
        <v>24</v>
      </c>
      <c r="FJ80" s="7" t="s">
        <v>24</v>
      </c>
    </row>
    <row r="81" spans="1:166" s="11" customFormat="1" x14ac:dyDescent="0.2">
      <c r="A81"/>
      <c r="B81"/>
      <c r="C81" s="6"/>
      <c r="D81"/>
      <c r="E81" s="155"/>
      <c r="F81" s="155"/>
      <c r="G81" s="14"/>
      <c r="H81" s="7"/>
      <c r="I81" s="7"/>
      <c r="J81" s="7"/>
      <c r="K81" s="14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14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"/>
      <c r="AN81" s="7"/>
      <c r="AO81" s="7"/>
      <c r="AP81" s="7"/>
      <c r="AQ81" s="14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14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14"/>
      <c r="BT81" s="7"/>
      <c r="BU81" s="7"/>
      <c r="BV81" s="7"/>
      <c r="BW81" s="14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14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14"/>
      <c r="CZ81" s="7"/>
      <c r="DA81" s="7"/>
      <c r="DB81" s="7"/>
      <c r="DC81" s="14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14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14"/>
      <c r="EF81" s="7"/>
      <c r="EG81" s="7"/>
      <c r="EH81" s="7"/>
      <c r="EI81" s="14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14"/>
      <c r="EX81" s="7"/>
      <c r="EY81" s="7"/>
      <c r="EZ81" s="7"/>
      <c r="FA81" s="7"/>
      <c r="FB81" s="7"/>
      <c r="FC81" s="7"/>
      <c r="FD81" s="10"/>
      <c r="FE81" s="7"/>
      <c r="FF81" s="7"/>
      <c r="FG81" s="7"/>
      <c r="FH81" s="7"/>
      <c r="FI81" s="7"/>
      <c r="FJ81" s="7"/>
    </row>
    <row r="82" spans="1:166" s="11" customFormat="1" x14ac:dyDescent="0.2">
      <c r="A82"/>
      <c r="B82"/>
      <c r="C82" s="6">
        <v>3</v>
      </c>
      <c r="D82" t="s">
        <v>40</v>
      </c>
      <c r="E82" s="155"/>
      <c r="F82" s="155"/>
      <c r="G82" s="45">
        <v>0.97917169999999998</v>
      </c>
      <c r="H82" s="7"/>
      <c r="I82" s="7"/>
      <c r="J82" s="7"/>
      <c r="K82" s="45">
        <v>0.90661480000000005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45">
        <v>0.98506669999999996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45">
        <v>0.97701150000000003</v>
      </c>
      <c r="AN82" s="7"/>
      <c r="AO82" s="7"/>
      <c r="AP82" s="7"/>
      <c r="AQ82" s="45">
        <v>0.91558439999999996</v>
      </c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10">
        <v>0.98560000000000003</v>
      </c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10">
        <v>0.98132180000000002</v>
      </c>
      <c r="BT82" s="7"/>
      <c r="BU82" s="7"/>
      <c r="BV82" s="7"/>
      <c r="BW82" s="10">
        <v>0.88441559999999997</v>
      </c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45">
        <v>0.98560000000000003</v>
      </c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45">
        <v>0.98108240000000002</v>
      </c>
      <c r="CZ82" s="7"/>
      <c r="DA82" s="7"/>
      <c r="DB82" s="7"/>
      <c r="DC82" s="45">
        <v>0.88067439999999997</v>
      </c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45">
        <v>0.9861259</v>
      </c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45">
        <v>0.96432850000000003</v>
      </c>
      <c r="EF82" s="7"/>
      <c r="EG82" s="7"/>
      <c r="EH82" s="7"/>
      <c r="EI82" s="45">
        <v>0.78469520000000004</v>
      </c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45">
        <v>0.77302199999999999</v>
      </c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</row>
    <row r="83" spans="1:166" s="11" customFormat="1" x14ac:dyDescent="0.2">
      <c r="A83"/>
      <c r="B83"/>
      <c r="C83" s="6">
        <v>3</v>
      </c>
      <c r="D83" t="s">
        <v>41</v>
      </c>
      <c r="E83" s="155"/>
      <c r="F83" s="155"/>
      <c r="G83" s="45">
        <v>0.97749039999999998</v>
      </c>
      <c r="H83" s="7"/>
      <c r="I83" s="7"/>
      <c r="J83" s="7"/>
      <c r="K83" s="45">
        <v>0.89364460000000001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45">
        <v>0.98666670000000001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45">
        <v>0.98156129999999997</v>
      </c>
      <c r="AN83" s="7"/>
      <c r="AO83" s="7"/>
      <c r="AP83" s="7"/>
      <c r="AQ83" s="45">
        <v>0.90661480000000005</v>
      </c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10">
        <v>0.98613329999999999</v>
      </c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10">
        <v>0.98084289999999996</v>
      </c>
      <c r="BT83" s="7"/>
      <c r="BU83" s="7"/>
      <c r="BV83" s="7"/>
      <c r="BW83" s="10">
        <v>0.88326850000000001</v>
      </c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45">
        <v>0.98506669999999996</v>
      </c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45">
        <v>0.97845340000000003</v>
      </c>
      <c r="CZ83" s="7"/>
      <c r="DA83" s="7"/>
      <c r="DB83" s="7"/>
      <c r="DC83" s="45">
        <v>0.8949416</v>
      </c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45">
        <v>0.98506669999999996</v>
      </c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45">
        <v>0.95977009999999996</v>
      </c>
      <c r="EF83" s="7"/>
      <c r="EG83" s="7"/>
      <c r="EH83" s="7"/>
      <c r="EI83" s="45">
        <v>0.76623379999999996</v>
      </c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45">
        <v>0.79896239999999996</v>
      </c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</row>
    <row r="84" spans="1:166" s="11" customFormat="1" x14ac:dyDescent="0.2">
      <c r="A84"/>
      <c r="B84"/>
      <c r="C84" s="6">
        <v>3</v>
      </c>
      <c r="D84" t="s">
        <v>42</v>
      </c>
      <c r="E84" s="155"/>
      <c r="F84" s="155"/>
      <c r="G84" s="45">
        <v>0.98395589999999999</v>
      </c>
      <c r="H84" s="7"/>
      <c r="I84" s="7"/>
      <c r="J84" s="7"/>
      <c r="K84" s="45">
        <v>0.90779220000000005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45">
        <v>0.9861259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45">
        <v>0.98012929999999998</v>
      </c>
      <c r="AN84" s="7"/>
      <c r="AO84" s="7"/>
      <c r="AP84" s="7"/>
      <c r="AQ84" s="45">
        <v>0.91050580000000003</v>
      </c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10">
        <v>0.98665959999999997</v>
      </c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10">
        <v>0.97965049999999998</v>
      </c>
      <c r="BT84" s="7"/>
      <c r="BU84" s="7"/>
      <c r="BV84" s="7"/>
      <c r="BW84" s="10">
        <v>0.92088199999999998</v>
      </c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45">
        <v>0.98505869999999995</v>
      </c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45">
        <v>0.97964560000000001</v>
      </c>
      <c r="CZ84" s="7"/>
      <c r="DA84" s="7"/>
      <c r="DB84" s="7"/>
      <c r="DC84" s="45">
        <v>0.85454549999999996</v>
      </c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45">
        <v>0.98719999999999997</v>
      </c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45">
        <v>0.96216480000000004</v>
      </c>
      <c r="EF84" s="7"/>
      <c r="EG84" s="7"/>
      <c r="EH84" s="7"/>
      <c r="EI84" s="45">
        <v>0.78728920000000002</v>
      </c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45">
        <v>0.77402599999999999</v>
      </c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</row>
    <row r="85" spans="1:166" s="11" customFormat="1" x14ac:dyDescent="0.2">
      <c r="A85"/>
      <c r="B85"/>
      <c r="C85" s="6">
        <v>3</v>
      </c>
      <c r="D85" t="s">
        <v>49</v>
      </c>
      <c r="E85" s="155"/>
      <c r="F85" s="155"/>
      <c r="G85" s="14">
        <f>AVERAGE(G82:G84)</f>
        <v>0.98020599999999991</v>
      </c>
      <c r="H85" s="7"/>
      <c r="I85" s="7"/>
      <c r="J85" s="7"/>
      <c r="K85" s="34">
        <f>AVERAGE(K82:K84)</f>
        <v>0.90268386666666667</v>
      </c>
      <c r="L85" s="7"/>
      <c r="M85" s="7"/>
      <c r="N85" s="7"/>
      <c r="O85" s="10">
        <v>3.4580000000000001E-3</v>
      </c>
      <c r="P85" s="7">
        <v>0</v>
      </c>
      <c r="Q85" s="7">
        <v>0.25</v>
      </c>
      <c r="R85" s="7">
        <v>0.75</v>
      </c>
      <c r="S85" s="7">
        <v>0</v>
      </c>
      <c r="T85" s="10">
        <v>8.8999999999999999E-3</v>
      </c>
      <c r="U85" s="49">
        <v>0.99109999999999998</v>
      </c>
      <c r="V85" s="10">
        <v>6.5441269999999996E-2</v>
      </c>
      <c r="W85" s="10">
        <v>0.92559349999999996</v>
      </c>
      <c r="X85" s="10">
        <v>8.9651969999999994E-3</v>
      </c>
      <c r="Y85" s="157">
        <f>AVERAGE(Y82:Y84)</f>
        <v>0.98595310000000003</v>
      </c>
      <c r="Z85" s="7"/>
      <c r="AA85" s="7"/>
      <c r="AB85" s="7"/>
      <c r="AC85" s="10">
        <v>0.13350000000000001</v>
      </c>
      <c r="AD85" s="7">
        <v>0</v>
      </c>
      <c r="AE85" s="31">
        <v>1</v>
      </c>
      <c r="AF85" s="7">
        <v>0</v>
      </c>
      <c r="AG85" s="7">
        <v>0</v>
      </c>
      <c r="AH85" s="31">
        <v>1</v>
      </c>
      <c r="AI85" s="10">
        <v>0</v>
      </c>
      <c r="AJ85" s="10">
        <v>0.12817619999999999</v>
      </c>
      <c r="AK85" s="10">
        <v>0.85770590000000002</v>
      </c>
      <c r="AL85" s="10">
        <v>1.4117950000000001E-2</v>
      </c>
      <c r="AM85" s="14">
        <f>AVERAGE(AM82:AM84)</f>
        <v>0.97956736666666666</v>
      </c>
      <c r="AN85" s="7"/>
      <c r="AO85" s="7"/>
      <c r="AP85" s="7"/>
      <c r="AQ85" s="34">
        <f>AVERAGE(AQ82:AQ84)</f>
        <v>0.91090166666666672</v>
      </c>
      <c r="AR85" s="7"/>
      <c r="AS85" s="7"/>
      <c r="AT85" s="7"/>
      <c r="AU85" s="10">
        <v>2.8730000000000001E-3</v>
      </c>
      <c r="AV85" s="7">
        <v>0</v>
      </c>
      <c r="AW85" s="7">
        <v>0.25</v>
      </c>
      <c r="AX85" s="7">
        <v>0.75</v>
      </c>
      <c r="AY85" s="7">
        <v>0</v>
      </c>
      <c r="AZ85" s="10">
        <v>9.0333329999999993E-3</v>
      </c>
      <c r="BA85" s="49">
        <v>0.99096669999999998</v>
      </c>
      <c r="BB85" s="10">
        <v>1.45907E-3</v>
      </c>
      <c r="BC85" s="10">
        <v>1.1552940000000001E-3</v>
      </c>
      <c r="BD85" s="49">
        <v>0.99738559999999998</v>
      </c>
      <c r="BE85" s="66">
        <f>AVERAGE(BE82:BE84)</f>
        <v>0.98613096666666655</v>
      </c>
      <c r="BF85" s="7"/>
      <c r="BG85" s="7"/>
      <c r="BH85" s="7"/>
      <c r="BI85" s="10">
        <v>0.1004</v>
      </c>
      <c r="BJ85" s="7">
        <v>0</v>
      </c>
      <c r="BK85" s="32">
        <v>1</v>
      </c>
      <c r="BL85" s="7">
        <v>0</v>
      </c>
      <c r="BM85" s="7">
        <v>0</v>
      </c>
      <c r="BN85" s="32">
        <v>1</v>
      </c>
      <c r="BO85" s="7">
        <v>0</v>
      </c>
      <c r="BP85" s="10">
        <v>0.1124318</v>
      </c>
      <c r="BQ85" s="10">
        <v>0.87703529999999996</v>
      </c>
      <c r="BR85" s="10">
        <v>1.0532909999999999E-2</v>
      </c>
      <c r="BS85" s="14">
        <f>AVERAGE(BS82:BS84)</f>
        <v>0.98060506666666658</v>
      </c>
      <c r="BT85" s="7"/>
      <c r="BU85" s="7"/>
      <c r="BV85" s="7"/>
      <c r="BW85" s="34">
        <f>AVERAGE(BW82:BW84)</f>
        <v>0.89618870000000006</v>
      </c>
      <c r="BX85" s="7"/>
      <c r="BY85" s="7"/>
      <c r="BZ85" s="7"/>
      <c r="CA85" s="10">
        <v>2.043E-2</v>
      </c>
      <c r="CB85" s="7">
        <v>0</v>
      </c>
      <c r="CC85" s="7">
        <v>0.25</v>
      </c>
      <c r="CD85" s="7">
        <v>0.75</v>
      </c>
      <c r="CE85" s="7">
        <v>0</v>
      </c>
      <c r="CF85" s="10">
        <v>8.0333330000000001E-3</v>
      </c>
      <c r="CG85" s="49">
        <v>0.99196669999999998</v>
      </c>
      <c r="CH85" s="10">
        <v>1.086636E-2</v>
      </c>
      <c r="CI85" s="10">
        <v>6.2879379999999999E-3</v>
      </c>
      <c r="CJ85" s="49">
        <v>0.98284570000000004</v>
      </c>
      <c r="CK85" s="66">
        <f>AVERAGE((CK82:CK84))</f>
        <v>0.98524179999999995</v>
      </c>
      <c r="CL85" s="7"/>
      <c r="CM85" s="7"/>
      <c r="CN85" s="7"/>
      <c r="CO85" s="10">
        <v>6.862E-3</v>
      </c>
      <c r="CP85" s="7">
        <v>0</v>
      </c>
      <c r="CQ85" s="32">
        <v>1</v>
      </c>
      <c r="CR85" s="7">
        <v>0</v>
      </c>
      <c r="CS85" s="7">
        <v>0</v>
      </c>
      <c r="CT85" s="31">
        <v>1</v>
      </c>
      <c r="CU85" s="7">
        <v>0</v>
      </c>
      <c r="CV85" s="10">
        <v>3.419189E-3</v>
      </c>
      <c r="CW85" s="10">
        <v>0.99611760000000005</v>
      </c>
      <c r="CX85" s="10">
        <v>4.6319759999999998E-4</v>
      </c>
      <c r="CY85" s="14">
        <f>AVERAGE(CY82:CY84)</f>
        <v>0.97972713333333328</v>
      </c>
      <c r="CZ85" s="7"/>
      <c r="DA85" s="7"/>
      <c r="DB85" s="7"/>
      <c r="DC85" s="66">
        <f>AVERAGE(DC82:DC84)</f>
        <v>0.8767204999999999</v>
      </c>
      <c r="DD85" s="7"/>
      <c r="DE85" s="7"/>
      <c r="DF85" s="7"/>
      <c r="DG85" s="10">
        <v>3.4479999999999997E-2</v>
      </c>
      <c r="DH85" s="7">
        <v>0</v>
      </c>
      <c r="DI85" s="32">
        <v>1</v>
      </c>
      <c r="DJ85" s="7">
        <v>0</v>
      </c>
      <c r="DK85" s="7">
        <v>0</v>
      </c>
      <c r="DL85" s="32">
        <v>1</v>
      </c>
      <c r="DM85" s="7">
        <v>0</v>
      </c>
      <c r="DN85" s="10">
        <v>1.8786230000000001E-2</v>
      </c>
      <c r="DO85" s="10">
        <v>0.9787169</v>
      </c>
      <c r="DP85" s="10">
        <v>2.4969139999999998E-3</v>
      </c>
      <c r="DQ85" s="36">
        <f>AVERAGE(DQ82:DQ84)</f>
        <v>0.98613086666666661</v>
      </c>
      <c r="DR85" s="7"/>
      <c r="DS85" s="7"/>
      <c r="DT85" s="7"/>
      <c r="DU85" s="10">
        <v>0.77080000000000004</v>
      </c>
      <c r="DV85" s="10">
        <v>0</v>
      </c>
      <c r="DW85" s="50">
        <v>1</v>
      </c>
      <c r="DX85" s="10">
        <v>0</v>
      </c>
      <c r="DY85" s="10">
        <v>0</v>
      </c>
      <c r="DZ85" s="50">
        <v>1</v>
      </c>
      <c r="EA85" s="10">
        <v>0</v>
      </c>
      <c r="EB85" s="10">
        <v>3.0288720000000002E-3</v>
      </c>
      <c r="EC85" s="10">
        <v>0.99365230000000004</v>
      </c>
      <c r="ED85" s="10">
        <v>3.3188480000000001E-3</v>
      </c>
      <c r="EE85" s="14">
        <f>AVERAGE(EE82:EE84)</f>
        <v>0.96208779999999994</v>
      </c>
      <c r="EF85" s="7"/>
      <c r="EG85" s="7"/>
      <c r="EH85" s="7"/>
      <c r="EI85" s="35">
        <f>AVERAGE(EI82:EI84)</f>
        <v>0.77940606666666667</v>
      </c>
      <c r="EJ85" s="7"/>
      <c r="EK85" s="7"/>
      <c r="EL85" s="7"/>
      <c r="EM85" s="41" t="s">
        <v>24</v>
      </c>
      <c r="EN85" s="7">
        <v>0</v>
      </c>
      <c r="EO85" s="7">
        <v>0.25</v>
      </c>
      <c r="EP85" s="7">
        <v>0.75</v>
      </c>
      <c r="EQ85" s="7">
        <v>0</v>
      </c>
      <c r="ER85" s="10">
        <v>8.8000000000000005E-3</v>
      </c>
      <c r="ES85" s="49">
        <v>0.99119999999999997</v>
      </c>
      <c r="ET85" s="7" t="s">
        <v>24</v>
      </c>
      <c r="EU85" s="7" t="s">
        <v>24</v>
      </c>
      <c r="EV85" s="7" t="s">
        <v>24</v>
      </c>
      <c r="EW85" s="35">
        <f>AVERAGE(EW82:EW84)</f>
        <v>0.78200346666666665</v>
      </c>
      <c r="EX85" s="7"/>
      <c r="EY85" s="7"/>
      <c r="EZ85" s="7"/>
      <c r="FA85" s="10">
        <v>2.8779999999999999E-3</v>
      </c>
      <c r="FB85" s="7">
        <v>0</v>
      </c>
      <c r="FC85" s="7">
        <v>0.25</v>
      </c>
      <c r="FD85" s="7">
        <v>0.75</v>
      </c>
      <c r="FE85" s="14">
        <v>0</v>
      </c>
      <c r="FF85" s="10">
        <v>8.6999999999999994E-3</v>
      </c>
      <c r="FG85" s="49">
        <v>0.99129999999999996</v>
      </c>
      <c r="FH85" s="10">
        <v>1.7205269999999999E-3</v>
      </c>
      <c r="FI85" s="10">
        <v>4.256644E-4</v>
      </c>
      <c r="FJ85" s="49">
        <v>0.99785380000000001</v>
      </c>
    </row>
    <row r="86" spans="1:166" s="11" customFormat="1" x14ac:dyDescent="0.2">
      <c r="A86"/>
      <c r="B86"/>
      <c r="C86" s="6">
        <v>3</v>
      </c>
      <c r="D86" t="s">
        <v>43</v>
      </c>
      <c r="E86" s="155"/>
      <c r="F86" s="155"/>
      <c r="G86" s="45">
        <v>0.97970000000000002</v>
      </c>
      <c r="H86" s="10">
        <v>0.98378489999999996</v>
      </c>
      <c r="I86" s="10">
        <v>0.99377979999999999</v>
      </c>
      <c r="J86" s="10">
        <v>0.98875710000000006</v>
      </c>
      <c r="K86" s="45">
        <v>0.19819999999999999</v>
      </c>
      <c r="L86" s="10">
        <v>0.80980861000000004</v>
      </c>
      <c r="M86" s="10">
        <v>0.14036905999999999</v>
      </c>
      <c r="N86" s="10">
        <v>0.23926489000000001</v>
      </c>
      <c r="O86" s="7" t="s">
        <v>24</v>
      </c>
      <c r="P86" s="10">
        <v>0</v>
      </c>
      <c r="Q86" s="10">
        <v>0.5</v>
      </c>
      <c r="R86" s="10">
        <v>0.5</v>
      </c>
      <c r="S86" s="10">
        <v>0</v>
      </c>
      <c r="T86" s="10">
        <v>0.16076670000000001</v>
      </c>
      <c r="U86" s="10">
        <v>0.83923329999999996</v>
      </c>
      <c r="V86" s="7" t="s">
        <v>24</v>
      </c>
      <c r="W86" s="7" t="s">
        <v>24</v>
      </c>
      <c r="X86" s="7" t="s">
        <v>24</v>
      </c>
      <c r="Y86" s="45">
        <v>0.97170000000000001</v>
      </c>
      <c r="Z86" s="10">
        <v>0.97672990000000004</v>
      </c>
      <c r="AA86" s="10">
        <v>0.99212109999999998</v>
      </c>
      <c r="AB86" s="10">
        <v>0.98436539999999995</v>
      </c>
      <c r="AC86" s="7" t="s">
        <v>24</v>
      </c>
      <c r="AD86" s="7">
        <v>0</v>
      </c>
      <c r="AE86" s="7">
        <v>1</v>
      </c>
      <c r="AF86" s="7">
        <v>0</v>
      </c>
      <c r="AG86" s="7">
        <v>0</v>
      </c>
      <c r="AH86" s="32">
        <v>1</v>
      </c>
      <c r="AI86" s="10">
        <v>0</v>
      </c>
      <c r="AJ86" s="7" t="s">
        <v>24</v>
      </c>
      <c r="AK86" s="7" t="s">
        <v>24</v>
      </c>
      <c r="AL86" s="7" t="s">
        <v>24</v>
      </c>
      <c r="AM86" s="45">
        <v>0.97689999999999999</v>
      </c>
      <c r="AN86" s="10">
        <v>0.97880579999999995</v>
      </c>
      <c r="AO86" s="10">
        <v>0.99585319999999999</v>
      </c>
      <c r="AP86" s="10">
        <v>0.98725589999999996</v>
      </c>
      <c r="AQ86" s="45">
        <v>0.33839999999999998</v>
      </c>
      <c r="AR86" s="10">
        <v>0.86252139000000005</v>
      </c>
      <c r="AS86" s="10">
        <v>0.31349781999999998</v>
      </c>
      <c r="AT86" s="10">
        <v>0.45985400999999998</v>
      </c>
      <c r="AU86" s="7" t="s">
        <v>24</v>
      </c>
      <c r="AV86" s="10">
        <v>0</v>
      </c>
      <c r="AW86" s="10">
        <v>0.5</v>
      </c>
      <c r="AX86" s="10">
        <v>0.5</v>
      </c>
      <c r="AY86" s="14">
        <v>0</v>
      </c>
      <c r="AZ86" s="10">
        <v>0.1564333</v>
      </c>
      <c r="BA86" s="10">
        <v>0.8435667</v>
      </c>
      <c r="BB86" s="7" t="s">
        <v>24</v>
      </c>
      <c r="BC86" s="7" t="s">
        <v>24</v>
      </c>
      <c r="BD86" s="7" t="s">
        <v>24</v>
      </c>
      <c r="BE86" s="10">
        <v>0.89980000000000004</v>
      </c>
      <c r="BF86" s="10">
        <v>0.89979474000000004</v>
      </c>
      <c r="BG86" s="10">
        <v>0.99979266</v>
      </c>
      <c r="BH86" s="10">
        <v>0.94716166000000002</v>
      </c>
      <c r="BI86" s="7" t="s">
        <v>24</v>
      </c>
      <c r="BJ86" s="10">
        <v>0</v>
      </c>
      <c r="BK86" s="7">
        <v>0.5</v>
      </c>
      <c r="BL86" s="10">
        <v>0.5</v>
      </c>
      <c r="BM86" s="7">
        <v>0</v>
      </c>
      <c r="BN86" s="10">
        <v>0.15679999999999999</v>
      </c>
      <c r="BO86" s="10">
        <v>0.84319999999999995</v>
      </c>
      <c r="BP86" s="7" t="s">
        <v>24</v>
      </c>
      <c r="BQ86" s="7" t="s">
        <v>24</v>
      </c>
      <c r="BR86" s="7" t="s">
        <v>24</v>
      </c>
      <c r="BS86" s="10">
        <v>0.97989999999999999</v>
      </c>
      <c r="BT86" s="10">
        <v>0.98458380000000001</v>
      </c>
      <c r="BU86" s="10">
        <v>0.99315779999999998</v>
      </c>
      <c r="BV86" s="10">
        <v>0.98885219999999996</v>
      </c>
      <c r="BW86" s="10">
        <v>0.37530000000000002</v>
      </c>
      <c r="BX86" s="10">
        <v>0.95255699999999999</v>
      </c>
      <c r="BY86" s="10">
        <v>0.32054739999999998</v>
      </c>
      <c r="BZ86" s="10">
        <v>0.47967729999999997</v>
      </c>
      <c r="CA86" s="7" t="s">
        <v>24</v>
      </c>
      <c r="CB86" s="10">
        <v>0</v>
      </c>
      <c r="CC86" s="10">
        <v>0.5</v>
      </c>
      <c r="CD86" s="10">
        <v>0.5</v>
      </c>
      <c r="CE86" s="10">
        <v>0</v>
      </c>
      <c r="CF86" s="10">
        <v>0.161</v>
      </c>
      <c r="CG86" s="10">
        <v>0.83899999999999997</v>
      </c>
      <c r="CH86" s="7" t="s">
        <v>24</v>
      </c>
      <c r="CI86" s="7" t="s">
        <v>24</v>
      </c>
      <c r="CJ86" s="7" t="s">
        <v>24</v>
      </c>
      <c r="CK86" s="45">
        <v>0.95699999999999996</v>
      </c>
      <c r="CL86" s="10">
        <v>0.96421349999999995</v>
      </c>
      <c r="CM86" s="10">
        <v>0.9888036</v>
      </c>
      <c r="CN86" s="10">
        <v>0.97635380000000005</v>
      </c>
      <c r="CO86" s="7" t="s">
        <v>24</v>
      </c>
      <c r="CP86" s="7">
        <v>0</v>
      </c>
      <c r="CQ86" s="33">
        <v>0.5</v>
      </c>
      <c r="CR86" s="7">
        <v>0.5</v>
      </c>
      <c r="CS86" s="7">
        <v>0</v>
      </c>
      <c r="CT86" s="10">
        <v>0.156</v>
      </c>
      <c r="CU86" s="10">
        <v>0.84399999999999997</v>
      </c>
      <c r="CV86" s="7" t="s">
        <v>24</v>
      </c>
      <c r="CW86" s="7" t="s">
        <v>24</v>
      </c>
      <c r="CX86" s="7" t="s">
        <v>24</v>
      </c>
      <c r="CY86" s="45">
        <v>0.9778</v>
      </c>
      <c r="CZ86" s="10">
        <v>0.98157249999999996</v>
      </c>
      <c r="DA86" s="10">
        <v>0.99398710000000001</v>
      </c>
      <c r="DB86" s="10">
        <v>0.98774079999999997</v>
      </c>
      <c r="DC86" s="45">
        <v>0.7772</v>
      </c>
      <c r="DD86" s="10">
        <v>0.9819293</v>
      </c>
      <c r="DE86" s="10">
        <v>0.76612069999999999</v>
      </c>
      <c r="DF86" s="10">
        <v>0.86070349999999995</v>
      </c>
      <c r="DG86" s="7" t="s">
        <v>24</v>
      </c>
      <c r="DH86" s="10">
        <v>0</v>
      </c>
      <c r="DI86" s="10">
        <v>0.5</v>
      </c>
      <c r="DJ86" s="10">
        <v>0.5</v>
      </c>
      <c r="DK86" s="10">
        <v>0</v>
      </c>
      <c r="DL86" s="10">
        <v>0.15759999999999999</v>
      </c>
      <c r="DM86" s="10">
        <v>0.84240000000000004</v>
      </c>
      <c r="DN86" s="7" t="s">
        <v>24</v>
      </c>
      <c r="DO86" s="7" t="s">
        <v>24</v>
      </c>
      <c r="DP86" s="7" t="s">
        <v>24</v>
      </c>
      <c r="DQ86" s="56">
        <v>0.97170000000000001</v>
      </c>
      <c r="DR86" s="10">
        <v>0.98646120000000004</v>
      </c>
      <c r="DS86" s="10">
        <v>0.98196139999999998</v>
      </c>
      <c r="DT86" s="10">
        <v>0.98420620000000003</v>
      </c>
      <c r="DU86" s="7" t="s">
        <v>24</v>
      </c>
      <c r="DV86" s="10">
        <v>0</v>
      </c>
      <c r="DW86" s="50">
        <v>1</v>
      </c>
      <c r="DX86" s="10">
        <v>0</v>
      </c>
      <c r="DY86" s="10">
        <v>0</v>
      </c>
      <c r="DZ86" s="50">
        <v>1</v>
      </c>
      <c r="EA86" s="10">
        <v>0</v>
      </c>
      <c r="EB86" s="7" t="s">
        <v>24</v>
      </c>
      <c r="EC86" s="7" t="s">
        <v>24</v>
      </c>
      <c r="ED86" s="7" t="s">
        <v>24</v>
      </c>
      <c r="EE86" s="45">
        <v>0.96179999999999999</v>
      </c>
      <c r="EF86" s="10">
        <v>0.98447340000000005</v>
      </c>
      <c r="EG86" s="10">
        <v>0.97283850000000005</v>
      </c>
      <c r="EH86" s="10">
        <v>0.97862130000000003</v>
      </c>
      <c r="EI86" s="45">
        <v>0.47720000000000001</v>
      </c>
      <c r="EJ86" s="10">
        <v>0.96494460000000004</v>
      </c>
      <c r="EK86" s="10">
        <v>0.4337549</v>
      </c>
      <c r="EL86" s="10">
        <v>0.59848380000000001</v>
      </c>
      <c r="EM86" s="7" t="s">
        <v>24</v>
      </c>
      <c r="EN86" s="7">
        <v>0</v>
      </c>
      <c r="EO86" s="7">
        <v>0.5</v>
      </c>
      <c r="EP86" s="7">
        <v>0.5</v>
      </c>
      <c r="EQ86" s="7" t="s">
        <v>24</v>
      </c>
      <c r="ER86" s="7" t="s">
        <v>24</v>
      </c>
      <c r="ES86" s="7" t="s">
        <v>24</v>
      </c>
      <c r="ET86" s="7" t="s">
        <v>24</v>
      </c>
      <c r="EU86" s="7" t="s">
        <v>24</v>
      </c>
      <c r="EV86" s="7" t="s">
        <v>24</v>
      </c>
      <c r="EW86" s="45">
        <v>0.47720000000000001</v>
      </c>
      <c r="EX86" s="10">
        <v>0.96494460000000004</v>
      </c>
      <c r="EY86" s="10">
        <v>0.4337549</v>
      </c>
      <c r="EZ86" s="10">
        <v>0.59848380000000001</v>
      </c>
      <c r="FA86" s="7" t="s">
        <v>24</v>
      </c>
      <c r="FB86" s="7">
        <v>0</v>
      </c>
      <c r="FC86" s="7">
        <v>0.5</v>
      </c>
      <c r="FD86" s="7">
        <v>0.5</v>
      </c>
      <c r="FE86" s="10">
        <v>0</v>
      </c>
      <c r="FF86" s="10">
        <v>0.1638</v>
      </c>
      <c r="FG86" s="10">
        <v>0.83620000000000005</v>
      </c>
      <c r="FH86" s="7" t="s">
        <v>24</v>
      </c>
      <c r="FI86" s="7" t="s">
        <v>24</v>
      </c>
      <c r="FJ86" s="7" t="s">
        <v>24</v>
      </c>
    </row>
    <row r="87" spans="1:166" s="11" customFormat="1" x14ac:dyDescent="0.2">
      <c r="A87"/>
      <c r="B87"/>
      <c r="C87" s="6"/>
      <c r="D87"/>
      <c r="E87" s="155"/>
      <c r="F87" s="155"/>
      <c r="G87" s="14"/>
      <c r="H87" s="7"/>
      <c r="I87" s="7"/>
      <c r="J87" s="7"/>
      <c r="K87" s="14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14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14"/>
      <c r="AN87" s="7"/>
      <c r="AO87" s="7"/>
      <c r="AP87" s="7"/>
      <c r="AQ87" s="14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14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14"/>
      <c r="BT87" s="7"/>
      <c r="BU87" s="7"/>
      <c r="BV87" s="7"/>
      <c r="BW87" s="14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14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14"/>
      <c r="CZ87" s="7"/>
      <c r="DA87" s="7"/>
      <c r="DB87" s="7"/>
      <c r="DC87" s="14"/>
      <c r="DD87" s="7"/>
      <c r="DE87" s="7"/>
      <c r="DF87" s="7"/>
      <c r="DG87" s="7"/>
      <c r="DH87" s="14"/>
      <c r="DI87" s="7"/>
      <c r="DJ87" s="7"/>
      <c r="DK87" s="7"/>
      <c r="DL87" s="7"/>
      <c r="DM87" s="7"/>
      <c r="DN87" s="7"/>
      <c r="DO87" s="7"/>
      <c r="DP87" s="7"/>
      <c r="DQ87" s="14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14"/>
      <c r="EF87" s="7"/>
      <c r="EG87" s="7"/>
      <c r="EH87" s="7"/>
      <c r="EI87" s="14"/>
      <c r="EJ87" s="7"/>
      <c r="EK87" s="7"/>
      <c r="EL87" s="7"/>
      <c r="EM87" s="7"/>
      <c r="EN87" s="14"/>
      <c r="EO87" s="7"/>
      <c r="EP87" s="7"/>
      <c r="EQ87" s="7"/>
      <c r="ER87" s="7"/>
      <c r="ES87" s="7"/>
      <c r="ET87" s="7"/>
      <c r="EU87" s="7"/>
      <c r="EV87" s="7"/>
      <c r="EW87" s="14"/>
      <c r="EX87" s="7"/>
      <c r="EY87" s="7"/>
      <c r="EZ87" s="7"/>
      <c r="FA87" s="7"/>
      <c r="FB87" s="7"/>
      <c r="FC87" s="7"/>
      <c r="FD87" s="10"/>
      <c r="FE87" s="7"/>
      <c r="FF87" s="7"/>
      <c r="FG87" s="7"/>
      <c r="FH87" s="7"/>
      <c r="FI87" s="7"/>
      <c r="FJ87" s="7"/>
    </row>
    <row r="88" spans="1:166" s="11" customFormat="1" x14ac:dyDescent="0.2">
      <c r="A88"/>
      <c r="B88"/>
      <c r="C88" s="6">
        <v>4</v>
      </c>
      <c r="D88" t="s">
        <v>40</v>
      </c>
      <c r="E88" s="155"/>
      <c r="F88" s="155"/>
      <c r="G88" s="45">
        <v>0.97917169999999998</v>
      </c>
      <c r="H88" s="7"/>
      <c r="I88" s="7"/>
      <c r="J88" s="7"/>
      <c r="K88" s="45">
        <v>0.98203589999999996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45">
        <v>0.98854580000000003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45">
        <v>0.97701150000000003</v>
      </c>
      <c r="AN88" s="7"/>
      <c r="AO88" s="7"/>
      <c r="AP88" s="7"/>
      <c r="AQ88" s="45">
        <v>0.98203589999999996</v>
      </c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10">
        <v>0.98954180000000003</v>
      </c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10">
        <v>0.98132180000000002</v>
      </c>
      <c r="BT88" s="7"/>
      <c r="BU88" s="7"/>
      <c r="BV88" s="7"/>
      <c r="BW88" s="10">
        <v>0.98203589999999996</v>
      </c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45">
        <v>0.98854580000000003</v>
      </c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45">
        <v>0.98108240000000002</v>
      </c>
      <c r="CZ88" s="7"/>
      <c r="DA88" s="7"/>
      <c r="DB88" s="7"/>
      <c r="DC88" s="45">
        <v>0.98802400000000001</v>
      </c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45">
        <v>0.98904380000000003</v>
      </c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45">
        <v>0.96432850000000003</v>
      </c>
      <c r="EF88" s="7"/>
      <c r="EG88" s="7"/>
      <c r="EH88" s="7"/>
      <c r="EI88" s="45">
        <v>0.91317369999999998</v>
      </c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45">
        <v>0.90119760000000004</v>
      </c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</row>
    <row r="89" spans="1:166" s="11" customFormat="1" x14ac:dyDescent="0.2">
      <c r="A89"/>
      <c r="B89"/>
      <c r="C89" s="6">
        <v>4</v>
      </c>
      <c r="D89" t="s">
        <v>41</v>
      </c>
      <c r="E89" s="155"/>
      <c r="F89" s="155"/>
      <c r="G89" s="45">
        <v>0.97749039999999998</v>
      </c>
      <c r="H89" s="7"/>
      <c r="I89" s="7"/>
      <c r="J89" s="7"/>
      <c r="K89" s="45">
        <v>0.97604789999999997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45">
        <v>0.98804780000000003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45">
        <v>0.98156129999999997</v>
      </c>
      <c r="AN89" s="7"/>
      <c r="AO89" s="7"/>
      <c r="AP89" s="7"/>
      <c r="AQ89" s="45">
        <v>0.98203589999999996</v>
      </c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10">
        <v>0.98904380000000003</v>
      </c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10">
        <v>0.98084289999999996</v>
      </c>
      <c r="BT89" s="7"/>
      <c r="BU89" s="7"/>
      <c r="BV89" s="7"/>
      <c r="BW89" s="10">
        <v>0.98203589999999996</v>
      </c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45">
        <v>0.98854580000000003</v>
      </c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45">
        <v>0.97845340000000003</v>
      </c>
      <c r="CZ89" s="7"/>
      <c r="DA89" s="7"/>
      <c r="DB89" s="7"/>
      <c r="DC89" s="45">
        <v>0.98203589999999996</v>
      </c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45">
        <v>0.98804780000000003</v>
      </c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45">
        <v>0.95977009999999996</v>
      </c>
      <c r="EF89" s="7"/>
      <c r="EG89" s="7"/>
      <c r="EH89" s="7"/>
      <c r="EI89" s="45">
        <v>0.91017959999999998</v>
      </c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45">
        <v>0.91317369999999998</v>
      </c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</row>
    <row r="90" spans="1:166" s="11" customFormat="1" x14ac:dyDescent="0.2">
      <c r="A90"/>
      <c r="B90"/>
      <c r="C90" s="6">
        <v>1</v>
      </c>
      <c r="D90" t="s">
        <v>42</v>
      </c>
      <c r="E90" s="155"/>
      <c r="F90" s="155"/>
      <c r="G90" s="45">
        <v>0.98395589999999999</v>
      </c>
      <c r="H90" s="7"/>
      <c r="I90" s="7"/>
      <c r="J90" s="7"/>
      <c r="K90" s="45">
        <v>0.97305390000000003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45">
        <v>0.98954180000000003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45">
        <v>0.98012929999999998</v>
      </c>
      <c r="AN90" s="7"/>
      <c r="AO90" s="7"/>
      <c r="AP90" s="7"/>
      <c r="AQ90" s="45">
        <v>0.98203589999999996</v>
      </c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10">
        <v>0.98904380000000003</v>
      </c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10">
        <v>0.97965049999999998</v>
      </c>
      <c r="BT90" s="7"/>
      <c r="BU90" s="7"/>
      <c r="BV90" s="7"/>
      <c r="BW90" s="10">
        <v>0.98203589999999996</v>
      </c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45">
        <v>0.98904380000000003</v>
      </c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45">
        <v>0.97964560000000001</v>
      </c>
      <c r="CZ90" s="7"/>
      <c r="DA90" s="7"/>
      <c r="DB90" s="7"/>
      <c r="DC90" s="45">
        <v>0.97904190000000002</v>
      </c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45">
        <v>0.99003980000000003</v>
      </c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45">
        <v>0.96216480000000004</v>
      </c>
      <c r="EF90" s="7"/>
      <c r="EG90" s="7"/>
      <c r="EH90" s="7"/>
      <c r="EI90" s="45">
        <v>0.90718560000000004</v>
      </c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45">
        <v>0.93413170000000001</v>
      </c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</row>
    <row r="91" spans="1:166" s="11" customFormat="1" x14ac:dyDescent="0.2">
      <c r="A91"/>
      <c r="B91"/>
      <c r="C91" s="6">
        <v>4</v>
      </c>
      <c r="D91" t="s">
        <v>49</v>
      </c>
      <c r="E91" s="155"/>
      <c r="F91" s="155"/>
      <c r="G91" s="14">
        <f>AVERAGE(G88:G90)</f>
        <v>0.98020599999999991</v>
      </c>
      <c r="H91" s="7"/>
      <c r="I91" s="7"/>
      <c r="J91" s="7"/>
      <c r="K91" s="66">
        <f>AVERAGE(K88:K90)</f>
        <v>0.97704589999999991</v>
      </c>
      <c r="L91" s="7"/>
      <c r="M91" s="7"/>
      <c r="N91" s="7"/>
      <c r="O91" s="10">
        <v>4.9020000000000001E-2</v>
      </c>
      <c r="P91" s="7">
        <v>0</v>
      </c>
      <c r="Q91" s="32">
        <v>1</v>
      </c>
      <c r="R91" s="7">
        <v>0</v>
      </c>
      <c r="S91" s="7">
        <v>0</v>
      </c>
      <c r="T91" s="32">
        <v>1</v>
      </c>
      <c r="U91" s="7">
        <v>0</v>
      </c>
      <c r="V91" s="10">
        <v>2.0204250000000002E-3</v>
      </c>
      <c r="W91" s="10">
        <v>0.99062039999999996</v>
      </c>
      <c r="X91" s="10">
        <v>7.35916E-3</v>
      </c>
      <c r="Y91" s="14">
        <f>AVERAGE(Y88:Y90)</f>
        <v>0.98871180000000003</v>
      </c>
      <c r="Z91" s="7"/>
      <c r="AA91" s="7"/>
      <c r="AB91" s="7"/>
      <c r="AC91" s="10">
        <v>6.1650000000000003E-2</v>
      </c>
      <c r="AD91" s="7">
        <v>0.5</v>
      </c>
      <c r="AE91" s="7">
        <v>0.5</v>
      </c>
      <c r="AF91" s="7">
        <v>0</v>
      </c>
      <c r="AG91" s="10">
        <v>0.3267333</v>
      </c>
      <c r="AH91" s="10">
        <v>0.6732667</v>
      </c>
      <c r="AI91" s="7">
        <v>0</v>
      </c>
      <c r="AJ91" s="10">
        <v>0.30916120000000002</v>
      </c>
      <c r="AK91" s="10">
        <v>0.6815466</v>
      </c>
      <c r="AL91" s="10">
        <v>9.2922549999999993E-3</v>
      </c>
      <c r="AM91" s="14">
        <f>AVERAGE(AM88:AM90)</f>
        <v>0.97956736666666666</v>
      </c>
      <c r="AN91" s="7"/>
      <c r="AO91" s="7"/>
      <c r="AP91" s="7"/>
      <c r="AQ91" s="66">
        <f>AVERAGE(AQ88:AQ90)</f>
        <v>0.98203589999999996</v>
      </c>
      <c r="AR91" s="7"/>
      <c r="AS91" s="7"/>
      <c r="AT91" s="7"/>
      <c r="AU91" s="10">
        <v>0.20749999999999999</v>
      </c>
      <c r="AV91" s="7">
        <v>0</v>
      </c>
      <c r="AW91" s="7">
        <v>1</v>
      </c>
      <c r="AX91" s="7">
        <v>0</v>
      </c>
      <c r="AY91" s="10">
        <v>0</v>
      </c>
      <c r="AZ91" s="50">
        <v>1</v>
      </c>
      <c r="BA91" s="7">
        <v>0</v>
      </c>
      <c r="BB91" s="10">
        <v>1.994276E-2</v>
      </c>
      <c r="BC91" s="10">
        <v>0.97249629999999998</v>
      </c>
      <c r="BD91" s="10">
        <v>7.5609020000000004E-3</v>
      </c>
      <c r="BE91" s="14">
        <f>AVERAGE(BE88:BE90)</f>
        <v>0.98920980000000014</v>
      </c>
      <c r="BF91" s="7"/>
      <c r="BG91" s="7"/>
      <c r="BH91" s="7"/>
      <c r="BI91" s="10">
        <v>4.5429999999999998E-2</v>
      </c>
      <c r="BJ91" s="7">
        <v>0.5</v>
      </c>
      <c r="BK91" s="7">
        <v>0.5</v>
      </c>
      <c r="BL91" s="7">
        <v>0</v>
      </c>
      <c r="BM91" s="10">
        <v>0.32819999999999999</v>
      </c>
      <c r="BN91" s="10">
        <v>0.67179999999999995</v>
      </c>
      <c r="BO91" s="7">
        <v>0</v>
      </c>
      <c r="BP91" s="10">
        <v>0.35329070000000001</v>
      </c>
      <c r="BQ91" s="10">
        <v>0.63957280000000005</v>
      </c>
      <c r="BR91" s="10">
        <v>7.13644E-3</v>
      </c>
      <c r="BS91" s="14">
        <f>AVERAGE(BS88:BS90)</f>
        <v>0.98060506666666658</v>
      </c>
      <c r="BT91" s="7"/>
      <c r="BU91" s="7"/>
      <c r="BV91" s="7"/>
      <c r="BW91" s="36">
        <f>AVERAGE(BW88:BW90)</f>
        <v>0.98203589999999996</v>
      </c>
      <c r="BX91" s="7"/>
      <c r="BY91" s="7"/>
      <c r="BZ91" s="7"/>
      <c r="CA91" s="10">
        <v>0.1024</v>
      </c>
      <c r="CB91" s="7">
        <v>0</v>
      </c>
      <c r="CC91" s="32">
        <v>1</v>
      </c>
      <c r="CD91" s="7">
        <v>0</v>
      </c>
      <c r="CE91" s="7">
        <v>0</v>
      </c>
      <c r="CF91" s="50">
        <v>1</v>
      </c>
      <c r="CG91" s="10">
        <v>0</v>
      </c>
      <c r="CH91" s="10">
        <v>2.2269109999999998E-3</v>
      </c>
      <c r="CI91" s="50">
        <v>0.99651800000000001</v>
      </c>
      <c r="CJ91" s="10">
        <v>1.255138E-3</v>
      </c>
      <c r="CK91" s="36">
        <f>AVERAGE(CK88:CK90)</f>
        <v>0.98871180000000003</v>
      </c>
      <c r="CL91" s="7"/>
      <c r="CM91" s="7"/>
      <c r="CN91" s="7"/>
      <c r="CO91" s="10">
        <v>6.5240000000000003E-3</v>
      </c>
      <c r="CP91" s="7">
        <v>0</v>
      </c>
      <c r="CQ91" s="32">
        <v>1</v>
      </c>
      <c r="CR91" s="7">
        <v>0</v>
      </c>
      <c r="CS91" s="7">
        <v>0</v>
      </c>
      <c r="CT91" s="32">
        <v>1</v>
      </c>
      <c r="CU91" s="7">
        <v>0</v>
      </c>
      <c r="CV91" s="10">
        <v>6.5152189999999999E-2</v>
      </c>
      <c r="CW91" s="10">
        <v>0.93396970000000001</v>
      </c>
      <c r="CX91" s="10">
        <v>8.7806519999999999E-4</v>
      </c>
      <c r="CY91" s="14">
        <f>AVERAGE(CY88:CY90)</f>
        <v>0.97972713333333328</v>
      </c>
      <c r="CZ91" s="7"/>
      <c r="DA91" s="7"/>
      <c r="DB91" s="7"/>
      <c r="DC91" s="66">
        <f>AVERAGE(DC88:DC90)</f>
        <v>0.98303393333333322</v>
      </c>
      <c r="DD91" s="7"/>
      <c r="DE91" s="7"/>
      <c r="DF91" s="7"/>
      <c r="DG91" s="10">
        <v>0.26900000000000002</v>
      </c>
      <c r="DH91" s="7">
        <v>0</v>
      </c>
      <c r="DI91" s="32">
        <v>1</v>
      </c>
      <c r="DJ91" s="7">
        <v>0</v>
      </c>
      <c r="DK91" s="7">
        <v>0</v>
      </c>
      <c r="DL91" s="32">
        <v>1</v>
      </c>
      <c r="DM91" s="7">
        <v>0</v>
      </c>
      <c r="DN91" s="10">
        <v>5.8666879999999998E-2</v>
      </c>
      <c r="DO91" s="10">
        <v>0.92431019999999997</v>
      </c>
      <c r="DP91" s="10">
        <v>1.7022909999999999E-2</v>
      </c>
      <c r="DQ91" s="34">
        <f>AVERAGE(DQ88:DQ90)</f>
        <v>0.98904380000000003</v>
      </c>
      <c r="DR91" s="7"/>
      <c r="DS91" s="7"/>
      <c r="DT91" s="7"/>
      <c r="DU91" s="10">
        <v>5.8520000000000004E-3</v>
      </c>
      <c r="DV91" s="7">
        <v>0.25</v>
      </c>
      <c r="DW91" s="7">
        <v>0.75</v>
      </c>
      <c r="DX91" s="7">
        <v>0</v>
      </c>
      <c r="DY91" s="10">
        <v>4.6300000000000001E-2</v>
      </c>
      <c r="DZ91" s="49">
        <v>0.95369999999999999</v>
      </c>
      <c r="EA91" s="7">
        <v>0</v>
      </c>
      <c r="EB91" s="10">
        <v>0.2476853</v>
      </c>
      <c r="EC91" s="10">
        <v>0.7514016</v>
      </c>
      <c r="ED91" s="10">
        <v>9.1313310000000003E-4</v>
      </c>
      <c r="EE91" s="14">
        <f>AVERAGE(EE88:EE90)</f>
        <v>0.96208779999999994</v>
      </c>
      <c r="EF91" s="7"/>
      <c r="EG91" s="7"/>
      <c r="EH91" s="7"/>
      <c r="EI91" s="35">
        <f>AVERAGE(EI88:EI90)</f>
        <v>0.91017963333333329</v>
      </c>
      <c r="EJ91" s="7"/>
      <c r="EK91" s="7"/>
      <c r="EL91" s="7"/>
      <c r="EM91" s="10">
        <v>9.4939999999999998E-4</v>
      </c>
      <c r="EN91" s="7">
        <v>0</v>
      </c>
      <c r="EO91" s="7">
        <v>0.25</v>
      </c>
      <c r="EP91" s="7">
        <v>0.75</v>
      </c>
      <c r="EQ91" s="10">
        <v>0</v>
      </c>
      <c r="ER91" s="10">
        <v>9.0666670000000005E-3</v>
      </c>
      <c r="ES91" s="49">
        <v>0.99093330000000002</v>
      </c>
      <c r="ET91" s="10">
        <v>4.4499589999999999E-4</v>
      </c>
      <c r="EU91" s="10">
        <v>5.2455419999999995E-4</v>
      </c>
      <c r="EV91" s="49">
        <v>0.99903039999999999</v>
      </c>
      <c r="EW91" s="35">
        <f>AVERAGE(EW88:EW90)</f>
        <v>0.9161676666666666</v>
      </c>
      <c r="EX91" s="7"/>
      <c r="EY91" s="7"/>
      <c r="EZ91" s="7"/>
      <c r="FA91" s="10">
        <v>4.5440000000000001E-2</v>
      </c>
      <c r="FB91" s="7">
        <v>0</v>
      </c>
      <c r="FC91" s="7">
        <v>0.25</v>
      </c>
      <c r="FD91" s="7">
        <v>0.75</v>
      </c>
      <c r="FE91" s="7">
        <v>0</v>
      </c>
      <c r="FF91" s="10">
        <v>8.2666670000000001E-3</v>
      </c>
      <c r="FG91" s="49">
        <v>0.99173330000000004</v>
      </c>
      <c r="FH91" s="10">
        <v>2.0567269999999999E-2</v>
      </c>
      <c r="FI91" s="10">
        <v>2.533759E-2</v>
      </c>
      <c r="FJ91" s="49">
        <v>0.95409509999999997</v>
      </c>
    </row>
    <row r="92" spans="1:166" s="11" customFormat="1" x14ac:dyDescent="0.2">
      <c r="A92"/>
      <c r="B92"/>
      <c r="C92" s="6">
        <v>4</v>
      </c>
      <c r="D92" t="s">
        <v>43</v>
      </c>
      <c r="E92" s="155"/>
      <c r="F92" s="155"/>
      <c r="G92" s="45">
        <v>0.97970000000000002</v>
      </c>
      <c r="H92" s="10">
        <v>0.98378489999999996</v>
      </c>
      <c r="I92" s="10">
        <v>0.99377979999999999</v>
      </c>
      <c r="J92" s="10">
        <v>0.98875710000000006</v>
      </c>
      <c r="K92" s="45">
        <v>0.1082</v>
      </c>
      <c r="L92" s="10">
        <v>1</v>
      </c>
      <c r="M92" s="10">
        <v>7.2568939999999998E-3</v>
      </c>
      <c r="N92" s="10">
        <v>1.4409221999999999E-2</v>
      </c>
      <c r="O92" s="7" t="s">
        <v>24</v>
      </c>
      <c r="P92" s="10">
        <v>0</v>
      </c>
      <c r="Q92" s="10">
        <v>0.5</v>
      </c>
      <c r="R92" s="10">
        <v>0.5</v>
      </c>
      <c r="S92" s="10">
        <v>0</v>
      </c>
      <c r="T92" s="10">
        <v>0.15790000000000001</v>
      </c>
      <c r="U92" s="10">
        <v>0.84209999999999996</v>
      </c>
      <c r="V92" s="7" t="s">
        <v>24</v>
      </c>
      <c r="W92" s="7" t="s">
        <v>24</v>
      </c>
      <c r="X92" s="7" t="s">
        <v>24</v>
      </c>
      <c r="Y92" s="45">
        <v>0.96089999999999998</v>
      </c>
      <c r="Z92" s="10">
        <v>0.9746861</v>
      </c>
      <c r="AA92" s="10">
        <v>0.98196139999999998</v>
      </c>
      <c r="AB92" s="10">
        <v>0.97831029999999997</v>
      </c>
      <c r="AC92" s="7" t="s">
        <v>24</v>
      </c>
      <c r="AD92" s="10">
        <v>0</v>
      </c>
      <c r="AE92" s="7">
        <v>0.5</v>
      </c>
      <c r="AF92" s="7">
        <v>0.5</v>
      </c>
      <c r="AG92" s="10">
        <v>0</v>
      </c>
      <c r="AH92" s="10">
        <v>0.45953329999999998</v>
      </c>
      <c r="AI92" s="10">
        <v>0.54046669999999997</v>
      </c>
      <c r="AJ92" s="7" t="s">
        <v>24</v>
      </c>
      <c r="AK92" s="7" t="s">
        <v>24</v>
      </c>
      <c r="AL92" s="7" t="s">
        <v>24</v>
      </c>
      <c r="AM92" s="45">
        <v>0.97689999999999999</v>
      </c>
      <c r="AN92" s="10">
        <v>0.97880579999999995</v>
      </c>
      <c r="AO92" s="10">
        <v>0.99585319999999999</v>
      </c>
      <c r="AP92" s="10">
        <v>0.98725589999999996</v>
      </c>
      <c r="AQ92" s="45">
        <v>0.1017</v>
      </c>
      <c r="AR92" s="10" t="s">
        <v>24</v>
      </c>
      <c r="AS92" s="10">
        <v>0</v>
      </c>
      <c r="AT92" s="10" t="s">
        <v>24</v>
      </c>
      <c r="AU92" s="7" t="s">
        <v>24</v>
      </c>
      <c r="AV92" s="10">
        <v>0</v>
      </c>
      <c r="AW92" s="10">
        <v>0.5</v>
      </c>
      <c r="AX92" s="10">
        <v>0.5</v>
      </c>
      <c r="AY92" s="10">
        <v>0</v>
      </c>
      <c r="AZ92" s="10">
        <v>0.1578</v>
      </c>
      <c r="BA92" s="10">
        <v>0.84219999999999995</v>
      </c>
      <c r="BB92" s="7" t="s">
        <v>24</v>
      </c>
      <c r="BC92" s="7" t="s">
        <v>24</v>
      </c>
      <c r="BD92" s="7" t="s">
        <v>24</v>
      </c>
      <c r="BE92" s="10">
        <v>0.89939999999999998</v>
      </c>
      <c r="BF92" s="10">
        <v>0.89931008999999995</v>
      </c>
      <c r="BG92" s="7">
        <v>1</v>
      </c>
      <c r="BH92" s="10">
        <v>0.94698605999999996</v>
      </c>
      <c r="BI92" s="7" t="s">
        <v>24</v>
      </c>
      <c r="BJ92" s="10">
        <v>0</v>
      </c>
      <c r="BK92" s="7">
        <v>0.5</v>
      </c>
      <c r="BL92" s="10">
        <v>0.5</v>
      </c>
      <c r="BM92" s="7">
        <v>0</v>
      </c>
      <c r="BN92" s="10">
        <v>0.1608667</v>
      </c>
      <c r="BO92" s="10">
        <v>0.83913329999999997</v>
      </c>
      <c r="BP92" s="7" t="s">
        <v>24</v>
      </c>
      <c r="BQ92" s="7" t="s">
        <v>24</v>
      </c>
      <c r="BR92" s="7" t="s">
        <v>24</v>
      </c>
      <c r="BS92" s="10">
        <v>0.97989999999999999</v>
      </c>
      <c r="BT92" s="10">
        <v>0.98458380000000001</v>
      </c>
      <c r="BU92" s="10">
        <v>0.99315779999999998</v>
      </c>
      <c r="BV92" s="10">
        <v>0.98885219999999996</v>
      </c>
      <c r="BW92" s="10">
        <v>0.1017</v>
      </c>
      <c r="BX92" s="7" t="s">
        <v>24</v>
      </c>
      <c r="BY92" s="7">
        <v>0</v>
      </c>
      <c r="BZ92" s="7" t="s">
        <v>24</v>
      </c>
      <c r="CA92" s="7" t="s">
        <v>24</v>
      </c>
      <c r="CB92" s="10">
        <v>0</v>
      </c>
      <c r="CC92" s="10">
        <v>0.5</v>
      </c>
      <c r="CD92" s="10">
        <v>0.5</v>
      </c>
      <c r="CE92" s="10">
        <v>0</v>
      </c>
      <c r="CF92" s="10">
        <v>0.15913330000000001</v>
      </c>
      <c r="CG92" s="10">
        <v>0.84086669999999997</v>
      </c>
      <c r="CH92" s="7" t="s">
        <v>24</v>
      </c>
      <c r="CI92" s="7" t="s">
        <v>24</v>
      </c>
      <c r="CJ92" s="7" t="s">
        <v>24</v>
      </c>
      <c r="CK92" s="45">
        <v>0.95699999999999996</v>
      </c>
      <c r="CL92" s="10">
        <v>0.97029909999999997</v>
      </c>
      <c r="CM92" s="10">
        <v>0.98216879999999995</v>
      </c>
      <c r="CN92" s="10">
        <v>0.9761978</v>
      </c>
      <c r="CO92" s="7" t="s">
        <v>24</v>
      </c>
      <c r="CP92" s="7">
        <v>0</v>
      </c>
      <c r="CQ92" s="33">
        <v>0.5</v>
      </c>
      <c r="CR92" s="7">
        <v>0.5</v>
      </c>
      <c r="CS92" s="7">
        <v>0</v>
      </c>
      <c r="CT92" s="10">
        <v>0.15733330000000001</v>
      </c>
      <c r="CU92" s="10">
        <v>0.84266669999999999</v>
      </c>
      <c r="CV92" s="7" t="s">
        <v>24</v>
      </c>
      <c r="CW92" s="7" t="s">
        <v>24</v>
      </c>
      <c r="CX92" s="7" t="s">
        <v>24</v>
      </c>
      <c r="CY92" s="45">
        <v>0.9778</v>
      </c>
      <c r="CZ92" s="10">
        <v>0.98157249999999996</v>
      </c>
      <c r="DA92" s="10">
        <v>0.99398710000000001</v>
      </c>
      <c r="DB92" s="10">
        <v>0.98774079999999997</v>
      </c>
      <c r="DC92" s="45">
        <v>0.1026</v>
      </c>
      <c r="DD92" s="10">
        <v>1</v>
      </c>
      <c r="DE92" s="10">
        <v>1.0366990999999999E-3</v>
      </c>
      <c r="DF92" s="10">
        <v>2.0712510000000001E-3</v>
      </c>
      <c r="DG92" s="7" t="s">
        <v>24</v>
      </c>
      <c r="DH92" s="10">
        <v>0</v>
      </c>
      <c r="DI92" s="10">
        <v>0.5</v>
      </c>
      <c r="DJ92" s="10">
        <v>0.5</v>
      </c>
      <c r="DK92" s="7">
        <v>0</v>
      </c>
      <c r="DL92" s="10">
        <v>0.15566669999999999</v>
      </c>
      <c r="DM92" s="10">
        <v>0.84433329999999995</v>
      </c>
      <c r="DN92" s="7" t="s">
        <v>24</v>
      </c>
      <c r="DO92" s="7" t="s">
        <v>24</v>
      </c>
      <c r="DP92" s="7" t="s">
        <v>24</v>
      </c>
      <c r="DQ92" s="45">
        <v>0.96589999999999998</v>
      </c>
      <c r="DR92" s="10">
        <v>0.98698569999999997</v>
      </c>
      <c r="DS92" s="10">
        <v>0.97491190000000005</v>
      </c>
      <c r="DT92" s="10">
        <v>0.98091170000000005</v>
      </c>
      <c r="DU92" s="7" t="s">
        <v>24</v>
      </c>
      <c r="DV92" s="7">
        <v>0</v>
      </c>
      <c r="DW92" s="7">
        <v>0.5</v>
      </c>
      <c r="DX92" s="7">
        <v>0.5</v>
      </c>
      <c r="DY92" s="10">
        <v>0</v>
      </c>
      <c r="DZ92" s="10">
        <v>0.4573333</v>
      </c>
      <c r="EA92" s="10">
        <v>0.54266669999999995</v>
      </c>
      <c r="EB92" s="7" t="s">
        <v>24</v>
      </c>
      <c r="EC92" s="7" t="s">
        <v>24</v>
      </c>
      <c r="ED92" s="7" t="s">
        <v>24</v>
      </c>
      <c r="EE92" s="45">
        <v>0.96179999999999999</v>
      </c>
      <c r="EF92" s="10">
        <v>0.98447340000000005</v>
      </c>
      <c r="EG92" s="10">
        <v>0.97283850000000005</v>
      </c>
      <c r="EH92" s="10">
        <v>0.97862130000000003</v>
      </c>
      <c r="EI92" s="45">
        <v>0.69289999999999996</v>
      </c>
      <c r="EJ92" s="10">
        <v>0.9794562</v>
      </c>
      <c r="EK92" s="10">
        <v>0.67219569999999995</v>
      </c>
      <c r="EL92" s="10">
        <v>0.7972458</v>
      </c>
      <c r="EM92" s="7" t="s">
        <v>24</v>
      </c>
      <c r="EN92" s="7">
        <v>0</v>
      </c>
      <c r="EO92" s="7">
        <v>0.5</v>
      </c>
      <c r="EP92" s="7">
        <v>0.5</v>
      </c>
      <c r="EQ92" s="14">
        <v>0</v>
      </c>
      <c r="ER92" s="10">
        <v>0.1604333</v>
      </c>
      <c r="ES92" s="10">
        <v>0.8395667</v>
      </c>
      <c r="ET92" s="7" t="s">
        <v>24</v>
      </c>
      <c r="EU92" s="7" t="s">
        <v>24</v>
      </c>
      <c r="EV92" s="7" t="s">
        <v>24</v>
      </c>
      <c r="EW92" s="45">
        <v>0.69289999999999996</v>
      </c>
      <c r="EX92" s="10">
        <v>0.9794562</v>
      </c>
      <c r="EY92" s="10">
        <v>0.67219569999999995</v>
      </c>
      <c r="EZ92" s="10">
        <v>0.7972458</v>
      </c>
      <c r="FA92" s="7" t="s">
        <v>24</v>
      </c>
      <c r="FB92" s="7">
        <v>0</v>
      </c>
      <c r="FC92" s="7">
        <v>0.5</v>
      </c>
      <c r="FD92" s="7">
        <v>0.5</v>
      </c>
      <c r="FE92" s="10">
        <v>0</v>
      </c>
      <c r="FF92" s="10">
        <v>0.16046669999999999</v>
      </c>
      <c r="FG92" s="10">
        <v>0.83953330000000004</v>
      </c>
      <c r="FH92" s="7" t="s">
        <v>24</v>
      </c>
      <c r="FI92" s="7" t="s">
        <v>24</v>
      </c>
      <c r="FJ92" s="7" t="s">
        <v>24</v>
      </c>
    </row>
    <row r="93" spans="1:166" s="11" customFormat="1" x14ac:dyDescent="0.2">
      <c r="A93"/>
      <c r="B93"/>
      <c r="C93" s="6"/>
      <c r="D93"/>
      <c r="E93" s="155"/>
      <c r="F93" s="155"/>
      <c r="G93" s="14"/>
      <c r="H93" s="7"/>
      <c r="I93" s="7"/>
      <c r="J93" s="7"/>
      <c r="K93" s="1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14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14"/>
      <c r="AN93" s="7"/>
      <c r="AO93" s="7"/>
      <c r="AP93" s="7"/>
      <c r="AQ93" s="14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14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14"/>
      <c r="BT93" s="7"/>
      <c r="BU93" s="7"/>
      <c r="BV93" s="7"/>
      <c r="BW93" s="14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14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14"/>
      <c r="CZ93" s="7"/>
      <c r="DA93" s="7"/>
      <c r="DB93" s="7"/>
      <c r="DC93" s="14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14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14"/>
      <c r="EF93" s="7"/>
      <c r="EG93" s="7"/>
      <c r="EH93" s="7"/>
      <c r="EI93" s="14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14"/>
      <c r="EX93" s="7"/>
      <c r="EY93" s="7"/>
      <c r="EZ93" s="7"/>
      <c r="FA93" s="7"/>
      <c r="FB93" s="7"/>
      <c r="FC93" s="7"/>
      <c r="FD93" s="10"/>
      <c r="FE93" s="7"/>
      <c r="FF93" s="7"/>
      <c r="FG93" s="7"/>
      <c r="FH93" s="7"/>
      <c r="FI93" s="7"/>
      <c r="FJ93" s="7"/>
    </row>
    <row r="94" spans="1:166" s="11" customFormat="1" x14ac:dyDescent="0.2">
      <c r="A94"/>
      <c r="B94"/>
      <c r="C94" s="6">
        <v>5</v>
      </c>
      <c r="D94" t="s">
        <v>40</v>
      </c>
      <c r="E94" s="155"/>
      <c r="F94" s="155"/>
      <c r="G94" s="45">
        <v>0.97917169999999998</v>
      </c>
      <c r="H94" s="7"/>
      <c r="I94" s="7"/>
      <c r="J94" s="7"/>
      <c r="K94" s="14" t="s">
        <v>24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45">
        <v>0.9917977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45">
        <v>0.97701150000000003</v>
      </c>
      <c r="AN94" s="7"/>
      <c r="AO94" s="7"/>
      <c r="AP94" s="7"/>
      <c r="AQ94" s="14" t="s">
        <v>24</v>
      </c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10">
        <v>0.99112020000000001</v>
      </c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10">
        <v>0.98132180000000002</v>
      </c>
      <c r="BT94" s="7"/>
      <c r="BU94" s="7"/>
      <c r="BV94" s="7"/>
      <c r="BW94" s="14" t="s">
        <v>24</v>
      </c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45">
        <v>0.9911141</v>
      </c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45">
        <v>0.98108240000000002</v>
      </c>
      <c r="CZ94" s="7"/>
      <c r="DA94" s="7"/>
      <c r="DB94" s="7"/>
      <c r="DC94" s="14" t="s">
        <v>24</v>
      </c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45">
        <v>0.9911141</v>
      </c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45">
        <v>0.96432850000000003</v>
      </c>
      <c r="EF94" s="7"/>
      <c r="EG94" s="7"/>
      <c r="EH94" s="7"/>
      <c r="EI94" s="14" t="s">
        <v>24</v>
      </c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14" t="s">
        <v>24</v>
      </c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</row>
    <row r="95" spans="1:166" s="11" customFormat="1" x14ac:dyDescent="0.2">
      <c r="A95"/>
      <c r="B95"/>
      <c r="C95" s="6">
        <v>5</v>
      </c>
      <c r="D95" t="s">
        <v>41</v>
      </c>
      <c r="E95" s="155"/>
      <c r="F95" s="155"/>
      <c r="G95" s="45">
        <v>0.97749039999999998</v>
      </c>
      <c r="H95" s="7"/>
      <c r="I95" s="7"/>
      <c r="J95" s="7"/>
      <c r="K95" s="14" t="s">
        <v>24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45">
        <v>0.99248119999999995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45">
        <v>0.98156129999999997</v>
      </c>
      <c r="AN95" s="7"/>
      <c r="AO95" s="7"/>
      <c r="AP95" s="7"/>
      <c r="AQ95" s="14" t="s">
        <v>24</v>
      </c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10">
        <v>0.99043720000000002</v>
      </c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10">
        <v>0.98084289999999996</v>
      </c>
      <c r="BT95" s="7"/>
      <c r="BU95" s="7"/>
      <c r="BV95" s="7"/>
      <c r="BW95" s="14" t="s">
        <v>24</v>
      </c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45">
        <v>0.9911141</v>
      </c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45">
        <v>0.97845340000000003</v>
      </c>
      <c r="CZ95" s="7"/>
      <c r="DA95" s="7"/>
      <c r="DB95" s="7"/>
      <c r="DC95" s="14" t="s">
        <v>24</v>
      </c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45">
        <v>0.99043720000000002</v>
      </c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45">
        <v>0.95977009999999996</v>
      </c>
      <c r="EF95" s="7"/>
      <c r="EG95" s="7"/>
      <c r="EH95" s="7"/>
      <c r="EI95" s="14" t="s">
        <v>24</v>
      </c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14" t="s">
        <v>24</v>
      </c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</row>
    <row r="96" spans="1:166" s="11" customFormat="1" x14ac:dyDescent="0.2">
      <c r="A96"/>
      <c r="B96"/>
      <c r="C96" s="6">
        <v>5</v>
      </c>
      <c r="D96" t="s">
        <v>42</v>
      </c>
      <c r="E96" s="155"/>
      <c r="F96" s="155"/>
      <c r="G96" s="45">
        <v>0.98395589999999999</v>
      </c>
      <c r="H96" s="7"/>
      <c r="I96" s="7"/>
      <c r="J96" s="7"/>
      <c r="K96" s="45" t="s">
        <v>24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45">
        <v>0.99044370000000004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45">
        <v>0.98012929999999998</v>
      </c>
      <c r="AN96" s="7"/>
      <c r="AO96" s="7"/>
      <c r="AP96" s="7"/>
      <c r="AQ96" s="45" t="s">
        <v>24</v>
      </c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10">
        <v>0.9911141</v>
      </c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10">
        <v>0.97965049999999998</v>
      </c>
      <c r="BT96" s="7"/>
      <c r="BU96" s="7"/>
      <c r="BV96" s="7"/>
      <c r="BW96" s="45" t="s">
        <v>24</v>
      </c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45">
        <v>0.99044370000000004</v>
      </c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45">
        <v>0.97964560000000001</v>
      </c>
      <c r="CZ96" s="7"/>
      <c r="DA96" s="7"/>
      <c r="DB96" s="7"/>
      <c r="DC96" s="45" t="s">
        <v>24</v>
      </c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45">
        <v>0.98907100000000003</v>
      </c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45">
        <v>0.96216480000000004</v>
      </c>
      <c r="EF96" s="7"/>
      <c r="EG96" s="7"/>
      <c r="EH96" s="7"/>
      <c r="EI96" s="45" t="s">
        <v>24</v>
      </c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45" t="s">
        <v>24</v>
      </c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</row>
    <row r="97" spans="1:166" s="11" customFormat="1" x14ac:dyDescent="0.2">
      <c r="A97"/>
      <c r="B97"/>
      <c r="C97" s="6">
        <v>5</v>
      </c>
      <c r="D97" t="s">
        <v>49</v>
      </c>
      <c r="E97" s="155"/>
      <c r="F97" s="155"/>
      <c r="G97" s="14">
        <f>AVERAGE(G94:G96)</f>
        <v>0.98020599999999991</v>
      </c>
      <c r="H97" s="7"/>
      <c r="I97" s="7"/>
      <c r="J97" s="7"/>
      <c r="K97" s="35" t="s">
        <v>24</v>
      </c>
      <c r="L97" s="7"/>
      <c r="M97" s="7"/>
      <c r="N97" s="7"/>
      <c r="O97" s="7" t="s">
        <v>24</v>
      </c>
      <c r="P97" s="10" t="s">
        <v>24</v>
      </c>
      <c r="Q97" s="45" t="s">
        <v>24</v>
      </c>
      <c r="R97" s="10" t="s">
        <v>24</v>
      </c>
      <c r="S97" s="10" t="s">
        <v>24</v>
      </c>
      <c r="T97" s="10" t="s">
        <v>24</v>
      </c>
      <c r="U97" s="7" t="s">
        <v>24</v>
      </c>
      <c r="V97" s="10" t="s">
        <v>24</v>
      </c>
      <c r="W97" s="7" t="s">
        <v>24</v>
      </c>
      <c r="X97" s="10" t="s">
        <v>24</v>
      </c>
      <c r="Y97" s="14">
        <f>AVERAGE(Y94:Y96)</f>
        <v>0.99157420000000007</v>
      </c>
      <c r="Z97" s="7"/>
      <c r="AA97" s="7"/>
      <c r="AB97" s="7"/>
      <c r="AC97" s="10">
        <v>4.6260000000000003E-2</v>
      </c>
      <c r="AD97" s="7">
        <v>0.5</v>
      </c>
      <c r="AE97" s="7">
        <v>0.5</v>
      </c>
      <c r="AF97" s="7">
        <v>0</v>
      </c>
      <c r="AG97" s="10">
        <v>0.51200000000000001</v>
      </c>
      <c r="AH97" s="10">
        <v>0.48799999999999999</v>
      </c>
      <c r="AI97" s="7">
        <v>0</v>
      </c>
      <c r="AJ97" s="10">
        <v>0.65696739999999998</v>
      </c>
      <c r="AK97" s="10">
        <v>0.33391369999999998</v>
      </c>
      <c r="AL97" s="10">
        <v>9.1189540000000003E-3</v>
      </c>
      <c r="AM97" s="14">
        <f>AVERAGE(AM94:AM96)</f>
        <v>0.97956736666666666</v>
      </c>
      <c r="AN97" s="7"/>
      <c r="AO97" s="7"/>
      <c r="AP97" s="7"/>
      <c r="AQ97" s="35" t="s">
        <v>24</v>
      </c>
      <c r="AR97" s="7"/>
      <c r="AS97" s="7"/>
      <c r="AT97" s="7"/>
      <c r="AU97" s="7" t="s">
        <v>24</v>
      </c>
      <c r="AV97" s="10" t="s">
        <v>24</v>
      </c>
      <c r="AW97" s="45" t="s">
        <v>24</v>
      </c>
      <c r="AX97" s="10" t="s">
        <v>24</v>
      </c>
      <c r="AY97" s="10" t="s">
        <v>24</v>
      </c>
      <c r="AZ97" s="10" t="s">
        <v>24</v>
      </c>
      <c r="BA97" s="7" t="s">
        <v>24</v>
      </c>
      <c r="BB97" s="10" t="s">
        <v>24</v>
      </c>
      <c r="BC97" s="7" t="s">
        <v>24</v>
      </c>
      <c r="BD97" s="10" t="s">
        <v>24</v>
      </c>
      <c r="BE97" s="14">
        <f>AVERAGE(BE94:BE96)</f>
        <v>0.99089050000000001</v>
      </c>
      <c r="BF97" s="7"/>
      <c r="BG97" s="7"/>
      <c r="BH97" s="7"/>
      <c r="BI97" s="10">
        <v>3.841E-2</v>
      </c>
      <c r="BJ97" s="7">
        <v>0.5</v>
      </c>
      <c r="BK97" s="10">
        <v>0.5</v>
      </c>
      <c r="BL97" s="7">
        <v>0</v>
      </c>
      <c r="BM97" s="10">
        <v>0.51046670000000005</v>
      </c>
      <c r="BN97" s="10">
        <v>0.4895333</v>
      </c>
      <c r="BO97" s="7">
        <v>0</v>
      </c>
      <c r="BP97" s="10">
        <v>0.59539980000000003</v>
      </c>
      <c r="BQ97" s="10">
        <v>0.39750730000000001</v>
      </c>
      <c r="BR97" s="10">
        <v>7.0928830000000003E-3</v>
      </c>
      <c r="BS97" s="14">
        <f>AVERAGE(BS94:BS96)</f>
        <v>0.98060506666666658</v>
      </c>
      <c r="BT97" s="7"/>
      <c r="BU97" s="7"/>
      <c r="BV97" s="7"/>
      <c r="BW97" s="35" t="s">
        <v>24</v>
      </c>
      <c r="BX97" s="7"/>
      <c r="BY97" s="7"/>
      <c r="BZ97" s="7"/>
      <c r="CA97" s="7" t="s">
        <v>24</v>
      </c>
      <c r="CB97" s="10" t="s">
        <v>24</v>
      </c>
      <c r="CC97" s="45" t="s">
        <v>24</v>
      </c>
      <c r="CD97" s="10" t="s">
        <v>24</v>
      </c>
      <c r="CE97" s="10" t="s">
        <v>24</v>
      </c>
      <c r="CF97" s="10" t="s">
        <v>24</v>
      </c>
      <c r="CG97" s="7" t="s">
        <v>24</v>
      </c>
      <c r="CH97" s="10" t="s">
        <v>24</v>
      </c>
      <c r="CI97" s="7" t="s">
        <v>24</v>
      </c>
      <c r="CJ97" s="10" t="s">
        <v>24</v>
      </c>
      <c r="CK97" s="14">
        <f>AVERAGE(CK94:CK96)</f>
        <v>0.99089063333333327</v>
      </c>
      <c r="CL97" s="7"/>
      <c r="CM97" s="7"/>
      <c r="CN97" s="7"/>
      <c r="CO97" s="10">
        <v>7.8870000000000003E-4</v>
      </c>
      <c r="CP97" s="7">
        <v>0.5</v>
      </c>
      <c r="CQ97" s="7">
        <v>0.5</v>
      </c>
      <c r="CR97" s="7">
        <v>0</v>
      </c>
      <c r="CS97" s="10">
        <v>0.69593329999999998</v>
      </c>
      <c r="CT97" s="10">
        <v>0.30406670000000002</v>
      </c>
      <c r="CU97" s="7">
        <v>0</v>
      </c>
      <c r="CV97" s="10">
        <v>0.75884660000000004</v>
      </c>
      <c r="CW97" s="10">
        <v>0.24101810000000001</v>
      </c>
      <c r="CX97" s="10">
        <v>1.3527990000000001E-4</v>
      </c>
      <c r="CY97" s="14">
        <f>AVERAGE(CY94:CY96)</f>
        <v>0.97972713333333328</v>
      </c>
      <c r="CZ97" s="7"/>
      <c r="DA97" s="7"/>
      <c r="DB97" s="7"/>
      <c r="DC97" s="37" t="s">
        <v>24</v>
      </c>
      <c r="DD97" s="7"/>
      <c r="DE97" s="7"/>
      <c r="DF97" s="7"/>
      <c r="DG97" s="7" t="s">
        <v>24</v>
      </c>
      <c r="DH97" s="10" t="s">
        <v>24</v>
      </c>
      <c r="DI97" s="45" t="s">
        <v>24</v>
      </c>
      <c r="DJ97" s="10" t="s">
        <v>24</v>
      </c>
      <c r="DK97" s="10" t="s">
        <v>24</v>
      </c>
      <c r="DL97" s="10" t="s">
        <v>24</v>
      </c>
      <c r="DM97" s="7" t="s">
        <v>24</v>
      </c>
      <c r="DN97" s="10" t="s">
        <v>24</v>
      </c>
      <c r="DO97" s="7" t="s">
        <v>24</v>
      </c>
      <c r="DP97" s="10" t="s">
        <v>24</v>
      </c>
      <c r="DQ97" s="14">
        <f>AVERAGE(DQ94:DQ96)</f>
        <v>0.99020743333333339</v>
      </c>
      <c r="DR97" s="7"/>
      <c r="DS97" s="7"/>
      <c r="DT97" s="7"/>
      <c r="DU97" s="10">
        <v>5.3800000000000002E-3</v>
      </c>
      <c r="DV97" s="7">
        <v>0.5</v>
      </c>
      <c r="DW97" s="7">
        <v>0.5</v>
      </c>
      <c r="DX97" s="7">
        <v>0</v>
      </c>
      <c r="DY97" s="10">
        <v>0.51593330000000004</v>
      </c>
      <c r="DZ97" s="10">
        <v>0.48406670000000002</v>
      </c>
      <c r="EA97" s="7">
        <v>0</v>
      </c>
      <c r="EB97" s="10">
        <v>0.67805400000000005</v>
      </c>
      <c r="EC97" s="10">
        <v>0.32100190000000001</v>
      </c>
      <c r="ED97" s="10">
        <v>9.4412369999999997E-4</v>
      </c>
      <c r="EE97" s="14">
        <f>AVERAGE(EE94:EE96)</f>
        <v>0.96208779999999994</v>
      </c>
      <c r="EF97" s="7"/>
      <c r="EG97" s="7"/>
      <c r="EH97" s="7"/>
      <c r="EI97" s="35" t="s">
        <v>24</v>
      </c>
      <c r="EJ97" s="7"/>
      <c r="EK97" s="7"/>
      <c r="EL97" s="7"/>
      <c r="EM97" s="7" t="s">
        <v>24</v>
      </c>
      <c r="EN97" s="10" t="s">
        <v>24</v>
      </c>
      <c r="EO97" s="45" t="s">
        <v>24</v>
      </c>
      <c r="EP97" s="10" t="s">
        <v>24</v>
      </c>
      <c r="EQ97" s="10" t="s">
        <v>24</v>
      </c>
      <c r="ER97" s="10" t="s">
        <v>24</v>
      </c>
      <c r="ES97" s="7" t="s">
        <v>24</v>
      </c>
      <c r="ET97" s="10" t="s">
        <v>24</v>
      </c>
      <c r="EU97" s="7" t="s">
        <v>24</v>
      </c>
      <c r="EV97" s="10" t="s">
        <v>24</v>
      </c>
      <c r="EW97" s="35" t="s">
        <v>24</v>
      </c>
      <c r="EX97" s="7"/>
      <c r="EY97" s="7"/>
      <c r="EZ97" s="7"/>
      <c r="FA97" s="7" t="s">
        <v>24</v>
      </c>
      <c r="FB97" s="10" t="s">
        <v>24</v>
      </c>
      <c r="FC97" s="45" t="s">
        <v>24</v>
      </c>
      <c r="FD97" s="10" t="s">
        <v>24</v>
      </c>
      <c r="FE97" s="10" t="s">
        <v>24</v>
      </c>
      <c r="FF97" s="10" t="s">
        <v>24</v>
      </c>
      <c r="FG97" s="7" t="s">
        <v>24</v>
      </c>
      <c r="FH97" s="10" t="s">
        <v>24</v>
      </c>
      <c r="FI97" s="7" t="s">
        <v>24</v>
      </c>
      <c r="FJ97" s="10" t="s">
        <v>24</v>
      </c>
    </row>
    <row r="98" spans="1:166" s="11" customFormat="1" x14ac:dyDescent="0.2">
      <c r="A98"/>
      <c r="B98"/>
      <c r="C98" s="6">
        <v>5</v>
      </c>
      <c r="D98" t="s">
        <v>43</v>
      </c>
      <c r="E98" s="155"/>
      <c r="F98" s="155"/>
      <c r="G98" s="12">
        <v>0.97970000000000002</v>
      </c>
      <c r="H98" s="9">
        <v>0.98378489999999996</v>
      </c>
      <c r="I98" s="9">
        <v>0.99377979999999999</v>
      </c>
      <c r="J98" s="9">
        <v>0.98875710000000006</v>
      </c>
      <c r="K98" s="45" t="s">
        <v>24</v>
      </c>
      <c r="L98" s="10" t="s">
        <v>24</v>
      </c>
      <c r="M98" s="10" t="s">
        <v>24</v>
      </c>
      <c r="N98" s="10" t="s">
        <v>24</v>
      </c>
      <c r="O98" s="7" t="s">
        <v>24</v>
      </c>
      <c r="P98" s="10" t="s">
        <v>24</v>
      </c>
      <c r="Q98" s="45" t="s">
        <v>24</v>
      </c>
      <c r="R98" s="10" t="s">
        <v>24</v>
      </c>
      <c r="S98" s="10" t="s">
        <v>24</v>
      </c>
      <c r="T98" s="10" t="s">
        <v>24</v>
      </c>
      <c r="U98" s="7" t="s">
        <v>24</v>
      </c>
      <c r="V98" s="10" t="s">
        <v>24</v>
      </c>
      <c r="W98" s="7" t="s">
        <v>24</v>
      </c>
      <c r="X98" s="10" t="s">
        <v>24</v>
      </c>
      <c r="Y98" s="12">
        <v>0.92959999999999998</v>
      </c>
      <c r="Z98" s="9">
        <v>0.92946859999999998</v>
      </c>
      <c r="AA98" s="9">
        <v>0.99730459999999999</v>
      </c>
      <c r="AB98" s="10">
        <v>0.96219239999999995</v>
      </c>
      <c r="AC98" s="7" t="s">
        <v>24</v>
      </c>
      <c r="AD98" s="10">
        <v>0</v>
      </c>
      <c r="AE98" s="7">
        <v>0.5</v>
      </c>
      <c r="AF98" s="7">
        <v>0.5</v>
      </c>
      <c r="AG98" s="7">
        <v>0</v>
      </c>
      <c r="AH98" s="9">
        <v>0.15816669999999999</v>
      </c>
      <c r="AI98" s="9">
        <v>0.84183330000000001</v>
      </c>
      <c r="AJ98" s="7" t="s">
        <v>24</v>
      </c>
      <c r="AK98" s="7" t="s">
        <v>24</v>
      </c>
      <c r="AL98" s="7" t="s">
        <v>24</v>
      </c>
      <c r="AM98" s="12">
        <v>0.97689999999999999</v>
      </c>
      <c r="AN98" s="9">
        <v>0.97880579999999995</v>
      </c>
      <c r="AO98" s="9">
        <v>0.99585319999999999</v>
      </c>
      <c r="AP98" s="9">
        <v>0.98725589999999996</v>
      </c>
      <c r="AQ98" s="45" t="s">
        <v>24</v>
      </c>
      <c r="AR98" s="10" t="s">
        <v>24</v>
      </c>
      <c r="AS98" s="10" t="s">
        <v>24</v>
      </c>
      <c r="AT98" s="10" t="s">
        <v>24</v>
      </c>
      <c r="AU98" s="7" t="s">
        <v>24</v>
      </c>
      <c r="AV98" s="10" t="s">
        <v>24</v>
      </c>
      <c r="AW98" s="45" t="s">
        <v>24</v>
      </c>
      <c r="AX98" s="10" t="s">
        <v>24</v>
      </c>
      <c r="AY98" s="10" t="s">
        <v>24</v>
      </c>
      <c r="AZ98" s="10" t="s">
        <v>24</v>
      </c>
      <c r="BA98" s="7" t="s">
        <v>24</v>
      </c>
      <c r="BB98" s="10" t="s">
        <v>24</v>
      </c>
      <c r="BC98" s="7" t="s">
        <v>24</v>
      </c>
      <c r="BD98" s="10" t="s">
        <v>24</v>
      </c>
      <c r="BE98" s="9">
        <v>0.89829999999999999</v>
      </c>
      <c r="BF98" s="9">
        <v>0.89830509999999997</v>
      </c>
      <c r="BG98" s="7">
        <v>1</v>
      </c>
      <c r="BH98" s="10">
        <v>0.94642859999999995</v>
      </c>
      <c r="BI98" s="7" t="s">
        <v>24</v>
      </c>
      <c r="BJ98" s="10">
        <v>0</v>
      </c>
      <c r="BK98" s="7">
        <v>0.5</v>
      </c>
      <c r="BL98" s="10">
        <v>0.5</v>
      </c>
      <c r="BM98" s="7">
        <v>0</v>
      </c>
      <c r="BN98" s="9">
        <v>0.1593667</v>
      </c>
      <c r="BO98" s="9">
        <v>0.84063330000000003</v>
      </c>
      <c r="BP98" s="7" t="s">
        <v>24</v>
      </c>
      <c r="BQ98" s="7" t="s">
        <v>24</v>
      </c>
      <c r="BR98" s="7" t="s">
        <v>24</v>
      </c>
      <c r="BS98" s="9">
        <v>0.97989999999999999</v>
      </c>
      <c r="BT98" s="9">
        <v>0.98458380000000001</v>
      </c>
      <c r="BU98" s="9">
        <v>0.99315779999999998</v>
      </c>
      <c r="BV98" s="9">
        <v>0.98885219999999996</v>
      </c>
      <c r="BW98" s="45" t="s">
        <v>24</v>
      </c>
      <c r="BX98" s="10" t="s">
        <v>24</v>
      </c>
      <c r="BY98" s="10" t="s">
        <v>24</v>
      </c>
      <c r="BZ98" s="10" t="s">
        <v>24</v>
      </c>
      <c r="CA98" s="7" t="s">
        <v>24</v>
      </c>
      <c r="CB98" s="10" t="s">
        <v>24</v>
      </c>
      <c r="CC98" s="45" t="s">
        <v>24</v>
      </c>
      <c r="CD98" s="10" t="s">
        <v>24</v>
      </c>
      <c r="CE98" s="10" t="s">
        <v>24</v>
      </c>
      <c r="CF98" s="10" t="s">
        <v>24</v>
      </c>
      <c r="CG98" s="7" t="s">
        <v>24</v>
      </c>
      <c r="CH98" s="10" t="s">
        <v>24</v>
      </c>
      <c r="CI98" s="7" t="s">
        <v>24</v>
      </c>
      <c r="CJ98" s="10" t="s">
        <v>24</v>
      </c>
      <c r="CK98" s="12">
        <v>0.89829999999999999</v>
      </c>
      <c r="CL98" s="9">
        <v>0.89830509999999997</v>
      </c>
      <c r="CM98" s="9">
        <v>1</v>
      </c>
      <c r="CN98" s="10">
        <v>0.94642859999999995</v>
      </c>
      <c r="CO98" s="7" t="s">
        <v>24</v>
      </c>
      <c r="CP98" s="7">
        <v>0</v>
      </c>
      <c r="CQ98" s="33">
        <v>0.5</v>
      </c>
      <c r="CR98" s="7">
        <v>0.5</v>
      </c>
      <c r="CS98" s="7">
        <v>0</v>
      </c>
      <c r="CT98" s="9">
        <v>0.15703329999999999</v>
      </c>
      <c r="CU98" s="9">
        <v>0.84296669999999996</v>
      </c>
      <c r="CV98" s="7" t="s">
        <v>24</v>
      </c>
      <c r="CW98" s="7" t="s">
        <v>24</v>
      </c>
      <c r="CX98" s="7" t="s">
        <v>24</v>
      </c>
      <c r="CY98" s="12">
        <v>0.9778</v>
      </c>
      <c r="CZ98" s="9">
        <v>0.98157249999999996</v>
      </c>
      <c r="DA98" s="9">
        <v>0.99398710000000001</v>
      </c>
      <c r="DB98" s="10">
        <v>0.98774079999999997</v>
      </c>
      <c r="DC98" s="45" t="s">
        <v>24</v>
      </c>
      <c r="DD98" s="10" t="s">
        <v>24</v>
      </c>
      <c r="DE98" s="10" t="s">
        <v>24</v>
      </c>
      <c r="DF98" s="10" t="s">
        <v>24</v>
      </c>
      <c r="DG98" s="7" t="s">
        <v>24</v>
      </c>
      <c r="DH98" s="10" t="s">
        <v>24</v>
      </c>
      <c r="DI98" s="45" t="s">
        <v>24</v>
      </c>
      <c r="DJ98" s="10" t="s">
        <v>24</v>
      </c>
      <c r="DK98" s="10" t="s">
        <v>24</v>
      </c>
      <c r="DL98" s="10" t="s">
        <v>24</v>
      </c>
      <c r="DM98" s="7" t="s">
        <v>24</v>
      </c>
      <c r="DN98" s="10" t="s">
        <v>24</v>
      </c>
      <c r="DO98" s="7" t="s">
        <v>24</v>
      </c>
      <c r="DP98" s="10" t="s">
        <v>24</v>
      </c>
      <c r="DQ98" s="12">
        <v>0.93330000000000002</v>
      </c>
      <c r="DR98" s="9">
        <v>0.98840519999999998</v>
      </c>
      <c r="DS98" s="9">
        <v>0.93676139999999997</v>
      </c>
      <c r="DT98" s="10">
        <v>0.96189060000000004</v>
      </c>
      <c r="DU98" s="7" t="s">
        <v>24</v>
      </c>
      <c r="DV98" s="7">
        <v>0</v>
      </c>
      <c r="DW98" s="7">
        <v>0.5</v>
      </c>
      <c r="DX98" s="7">
        <v>0.5</v>
      </c>
      <c r="DY98" s="10">
        <v>0</v>
      </c>
      <c r="DZ98" s="9">
        <v>0.1559333</v>
      </c>
      <c r="EA98" s="9">
        <v>0.84406669999999995</v>
      </c>
      <c r="EB98" s="7" t="s">
        <v>24</v>
      </c>
      <c r="EC98" s="7" t="s">
        <v>24</v>
      </c>
      <c r="ED98" s="7" t="s">
        <v>24</v>
      </c>
      <c r="EE98" s="12">
        <v>0.96179999999999999</v>
      </c>
      <c r="EF98" s="9">
        <v>0.98447340000000005</v>
      </c>
      <c r="EG98" s="9">
        <v>0.97283850000000005</v>
      </c>
      <c r="EH98" s="10">
        <v>0.97862130000000003</v>
      </c>
      <c r="EI98" s="45" t="s">
        <v>24</v>
      </c>
      <c r="EJ98" s="10" t="s">
        <v>24</v>
      </c>
      <c r="EK98" s="10" t="s">
        <v>24</v>
      </c>
      <c r="EL98" s="10" t="s">
        <v>24</v>
      </c>
      <c r="EM98" s="7" t="s">
        <v>24</v>
      </c>
      <c r="EN98" s="10" t="s">
        <v>24</v>
      </c>
      <c r="EO98" s="45" t="s">
        <v>24</v>
      </c>
      <c r="EP98" s="10" t="s">
        <v>24</v>
      </c>
      <c r="EQ98" s="10" t="s">
        <v>24</v>
      </c>
      <c r="ER98" s="10" t="s">
        <v>24</v>
      </c>
      <c r="ES98" s="7" t="s">
        <v>24</v>
      </c>
      <c r="ET98" s="10" t="s">
        <v>24</v>
      </c>
      <c r="EU98" s="7" t="s">
        <v>24</v>
      </c>
      <c r="EV98" s="10" t="s">
        <v>24</v>
      </c>
      <c r="EW98" s="45" t="s">
        <v>24</v>
      </c>
      <c r="EX98" s="10" t="s">
        <v>24</v>
      </c>
      <c r="EY98" s="10" t="s">
        <v>24</v>
      </c>
      <c r="EZ98" s="10" t="s">
        <v>24</v>
      </c>
      <c r="FA98" s="7" t="s">
        <v>24</v>
      </c>
      <c r="FB98" s="10" t="s">
        <v>24</v>
      </c>
      <c r="FC98" s="45" t="s">
        <v>24</v>
      </c>
      <c r="FD98" s="10" t="s">
        <v>24</v>
      </c>
      <c r="FE98" s="10" t="s">
        <v>24</v>
      </c>
      <c r="FF98" s="10" t="s">
        <v>24</v>
      </c>
      <c r="FG98" s="7" t="s">
        <v>24</v>
      </c>
      <c r="FH98" s="10" t="s">
        <v>24</v>
      </c>
      <c r="FI98" s="7" t="s">
        <v>24</v>
      </c>
      <c r="FJ98" s="10" t="s">
        <v>24</v>
      </c>
    </row>
    <row r="99" spans="1:166" x14ac:dyDescent="0.2">
      <c r="FD99" s="7"/>
    </row>
  </sheetData>
  <mergeCells count="14">
    <mergeCell ref="EE1:EH1"/>
    <mergeCell ref="G2:J2"/>
    <mergeCell ref="K2:X2"/>
    <mergeCell ref="Y2:AB2"/>
    <mergeCell ref="AM2:AP2"/>
    <mergeCell ref="BS2:BV2"/>
    <mergeCell ref="CY2:DB2"/>
    <mergeCell ref="EE2:EH2"/>
    <mergeCell ref="G1:J1"/>
    <mergeCell ref="K1:X1"/>
    <mergeCell ref="Y1:AB1"/>
    <mergeCell ref="AM1:AP1"/>
    <mergeCell ref="BS1:BV1"/>
    <mergeCell ref="CY1:DB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D92B-80A5-7744-B8BC-21E66ED47CA7}">
  <dimension ref="A1:FK99"/>
  <sheetViews>
    <sheetView zoomScale="130" zoomScaleNormal="130" workbookViewId="0">
      <pane xSplit="4" ySplit="3" topLeftCell="EV35" activePane="bottomRight" state="frozen"/>
      <selection pane="topRight" activeCell="E1" sqref="E1"/>
      <selection pane="bottomLeft" activeCell="A4" sqref="A4"/>
      <selection pane="bottomRight" activeCell="EX60" sqref="EX60:EZ60"/>
    </sheetView>
  </sheetViews>
  <sheetFormatPr baseColWidth="10" defaultColWidth="11" defaultRowHeight="16" x14ac:dyDescent="0.2"/>
  <cols>
    <col min="2" max="2" width="31.83203125" customWidth="1"/>
    <col min="7" max="7" width="10.83203125" style="11"/>
    <col min="11" max="11" width="10.83203125" style="11"/>
    <col min="25" max="25" width="10.83203125" style="11"/>
    <col min="39" max="39" width="10.83203125" style="11"/>
    <col min="40" max="41" width="10.83203125"/>
    <col min="42" max="42" width="10.83203125" style="15"/>
    <col min="43" max="43" width="13.33203125" customWidth="1"/>
    <col min="57" max="57" width="13.33203125" style="11" customWidth="1"/>
    <col min="71" max="71" width="10.83203125" style="11"/>
    <col min="75" max="75" width="10.83203125" style="11"/>
    <col min="89" max="89" width="13.5" style="11" customWidth="1"/>
    <col min="103" max="103" width="10.83203125" style="11"/>
    <col min="104" max="106" width="10.83203125"/>
    <col min="107" max="107" width="10.83203125" style="11"/>
    <col min="108" max="119" width="10.83203125"/>
    <col min="121" max="121" width="13.5" style="11" customWidth="1"/>
    <col min="135" max="135" width="10.83203125" style="11"/>
    <col min="139" max="139" width="10.83203125" style="11"/>
    <col min="153" max="153" width="10.83203125" style="11"/>
    <col min="167" max="167" width="10.83203125" style="11"/>
  </cols>
  <sheetData>
    <row r="1" spans="2:166" x14ac:dyDescent="0.2">
      <c r="G1" s="219" t="s">
        <v>14</v>
      </c>
      <c r="H1" s="219"/>
      <c r="I1" s="219"/>
      <c r="J1" s="219"/>
      <c r="K1" s="219" t="s">
        <v>51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 t="s">
        <v>59</v>
      </c>
      <c r="Z1" s="219"/>
      <c r="AA1" s="219"/>
      <c r="AB1" s="219"/>
      <c r="AC1" s="6"/>
      <c r="AE1" s="6"/>
      <c r="AF1" s="6"/>
      <c r="AH1" s="6"/>
      <c r="AI1" s="6"/>
      <c r="AK1" s="6"/>
      <c r="AL1" s="6"/>
      <c r="AM1" s="218" t="s">
        <v>14</v>
      </c>
      <c r="AN1" s="219"/>
      <c r="AO1" s="219"/>
      <c r="AP1" s="220"/>
      <c r="AQ1" t="s">
        <v>62</v>
      </c>
      <c r="BE1" s="11" t="s">
        <v>61</v>
      </c>
      <c r="BS1" s="219" t="s">
        <v>14</v>
      </c>
      <c r="BT1" s="219"/>
      <c r="BU1" s="219"/>
      <c r="BV1" s="219"/>
      <c r="BW1" s="11" t="s">
        <v>63</v>
      </c>
      <c r="CA1" s="6"/>
      <c r="CB1" s="6"/>
      <c r="CC1" s="6"/>
      <c r="CD1" s="6"/>
      <c r="CE1" s="6"/>
      <c r="CF1" s="6"/>
      <c r="CG1" s="6"/>
      <c r="CH1" s="6"/>
      <c r="CI1" s="6"/>
      <c r="CJ1" s="6"/>
      <c r="CK1" s="11" t="s">
        <v>64</v>
      </c>
      <c r="CO1" s="6"/>
      <c r="CP1" s="6"/>
      <c r="CQ1" s="6"/>
      <c r="CR1" s="6"/>
      <c r="CS1" s="6"/>
      <c r="CT1" s="6"/>
      <c r="CU1" s="6"/>
      <c r="CV1" s="6"/>
      <c r="CW1" s="6"/>
      <c r="CX1" s="6"/>
      <c r="CY1" s="219" t="s">
        <v>14</v>
      </c>
      <c r="CZ1" s="219"/>
      <c r="DA1" s="219"/>
      <c r="DB1" s="220"/>
      <c r="DC1" s="11" t="s">
        <v>63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11" t="s">
        <v>64</v>
      </c>
      <c r="DU1" s="6"/>
      <c r="DV1" s="6"/>
      <c r="DW1" s="6"/>
      <c r="DX1" s="6"/>
      <c r="DY1" s="6"/>
      <c r="DZ1" s="6"/>
      <c r="EA1" s="6"/>
      <c r="EB1" s="6"/>
      <c r="EC1" s="6"/>
      <c r="ED1" s="6"/>
      <c r="EE1" s="218" t="s">
        <v>14</v>
      </c>
      <c r="EF1" s="219"/>
      <c r="EG1" s="219"/>
      <c r="EH1" s="220"/>
      <c r="EI1" s="11" t="s">
        <v>63</v>
      </c>
      <c r="EM1" s="6"/>
      <c r="EN1" s="6"/>
      <c r="EO1" s="6"/>
      <c r="EP1" s="6"/>
      <c r="EQ1" s="6"/>
      <c r="ER1" s="6"/>
      <c r="ES1" s="6"/>
      <c r="ET1" s="6"/>
      <c r="EU1" s="6"/>
      <c r="EV1" s="6"/>
      <c r="EW1" s="11" t="s">
        <v>64</v>
      </c>
      <c r="FA1" s="6"/>
      <c r="FB1" s="6"/>
      <c r="FC1" s="6"/>
      <c r="FD1" s="6"/>
      <c r="FE1" s="6"/>
      <c r="FF1" s="6"/>
      <c r="FG1" s="6"/>
      <c r="FH1" s="6"/>
      <c r="FI1" s="6"/>
      <c r="FJ1" s="6"/>
    </row>
    <row r="2" spans="2:166" x14ac:dyDescent="0.2">
      <c r="G2" s="219" t="s">
        <v>45</v>
      </c>
      <c r="H2" s="219"/>
      <c r="I2" s="219"/>
      <c r="J2" s="219"/>
      <c r="K2" s="219" t="s">
        <v>45</v>
      </c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 t="s">
        <v>45</v>
      </c>
      <c r="Z2" s="219"/>
      <c r="AA2" s="219"/>
      <c r="AB2" s="219"/>
      <c r="AC2" s="6"/>
      <c r="AE2" s="6"/>
      <c r="AF2" s="6"/>
      <c r="AH2" s="6"/>
      <c r="AI2" s="6"/>
      <c r="AK2" s="6"/>
      <c r="AL2" s="6"/>
      <c r="AM2" s="218" t="s">
        <v>46</v>
      </c>
      <c r="AN2" s="219"/>
      <c r="AO2" s="219"/>
      <c r="AP2" s="220"/>
      <c r="AQ2" t="s">
        <v>46</v>
      </c>
      <c r="BE2" s="11" t="s">
        <v>46</v>
      </c>
      <c r="BS2" s="219" t="s">
        <v>50</v>
      </c>
      <c r="BT2" s="219"/>
      <c r="BU2" s="219"/>
      <c r="BV2" s="219"/>
      <c r="BW2" s="18" t="s">
        <v>50</v>
      </c>
      <c r="CA2" s="6"/>
      <c r="CB2" s="6"/>
      <c r="CC2" s="6"/>
      <c r="CD2" s="6"/>
      <c r="CE2" s="6"/>
      <c r="CF2" s="6"/>
      <c r="CG2" s="6"/>
      <c r="CH2" s="6"/>
      <c r="CI2" s="6"/>
      <c r="CJ2" s="6"/>
      <c r="CK2" s="18" t="s">
        <v>50</v>
      </c>
      <c r="CO2" s="6"/>
      <c r="CP2" s="6"/>
      <c r="CQ2" s="6"/>
      <c r="CR2" s="6"/>
      <c r="CS2" s="6"/>
      <c r="CT2" s="6"/>
      <c r="CU2" s="6"/>
      <c r="CV2" s="6"/>
      <c r="CW2" s="6"/>
      <c r="CX2" s="6"/>
      <c r="CY2" s="219" t="s">
        <v>47</v>
      </c>
      <c r="CZ2" s="219"/>
      <c r="DA2" s="219"/>
      <c r="DB2" s="220"/>
      <c r="DC2" s="18" t="s">
        <v>47</v>
      </c>
      <c r="DG2" s="6"/>
      <c r="DH2" s="6"/>
      <c r="DI2" s="6"/>
      <c r="DJ2" s="6"/>
      <c r="DK2" s="6"/>
      <c r="DL2" s="6"/>
      <c r="DM2" s="6"/>
      <c r="DN2" s="6"/>
      <c r="DO2" s="6"/>
      <c r="DP2" s="6"/>
      <c r="DQ2" s="18" t="s">
        <v>47</v>
      </c>
      <c r="DU2" s="6"/>
      <c r="DV2" s="6"/>
      <c r="DW2" s="6"/>
      <c r="DX2" s="6"/>
      <c r="DY2" s="6"/>
      <c r="DZ2" s="6"/>
      <c r="EA2" s="6"/>
      <c r="EB2" s="6"/>
      <c r="EC2" s="6"/>
      <c r="ED2" s="6"/>
      <c r="EE2" s="218" t="s">
        <v>65</v>
      </c>
      <c r="EF2" s="219"/>
      <c r="EG2" s="219"/>
      <c r="EH2" s="220"/>
      <c r="EI2" s="18" t="s">
        <v>48</v>
      </c>
      <c r="EM2" s="6"/>
      <c r="EN2" s="6"/>
      <c r="EO2" s="6"/>
      <c r="EP2" s="6"/>
      <c r="EQ2" s="6"/>
      <c r="ER2" s="6"/>
      <c r="ES2" s="6"/>
      <c r="ET2" s="6"/>
      <c r="EU2" s="6"/>
      <c r="EV2" s="6"/>
      <c r="EW2" s="18" t="s">
        <v>48</v>
      </c>
      <c r="FA2" s="6"/>
      <c r="FB2" s="6"/>
      <c r="FC2" s="6"/>
      <c r="FD2" s="6"/>
      <c r="FE2" s="6"/>
      <c r="FF2" s="6"/>
      <c r="FG2" s="6"/>
      <c r="FH2" s="6"/>
      <c r="FI2" s="6"/>
      <c r="FJ2" s="6"/>
    </row>
    <row r="3" spans="2:166" x14ac:dyDescent="0.2">
      <c r="B3" s="2" t="s">
        <v>0</v>
      </c>
      <c r="C3" t="s">
        <v>44</v>
      </c>
      <c r="D3" t="s">
        <v>39</v>
      </c>
      <c r="E3" s="1" t="s">
        <v>1</v>
      </c>
      <c r="F3" s="1" t="s">
        <v>2</v>
      </c>
      <c r="G3" s="11" t="s">
        <v>176</v>
      </c>
      <c r="H3" t="s">
        <v>36</v>
      </c>
      <c r="I3" t="s">
        <v>37</v>
      </c>
      <c r="J3" t="s">
        <v>38</v>
      </c>
      <c r="K3" s="11" t="s">
        <v>176</v>
      </c>
      <c r="L3" t="s">
        <v>36</v>
      </c>
      <c r="M3" t="s">
        <v>37</v>
      </c>
      <c r="N3" t="s">
        <v>38</v>
      </c>
      <c r="O3" s="6" t="s">
        <v>58</v>
      </c>
      <c r="P3" s="6" t="s">
        <v>52</v>
      </c>
      <c r="Q3" s="6"/>
      <c r="R3" s="6"/>
      <c r="S3" s="6" t="s">
        <v>53</v>
      </c>
      <c r="T3" s="6"/>
      <c r="U3" s="6"/>
      <c r="V3" s="6" t="s">
        <v>54</v>
      </c>
      <c r="W3" s="6"/>
      <c r="X3" s="6"/>
      <c r="Y3" s="11" t="s">
        <v>176</v>
      </c>
      <c r="Z3" t="s">
        <v>36</v>
      </c>
      <c r="AA3" t="s">
        <v>37</v>
      </c>
      <c r="AB3" t="s">
        <v>38</v>
      </c>
      <c r="AC3" s="6" t="s">
        <v>58</v>
      </c>
      <c r="AD3" s="6" t="s">
        <v>52</v>
      </c>
      <c r="AE3" s="6"/>
      <c r="AF3" s="6"/>
      <c r="AG3" s="6" t="s">
        <v>53</v>
      </c>
      <c r="AH3" s="6"/>
      <c r="AI3" s="6"/>
      <c r="AJ3" s="6" t="s">
        <v>54</v>
      </c>
      <c r="AK3" s="6"/>
      <c r="AL3" s="6"/>
      <c r="AM3" s="11" t="s">
        <v>176</v>
      </c>
      <c r="AN3" t="s">
        <v>36</v>
      </c>
      <c r="AO3" t="s">
        <v>37</v>
      </c>
      <c r="AP3" s="15" t="s">
        <v>38</v>
      </c>
      <c r="AQ3" s="11" t="s">
        <v>176</v>
      </c>
      <c r="AR3" t="s">
        <v>36</v>
      </c>
      <c r="AS3" t="s">
        <v>37</v>
      </c>
      <c r="AT3" t="s">
        <v>38</v>
      </c>
      <c r="AU3" s="6" t="s">
        <v>58</v>
      </c>
      <c r="AV3" s="6" t="s">
        <v>52</v>
      </c>
      <c r="AW3" s="6"/>
      <c r="AX3" s="6"/>
      <c r="AY3" s="6" t="s">
        <v>53</v>
      </c>
      <c r="AZ3" s="6"/>
      <c r="BA3" s="6"/>
      <c r="BB3" s="6" t="s">
        <v>54</v>
      </c>
      <c r="BC3" s="6"/>
      <c r="BD3" s="6"/>
      <c r="BE3" s="11" t="s">
        <v>176</v>
      </c>
      <c r="BF3" t="s">
        <v>36</v>
      </c>
      <c r="BG3" t="s">
        <v>37</v>
      </c>
      <c r="BH3" t="s">
        <v>38</v>
      </c>
      <c r="BI3" s="6" t="s">
        <v>58</v>
      </c>
      <c r="BJ3" s="6" t="s">
        <v>52</v>
      </c>
      <c r="BK3" s="6"/>
      <c r="BL3" s="6"/>
      <c r="BM3" s="6" t="s">
        <v>53</v>
      </c>
      <c r="BN3" s="6"/>
      <c r="BO3" s="6"/>
      <c r="BP3" s="6" t="s">
        <v>54</v>
      </c>
      <c r="BQ3" s="6"/>
      <c r="BR3" s="6"/>
      <c r="BS3" s="11" t="s">
        <v>176</v>
      </c>
      <c r="BT3" t="s">
        <v>36</v>
      </c>
      <c r="BU3" t="s">
        <v>37</v>
      </c>
      <c r="BV3" t="s">
        <v>38</v>
      </c>
      <c r="BW3" s="11" t="s">
        <v>176</v>
      </c>
      <c r="BX3" t="s">
        <v>36</v>
      </c>
      <c r="BY3" t="s">
        <v>37</v>
      </c>
      <c r="BZ3" t="s">
        <v>38</v>
      </c>
      <c r="CA3" s="6" t="s">
        <v>58</v>
      </c>
      <c r="CB3" s="6" t="s">
        <v>52</v>
      </c>
      <c r="CC3" s="6"/>
      <c r="CD3" s="6"/>
      <c r="CE3" s="6" t="s">
        <v>53</v>
      </c>
      <c r="CF3" s="6"/>
      <c r="CG3" s="6"/>
      <c r="CH3" s="6" t="s">
        <v>54</v>
      </c>
      <c r="CI3" s="6"/>
      <c r="CJ3" s="6"/>
      <c r="CK3" s="11" t="s">
        <v>176</v>
      </c>
      <c r="CL3" t="s">
        <v>36</v>
      </c>
      <c r="CM3" t="s">
        <v>37</v>
      </c>
      <c r="CN3" t="s">
        <v>38</v>
      </c>
      <c r="CO3" s="6" t="s">
        <v>58</v>
      </c>
      <c r="CP3" s="6" t="s">
        <v>52</v>
      </c>
      <c r="CQ3" s="6"/>
      <c r="CR3" s="6"/>
      <c r="CS3" s="6" t="s">
        <v>53</v>
      </c>
      <c r="CT3" s="6"/>
      <c r="CU3" s="6"/>
      <c r="CV3" s="6" t="s">
        <v>54</v>
      </c>
      <c r="CW3" s="6"/>
      <c r="CX3" s="6"/>
      <c r="CY3" s="11" t="s">
        <v>176</v>
      </c>
      <c r="CZ3" t="s">
        <v>36</v>
      </c>
      <c r="DA3" t="s">
        <v>37</v>
      </c>
      <c r="DB3" t="s">
        <v>38</v>
      </c>
      <c r="DC3" s="11" t="s">
        <v>176</v>
      </c>
      <c r="DD3" t="s">
        <v>36</v>
      </c>
      <c r="DE3" t="s">
        <v>37</v>
      </c>
      <c r="DF3" t="s">
        <v>38</v>
      </c>
      <c r="DG3" s="6" t="s">
        <v>58</v>
      </c>
      <c r="DH3" s="6" t="s">
        <v>52</v>
      </c>
      <c r="DI3" s="6"/>
      <c r="DJ3" s="6"/>
      <c r="DK3" s="6" t="s">
        <v>53</v>
      </c>
      <c r="DL3" s="6"/>
      <c r="DM3" s="6"/>
      <c r="DN3" s="6" t="s">
        <v>54</v>
      </c>
      <c r="DO3" s="6"/>
      <c r="DP3" s="6"/>
      <c r="DQ3" s="11" t="s">
        <v>176</v>
      </c>
      <c r="DR3" t="s">
        <v>36</v>
      </c>
      <c r="DS3" t="s">
        <v>37</v>
      </c>
      <c r="DT3" t="s">
        <v>38</v>
      </c>
      <c r="DU3" s="6" t="s">
        <v>58</v>
      </c>
      <c r="DV3" s="6" t="s">
        <v>52</v>
      </c>
      <c r="DW3" s="6"/>
      <c r="DX3" s="6"/>
      <c r="DY3" s="6" t="s">
        <v>53</v>
      </c>
      <c r="DZ3" s="6"/>
      <c r="EA3" s="6"/>
      <c r="EB3" s="6" t="s">
        <v>54</v>
      </c>
      <c r="EC3" s="6"/>
      <c r="ED3" s="6"/>
      <c r="EE3" s="11" t="s">
        <v>176</v>
      </c>
      <c r="EF3" t="s">
        <v>36</v>
      </c>
      <c r="EG3" t="s">
        <v>37</v>
      </c>
      <c r="EH3" t="s">
        <v>38</v>
      </c>
      <c r="EI3" s="11" t="s">
        <v>176</v>
      </c>
      <c r="EJ3" t="s">
        <v>36</v>
      </c>
      <c r="EK3" t="s">
        <v>37</v>
      </c>
      <c r="EL3" t="s">
        <v>38</v>
      </c>
      <c r="EM3" s="6" t="s">
        <v>58</v>
      </c>
      <c r="EN3" s="6" t="s">
        <v>52</v>
      </c>
      <c r="EO3" s="6"/>
      <c r="EP3" s="6"/>
      <c r="EQ3" s="6" t="s">
        <v>53</v>
      </c>
      <c r="ER3" s="6"/>
      <c r="ES3" s="6"/>
      <c r="ET3" s="6" t="s">
        <v>54</v>
      </c>
      <c r="EU3" s="6"/>
      <c r="EV3" s="6"/>
      <c r="EW3" s="11" t="s">
        <v>176</v>
      </c>
      <c r="EX3" t="s">
        <v>36</v>
      </c>
      <c r="EY3" t="s">
        <v>37</v>
      </c>
      <c r="EZ3" t="s">
        <v>38</v>
      </c>
      <c r="FA3" s="6" t="s">
        <v>58</v>
      </c>
      <c r="FB3" s="6" t="s">
        <v>52</v>
      </c>
      <c r="FC3" s="6"/>
      <c r="FD3" s="6"/>
      <c r="FE3" s="6" t="s">
        <v>53</v>
      </c>
      <c r="FF3" s="6"/>
      <c r="FG3" s="6"/>
      <c r="FH3" s="6" t="s">
        <v>54</v>
      </c>
      <c r="FI3" s="6"/>
      <c r="FJ3" s="6"/>
    </row>
    <row r="4" spans="2:166" x14ac:dyDescent="0.2">
      <c r="B4" s="3" t="s">
        <v>7</v>
      </c>
      <c r="E4" s="3">
        <v>48842</v>
      </c>
      <c r="F4" s="3">
        <v>15</v>
      </c>
      <c r="P4" s="6" t="s">
        <v>55</v>
      </c>
      <c r="Q4" s="6" t="s">
        <v>56</v>
      </c>
      <c r="R4" s="6" t="s">
        <v>57</v>
      </c>
      <c r="S4" s="6" t="s">
        <v>55</v>
      </c>
      <c r="T4" s="6" t="s">
        <v>56</v>
      </c>
      <c r="U4" s="6" t="s">
        <v>57</v>
      </c>
      <c r="V4" s="6" t="s">
        <v>55</v>
      </c>
      <c r="W4" s="6" t="s">
        <v>56</v>
      </c>
      <c r="X4" s="6" t="s">
        <v>57</v>
      </c>
      <c r="AD4" s="6" t="s">
        <v>55</v>
      </c>
      <c r="AE4" s="6" t="s">
        <v>56</v>
      </c>
      <c r="AF4" s="6" t="s">
        <v>57</v>
      </c>
      <c r="AG4" s="6" t="s">
        <v>55</v>
      </c>
      <c r="AH4" s="6" t="s">
        <v>56</v>
      </c>
      <c r="AI4" s="6" t="s">
        <v>57</v>
      </c>
      <c r="AJ4" s="6" t="s">
        <v>55</v>
      </c>
      <c r="AK4" s="6" t="s">
        <v>56</v>
      </c>
      <c r="AL4" s="6" t="s">
        <v>57</v>
      </c>
      <c r="AV4" s="6" t="s">
        <v>55</v>
      </c>
      <c r="AW4" s="6" t="s">
        <v>56</v>
      </c>
      <c r="AX4" s="6" t="s">
        <v>57</v>
      </c>
      <c r="AY4" s="6" t="s">
        <v>55</v>
      </c>
      <c r="AZ4" s="6" t="s">
        <v>56</v>
      </c>
      <c r="BA4" s="6" t="s">
        <v>57</v>
      </c>
      <c r="BB4" s="6" t="s">
        <v>55</v>
      </c>
      <c r="BC4" s="6" t="s">
        <v>56</v>
      </c>
      <c r="BD4" s="6" t="s">
        <v>57</v>
      </c>
      <c r="BJ4" s="6" t="s">
        <v>55</v>
      </c>
      <c r="BK4" s="6" t="s">
        <v>56</v>
      </c>
      <c r="BL4" s="6" t="s">
        <v>57</v>
      </c>
      <c r="BM4" s="6" t="s">
        <v>55</v>
      </c>
      <c r="BN4" s="6" t="s">
        <v>56</v>
      </c>
      <c r="BO4" s="6" t="s">
        <v>57</v>
      </c>
      <c r="BP4" s="6" t="s">
        <v>55</v>
      </c>
      <c r="BQ4" s="6" t="s">
        <v>56</v>
      </c>
      <c r="BR4" s="6" t="s">
        <v>57</v>
      </c>
      <c r="CB4" s="6" t="s">
        <v>55</v>
      </c>
      <c r="CC4" s="6" t="s">
        <v>56</v>
      </c>
      <c r="CD4" s="6" t="s">
        <v>57</v>
      </c>
      <c r="CE4" s="6" t="s">
        <v>55</v>
      </c>
      <c r="CF4" s="6" t="s">
        <v>56</v>
      </c>
      <c r="CG4" s="6" t="s">
        <v>57</v>
      </c>
      <c r="CH4" s="6" t="s">
        <v>55</v>
      </c>
      <c r="CI4" s="6" t="s">
        <v>56</v>
      </c>
      <c r="CJ4" s="6" t="s">
        <v>57</v>
      </c>
      <c r="CP4" s="6" t="s">
        <v>55</v>
      </c>
      <c r="CQ4" s="6" t="s">
        <v>56</v>
      </c>
      <c r="CR4" s="6" t="s">
        <v>57</v>
      </c>
      <c r="CS4" s="6" t="s">
        <v>55</v>
      </c>
      <c r="CT4" s="6" t="s">
        <v>56</v>
      </c>
      <c r="CU4" s="6" t="s">
        <v>57</v>
      </c>
      <c r="CV4" s="6" t="s">
        <v>55</v>
      </c>
      <c r="CW4" s="6" t="s">
        <v>56</v>
      </c>
      <c r="CX4" s="6" t="s">
        <v>57</v>
      </c>
      <c r="DH4" s="6" t="s">
        <v>55</v>
      </c>
      <c r="DI4" s="6" t="s">
        <v>56</v>
      </c>
      <c r="DJ4" s="6" t="s">
        <v>57</v>
      </c>
      <c r="DK4" s="6" t="s">
        <v>55</v>
      </c>
      <c r="DL4" s="6" t="s">
        <v>56</v>
      </c>
      <c r="DM4" s="6" t="s">
        <v>57</v>
      </c>
      <c r="DN4" s="6" t="s">
        <v>55</v>
      </c>
      <c r="DO4" s="6" t="s">
        <v>56</v>
      </c>
      <c r="DP4" s="6" t="s">
        <v>57</v>
      </c>
      <c r="DV4" s="6" t="s">
        <v>55</v>
      </c>
      <c r="DW4" s="6" t="s">
        <v>56</v>
      </c>
      <c r="DX4" s="6" t="s">
        <v>57</v>
      </c>
      <c r="DY4" s="6" t="s">
        <v>55</v>
      </c>
      <c r="DZ4" s="6" t="s">
        <v>56</v>
      </c>
      <c r="EA4" s="6" t="s">
        <v>57</v>
      </c>
      <c r="EB4" s="6" t="s">
        <v>55</v>
      </c>
      <c r="EC4" s="6" t="s">
        <v>56</v>
      </c>
      <c r="ED4" s="6" t="s">
        <v>57</v>
      </c>
      <c r="EN4" s="6" t="s">
        <v>55</v>
      </c>
      <c r="EO4" s="6" t="s">
        <v>56</v>
      </c>
      <c r="EP4" s="6" t="s">
        <v>57</v>
      </c>
      <c r="EQ4" s="6" t="s">
        <v>55</v>
      </c>
      <c r="ER4" s="6" t="s">
        <v>56</v>
      </c>
      <c r="ES4" s="6" t="s">
        <v>57</v>
      </c>
      <c r="ET4" s="6" t="s">
        <v>55</v>
      </c>
      <c r="EU4" s="6" t="s">
        <v>56</v>
      </c>
      <c r="EV4" s="6" t="s">
        <v>57</v>
      </c>
      <c r="FB4" s="6" t="s">
        <v>55</v>
      </c>
      <c r="FC4" s="6" t="s">
        <v>56</v>
      </c>
      <c r="FD4" s="6" t="s">
        <v>57</v>
      </c>
      <c r="FE4" s="6" t="s">
        <v>55</v>
      </c>
      <c r="FF4" s="6" t="s">
        <v>56</v>
      </c>
      <c r="FG4" s="6" t="s">
        <v>57</v>
      </c>
      <c r="FH4" s="6" t="s">
        <v>55</v>
      </c>
      <c r="FI4" s="6" t="s">
        <v>56</v>
      </c>
      <c r="FJ4" s="6" t="s">
        <v>57</v>
      </c>
    </row>
    <row r="5" spans="2:166" x14ac:dyDescent="0.2">
      <c r="B5" s="3"/>
      <c r="C5" s="6">
        <v>1</v>
      </c>
      <c r="D5" t="s">
        <v>40</v>
      </c>
      <c r="E5" s="3"/>
      <c r="F5" s="3"/>
      <c r="G5" s="45">
        <v>0.85325090000000003</v>
      </c>
      <c r="H5" s="7"/>
      <c r="I5" s="7"/>
      <c r="J5" s="7"/>
      <c r="K5" s="45">
        <v>0.97254419999999997</v>
      </c>
      <c r="L5" s="8"/>
      <c r="M5" s="8"/>
      <c r="N5" s="8"/>
      <c r="O5" s="8"/>
      <c r="P5" s="7"/>
      <c r="Q5" s="7"/>
      <c r="R5" s="7"/>
      <c r="S5" s="7"/>
      <c r="T5" s="7"/>
      <c r="U5" s="7"/>
      <c r="V5" s="7"/>
      <c r="W5" s="7"/>
      <c r="X5" s="7"/>
      <c r="Y5" s="45">
        <v>0.86104890000000001</v>
      </c>
      <c r="Z5" s="8"/>
      <c r="AA5" s="8"/>
      <c r="AB5" s="8"/>
      <c r="AC5" s="8"/>
      <c r="AD5" s="7"/>
      <c r="AE5" s="7"/>
      <c r="AF5" s="7"/>
      <c r="AG5" s="7"/>
      <c r="AH5" s="7"/>
      <c r="AI5" s="7"/>
      <c r="AJ5" s="7"/>
      <c r="AK5" s="7"/>
      <c r="AL5" s="7"/>
      <c r="AM5" s="45">
        <v>0.82308809999999999</v>
      </c>
      <c r="AN5" s="8"/>
      <c r="AO5" s="8"/>
      <c r="AP5" s="16"/>
      <c r="AQ5" s="10">
        <v>0.69329070000000004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45">
        <v>0.81537079999999995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45">
        <v>0.80929189999999995</v>
      </c>
      <c r="BT5" s="7"/>
      <c r="BU5" s="7"/>
      <c r="BV5" s="7"/>
      <c r="BW5" s="45">
        <v>0.97317070000000006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46">
        <v>0.61527549999999998</v>
      </c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45">
        <v>0.85191519999999998</v>
      </c>
      <c r="CZ5" s="7"/>
      <c r="DA5" s="7"/>
      <c r="DB5" s="7"/>
      <c r="DC5" s="46">
        <v>0.96644300000000005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45">
        <v>0.85727089999999995</v>
      </c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45">
        <v>0.76161639999999997</v>
      </c>
      <c r="EF5" s="7"/>
      <c r="EG5" s="7"/>
      <c r="EH5" s="7"/>
      <c r="EI5" s="47">
        <v>0.97376450000000003</v>
      </c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46">
        <v>0.7406992</v>
      </c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</row>
    <row r="6" spans="2:166" x14ac:dyDescent="0.2">
      <c r="B6" s="3"/>
      <c r="C6" s="6">
        <v>1</v>
      </c>
      <c r="D6" t="s">
        <v>41</v>
      </c>
      <c r="E6" s="3"/>
      <c r="F6" s="3"/>
      <c r="G6" s="45">
        <v>0.85483019999999998</v>
      </c>
      <c r="H6" s="7"/>
      <c r="I6" s="7"/>
      <c r="J6" s="7"/>
      <c r="K6" s="45">
        <v>0.97315439999999998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45">
        <v>0.8671297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45">
        <v>0.82166360000000005</v>
      </c>
      <c r="AN6" s="7"/>
      <c r="AO6" s="7"/>
      <c r="AP6" s="17"/>
      <c r="AQ6" s="10">
        <v>0.69690269999999999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45">
        <v>0.81734649999999998</v>
      </c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45">
        <v>0.84967749999999997</v>
      </c>
      <c r="BT6" s="7"/>
      <c r="BU6" s="7"/>
      <c r="BV6" s="7"/>
      <c r="BW6" s="45">
        <v>0.97315439999999998</v>
      </c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46">
        <v>0.52556650000000005</v>
      </c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45">
        <v>0.84745990000000004</v>
      </c>
      <c r="CZ6" s="7"/>
      <c r="DA6" s="7"/>
      <c r="DB6" s="7"/>
      <c r="DC6" s="46">
        <v>0.75152629999999998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45">
        <v>0.63387859999999996</v>
      </c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45">
        <v>0.75914709999999996</v>
      </c>
      <c r="EF6" s="7"/>
      <c r="EG6" s="7"/>
      <c r="EH6" s="7"/>
      <c r="EI6" s="47">
        <v>0.97315439999999998</v>
      </c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46">
        <v>0.74075729999999995</v>
      </c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</row>
    <row r="7" spans="2:166" x14ac:dyDescent="0.2">
      <c r="B7" s="3"/>
      <c r="C7" s="6">
        <v>1</v>
      </c>
      <c r="D7" t="s">
        <v>42</v>
      </c>
      <c r="E7" s="3"/>
      <c r="F7" s="3"/>
      <c r="G7" s="45">
        <v>0.85744370000000003</v>
      </c>
      <c r="H7" s="7"/>
      <c r="I7" s="7"/>
      <c r="J7" s="7"/>
      <c r="K7" s="45">
        <v>0.97010370000000001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45">
        <v>0.85992829999999998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45">
        <v>0.81653070000000005</v>
      </c>
      <c r="AN7" s="7"/>
      <c r="AO7" s="7"/>
      <c r="AP7" s="17"/>
      <c r="AQ7" s="10">
        <v>0.70164660000000001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45">
        <v>0.81151949999999995</v>
      </c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45">
        <v>0.82969199999999999</v>
      </c>
      <c r="BT7" s="7"/>
      <c r="BU7" s="7"/>
      <c r="BV7" s="7"/>
      <c r="BW7" s="45">
        <v>0.97374850000000002</v>
      </c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46">
        <v>0.52635520000000002</v>
      </c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45">
        <v>0.84653860000000003</v>
      </c>
      <c r="CZ7" s="7"/>
      <c r="DA7" s="7"/>
      <c r="DB7" s="7"/>
      <c r="DC7" s="46">
        <v>0.96829270000000001</v>
      </c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45">
        <v>0.85653440000000003</v>
      </c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45">
        <v>0.76533300000000004</v>
      </c>
      <c r="EF7" s="7"/>
      <c r="EG7" s="7"/>
      <c r="EH7" s="7"/>
      <c r="EI7" s="47">
        <v>0.97315439999999998</v>
      </c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46">
        <v>0.75437019999999999</v>
      </c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</row>
    <row r="8" spans="2:166" x14ac:dyDescent="0.2">
      <c r="B8" s="3"/>
      <c r="C8" s="6">
        <v>1</v>
      </c>
      <c r="D8" t="s">
        <v>60</v>
      </c>
      <c r="E8" s="3"/>
      <c r="F8" s="3"/>
      <c r="G8" s="13">
        <f>AVERAGE(G5:G7)</f>
        <v>0.85517493333333328</v>
      </c>
      <c r="H8" s="7"/>
      <c r="I8" s="7"/>
      <c r="J8" s="7"/>
      <c r="K8" s="29">
        <f>AVERAGE(K5:K7)</f>
        <v>0.97193410000000002</v>
      </c>
      <c r="L8" s="8"/>
      <c r="M8" s="8"/>
      <c r="N8" s="8"/>
      <c r="O8" s="7">
        <v>1.189E-4</v>
      </c>
      <c r="P8" s="7">
        <v>0.75</v>
      </c>
      <c r="Q8" s="7">
        <v>0.25</v>
      </c>
      <c r="R8" s="7">
        <v>0</v>
      </c>
      <c r="S8" s="28">
        <v>0.99106669999999997</v>
      </c>
      <c r="T8" s="10">
        <v>8.9333329999999999E-3</v>
      </c>
      <c r="U8" s="7">
        <v>0</v>
      </c>
      <c r="V8" s="28">
        <v>0.99990520000000005</v>
      </c>
      <c r="W8" s="10">
        <v>2.7554300000000001E-5</v>
      </c>
      <c r="X8" s="10">
        <v>6.7262409999999996E-5</v>
      </c>
      <c r="Y8" s="43">
        <f>AVERAGE(Y5:Y7)</f>
        <v>0.86270230000000003</v>
      </c>
      <c r="Z8" s="8"/>
      <c r="AA8" s="8"/>
      <c r="AB8" s="8"/>
      <c r="AC8" s="10">
        <v>2.989E-2</v>
      </c>
      <c r="AD8" s="7">
        <v>0</v>
      </c>
      <c r="AE8" s="32">
        <v>1</v>
      </c>
      <c r="AF8" s="7">
        <v>0</v>
      </c>
      <c r="AG8" s="7">
        <v>0</v>
      </c>
      <c r="AH8" s="32">
        <v>1</v>
      </c>
      <c r="AI8" s="7">
        <v>0</v>
      </c>
      <c r="AJ8" s="10">
        <v>0.124501</v>
      </c>
      <c r="AK8" s="10">
        <v>0.87169660000000004</v>
      </c>
      <c r="AL8" s="10">
        <v>3.802457E-3</v>
      </c>
      <c r="AM8" s="13">
        <f>AVERAGE(AM5:AM7)</f>
        <v>0.82042746666666666</v>
      </c>
      <c r="AN8" s="8"/>
      <c r="AO8" s="8"/>
      <c r="AP8" s="16"/>
      <c r="AQ8" s="42">
        <f>AVERAGE(AQ5:AQ7)</f>
        <v>0.69728000000000001</v>
      </c>
      <c r="AR8" s="7"/>
      <c r="AS8" s="8"/>
      <c r="AT8" s="7"/>
      <c r="AU8" s="10">
        <v>1.263E-3</v>
      </c>
      <c r="AV8" s="7">
        <v>0</v>
      </c>
      <c r="AW8" s="7">
        <v>0.25</v>
      </c>
      <c r="AX8" s="7">
        <v>0.75</v>
      </c>
      <c r="AY8" s="7">
        <v>0</v>
      </c>
      <c r="AZ8" s="10">
        <v>8.7333329999999994E-3</v>
      </c>
      <c r="BA8" s="49">
        <v>0.99126669999999995</v>
      </c>
      <c r="BB8" s="10">
        <v>7.1987539999999995E-4</v>
      </c>
      <c r="BC8" s="10">
        <v>2.7615590000000002E-4</v>
      </c>
      <c r="BD8" s="49">
        <v>0.999004</v>
      </c>
      <c r="BE8" s="88">
        <f>AVERAGE(BE5:BE7)</f>
        <v>0.81474559999999985</v>
      </c>
      <c r="BF8" s="7"/>
      <c r="BG8" s="8"/>
      <c r="BH8" s="7"/>
      <c r="BI8" s="10">
        <v>3.175E-2</v>
      </c>
      <c r="BJ8" s="7">
        <v>0</v>
      </c>
      <c r="BK8" s="32">
        <v>1</v>
      </c>
      <c r="BL8" s="7">
        <v>0</v>
      </c>
      <c r="BM8" s="7">
        <v>0</v>
      </c>
      <c r="BN8" s="32">
        <v>1</v>
      </c>
      <c r="BO8" s="7">
        <v>0</v>
      </c>
      <c r="BP8" s="10">
        <v>2.891261E-3</v>
      </c>
      <c r="BQ8" s="50">
        <v>0.96258080000000001</v>
      </c>
      <c r="BR8" s="10">
        <v>3.4527950000000002E-2</v>
      </c>
      <c r="BS8" s="51">
        <f>AVERAGE(BS5:BS7)</f>
        <v>0.8295537999999999</v>
      </c>
      <c r="BT8" s="7"/>
      <c r="BU8" s="7"/>
      <c r="BV8" s="7"/>
      <c r="BW8" s="52">
        <f>AVERAGE(BW5:BW7)</f>
        <v>0.97335786666666679</v>
      </c>
      <c r="BX8" s="7"/>
      <c r="BY8" s="7"/>
      <c r="BZ8" s="7"/>
      <c r="CA8" s="10">
        <v>6.7010000000000004E-3</v>
      </c>
      <c r="CB8" s="7">
        <v>0.75</v>
      </c>
      <c r="CC8" s="7">
        <v>0.25</v>
      </c>
      <c r="CD8" s="7">
        <v>0</v>
      </c>
      <c r="CE8" s="28">
        <v>0.99153329999999995</v>
      </c>
      <c r="CF8" s="10">
        <v>8.4666670000000006E-3</v>
      </c>
      <c r="CG8" s="7">
        <v>0</v>
      </c>
      <c r="CH8" s="28">
        <v>0.99486810000000003</v>
      </c>
      <c r="CI8" s="10">
        <v>1.2333419999999999E-3</v>
      </c>
      <c r="CJ8" s="10">
        <v>3.8986020000000001E-3</v>
      </c>
      <c r="CK8" s="14">
        <f>AVERAGE(CK5:CK7)</f>
        <v>0.55573240000000002</v>
      </c>
      <c r="CL8" s="7"/>
      <c r="CM8" s="7"/>
      <c r="CN8" s="7"/>
      <c r="CO8" s="10">
        <v>0.89119999999999999</v>
      </c>
      <c r="CP8" s="7">
        <v>0.25</v>
      </c>
      <c r="CQ8" s="7">
        <v>0.5</v>
      </c>
      <c r="CR8" s="7">
        <v>0.25</v>
      </c>
      <c r="CS8" s="10">
        <v>0.34376669999999998</v>
      </c>
      <c r="CT8" s="10">
        <v>0.30819999999999997</v>
      </c>
      <c r="CU8" s="10">
        <v>0.34803329999999999</v>
      </c>
      <c r="CV8" s="10">
        <v>0.41837020000000003</v>
      </c>
      <c r="CW8" s="10">
        <v>0.2489606</v>
      </c>
      <c r="CX8" s="10">
        <v>0.3326692</v>
      </c>
      <c r="CY8" s="14">
        <f>AVERAGE(CY5:CY7)</f>
        <v>0.84863790000000006</v>
      </c>
      <c r="CZ8" s="7"/>
      <c r="DA8" s="7"/>
      <c r="DB8" s="7"/>
      <c r="DC8" s="14">
        <f>AVERAGE(DC5:DC7)</f>
        <v>0.89542066666666675</v>
      </c>
      <c r="DD8" s="7"/>
      <c r="DE8" s="7"/>
      <c r="DF8" s="7"/>
      <c r="DG8" s="10">
        <v>0.5796</v>
      </c>
      <c r="DH8" s="7">
        <v>0.5</v>
      </c>
      <c r="DI8" s="7">
        <v>0.25</v>
      </c>
      <c r="DJ8" s="7">
        <v>0.25</v>
      </c>
      <c r="DK8" s="10">
        <v>0.80273329999999998</v>
      </c>
      <c r="DL8" s="10">
        <v>4.613333E-2</v>
      </c>
      <c r="DM8" s="10">
        <v>0.1511333</v>
      </c>
      <c r="DN8" s="10">
        <v>0.65044999999999997</v>
      </c>
      <c r="DO8" s="10">
        <v>6.8499589999999999E-2</v>
      </c>
      <c r="DP8" s="10">
        <v>0.28105039999999998</v>
      </c>
      <c r="DQ8" s="14">
        <f>AVERAGE(DQ5:DQ7)</f>
        <v>0.7825612999999999</v>
      </c>
      <c r="DR8" s="7"/>
      <c r="DS8" s="7"/>
      <c r="DT8" s="7"/>
      <c r="DU8" s="10">
        <v>0.46489999999999998</v>
      </c>
      <c r="DV8" s="7">
        <v>0</v>
      </c>
      <c r="DW8" s="7">
        <v>0.75</v>
      </c>
      <c r="DX8" s="7">
        <v>0.25</v>
      </c>
      <c r="DY8" s="10">
        <v>0</v>
      </c>
      <c r="DZ8" s="10">
        <v>0.58323329999999995</v>
      </c>
      <c r="EA8" s="10">
        <v>0.41676669999999999</v>
      </c>
      <c r="EB8" s="10">
        <v>0.2330072</v>
      </c>
      <c r="EC8" s="10">
        <v>5.5972399999999999E-2</v>
      </c>
      <c r="ED8" s="10">
        <v>0.7110204</v>
      </c>
      <c r="EE8" s="14">
        <f>AVERAGE(EE5:EE7)</f>
        <v>0.76203216666666673</v>
      </c>
      <c r="EF8" s="7"/>
      <c r="EG8" s="7"/>
      <c r="EH8" s="7"/>
      <c r="EI8" s="19">
        <f>AVERAGE(EI5:EI7)</f>
        <v>0.97335776666666662</v>
      </c>
      <c r="EJ8" s="7"/>
      <c r="EK8" s="7"/>
      <c r="EL8" s="7"/>
      <c r="EM8" s="10">
        <v>7.5179999999999995E-5</v>
      </c>
      <c r="EN8" s="10">
        <v>0.75</v>
      </c>
      <c r="EO8" s="10">
        <v>0.25</v>
      </c>
      <c r="EP8" s="10">
        <v>0</v>
      </c>
      <c r="EQ8" s="28">
        <v>0.99056670000000002</v>
      </c>
      <c r="ER8" s="10">
        <v>9.4333330000000003E-3</v>
      </c>
      <c r="ES8" s="7">
        <v>0</v>
      </c>
      <c r="ET8" s="28">
        <v>0.99994479999999997</v>
      </c>
      <c r="EU8" s="10">
        <v>9.5277250000000003E-6</v>
      </c>
      <c r="EV8" s="10">
        <v>4.5692709999999998E-5</v>
      </c>
      <c r="EW8" s="14">
        <f>AVERAGE(EW5:EW7)</f>
        <v>0.74527556666666672</v>
      </c>
      <c r="EX8" s="7"/>
      <c r="EY8" s="7"/>
      <c r="EZ8" s="7"/>
      <c r="FA8" s="10">
        <v>3.0339999999999999E-2</v>
      </c>
      <c r="FB8" s="7">
        <v>0</v>
      </c>
      <c r="FC8" s="7">
        <v>0.25</v>
      </c>
      <c r="FD8" s="7">
        <v>0.75</v>
      </c>
      <c r="FE8" s="7">
        <v>0</v>
      </c>
      <c r="FF8" s="53">
        <v>8.9966669999999999E-2</v>
      </c>
      <c r="FG8" s="54">
        <v>0.91003330000000004</v>
      </c>
      <c r="FH8" s="10">
        <v>8.1089070000000003E-3</v>
      </c>
      <c r="FI8" s="10">
        <v>8.6512140000000001E-2</v>
      </c>
      <c r="FJ8" s="49">
        <v>0.90537900000000004</v>
      </c>
    </row>
    <row r="9" spans="2:166" x14ac:dyDescent="0.2">
      <c r="B9" s="3"/>
      <c r="C9" s="6">
        <v>1</v>
      </c>
      <c r="D9" t="s">
        <v>43</v>
      </c>
      <c r="E9" s="3"/>
      <c r="F9" s="3"/>
      <c r="G9" s="45">
        <v>0.86029999999999995</v>
      </c>
      <c r="H9" s="10">
        <v>0.89195489999999999</v>
      </c>
      <c r="I9" s="10">
        <v>0.9283981</v>
      </c>
      <c r="J9" s="10">
        <v>0.9098117</v>
      </c>
      <c r="K9" s="45">
        <v>0.24467649499999999</v>
      </c>
      <c r="L9" s="10">
        <v>0.97499999999999998</v>
      </c>
      <c r="M9" s="10">
        <v>5.2589000000000004E-3</v>
      </c>
      <c r="N9" s="10">
        <v>1.0461373E-2</v>
      </c>
      <c r="O9" s="7" t="s">
        <v>24</v>
      </c>
      <c r="P9" s="7">
        <v>0</v>
      </c>
      <c r="Q9" s="7">
        <v>0.5</v>
      </c>
      <c r="R9" s="7">
        <v>0.5</v>
      </c>
      <c r="S9" s="7">
        <v>0</v>
      </c>
      <c r="T9" s="10">
        <v>0.1602333</v>
      </c>
      <c r="U9" s="10">
        <v>0.83976669999999998</v>
      </c>
      <c r="V9" s="7" t="s">
        <v>24</v>
      </c>
      <c r="W9" s="7" t="s">
        <v>24</v>
      </c>
      <c r="X9" s="7" t="s">
        <v>24</v>
      </c>
      <c r="Y9" s="45">
        <v>0.91569999999999996</v>
      </c>
      <c r="Z9" s="10">
        <v>0.92928770000000005</v>
      </c>
      <c r="AA9" s="10">
        <v>0.96224379999999998</v>
      </c>
      <c r="AB9" s="10">
        <v>0.94547859999999995</v>
      </c>
      <c r="AC9" s="7" t="s">
        <v>24</v>
      </c>
      <c r="AD9" s="7">
        <v>0.5</v>
      </c>
      <c r="AE9" s="7">
        <v>0.5</v>
      </c>
      <c r="AF9" s="7">
        <v>0</v>
      </c>
      <c r="AG9" s="10">
        <v>0.84053330000000004</v>
      </c>
      <c r="AH9" s="10">
        <v>0.15946669999999999</v>
      </c>
      <c r="AI9" s="7">
        <v>0</v>
      </c>
      <c r="AJ9" s="7" t="s">
        <v>24</v>
      </c>
      <c r="AK9" s="7" t="s">
        <v>24</v>
      </c>
      <c r="AL9" s="7" t="s">
        <v>24</v>
      </c>
      <c r="AM9" s="45">
        <v>0.82589999999999997</v>
      </c>
      <c r="AN9" s="10">
        <v>0.8480936</v>
      </c>
      <c r="AO9" s="10">
        <v>0.93878099999999998</v>
      </c>
      <c r="AP9" s="55">
        <v>0.89113600000000004</v>
      </c>
      <c r="AQ9" s="10">
        <v>0.35249999999999998</v>
      </c>
      <c r="AR9" s="10">
        <v>0.79988999999999999</v>
      </c>
      <c r="AS9" s="10">
        <v>0.19619739999999999</v>
      </c>
      <c r="AT9" s="10">
        <v>0.31510559999999999</v>
      </c>
      <c r="AU9" s="7" t="s">
        <v>24</v>
      </c>
      <c r="AV9" s="7">
        <v>0</v>
      </c>
      <c r="AW9" s="7">
        <v>0.5</v>
      </c>
      <c r="AX9" s="7">
        <v>0.5</v>
      </c>
      <c r="AY9" s="7">
        <v>0</v>
      </c>
      <c r="AZ9" s="10">
        <v>0.1585</v>
      </c>
      <c r="BA9" s="10">
        <v>0.84150000000000003</v>
      </c>
      <c r="BB9" s="7" t="s">
        <v>24</v>
      </c>
      <c r="BC9" s="7" t="s">
        <v>24</v>
      </c>
      <c r="BD9" s="7" t="s">
        <v>24</v>
      </c>
      <c r="BE9" s="45">
        <v>0.85740000000000005</v>
      </c>
      <c r="BF9" s="10">
        <v>0.87904340000000003</v>
      </c>
      <c r="BG9" s="10">
        <v>0.94174760000000002</v>
      </c>
      <c r="BH9" s="10">
        <v>0.90931580000000001</v>
      </c>
      <c r="BI9" s="7" t="s">
        <v>24</v>
      </c>
      <c r="BJ9" s="7">
        <v>0.5</v>
      </c>
      <c r="BK9" s="7">
        <v>0.5</v>
      </c>
      <c r="BL9" s="7">
        <v>0</v>
      </c>
      <c r="BM9" s="10">
        <v>0.83736670000000002</v>
      </c>
      <c r="BN9" s="10">
        <v>0.16263330000000001</v>
      </c>
      <c r="BO9" s="7">
        <v>0</v>
      </c>
      <c r="BP9" s="7" t="s">
        <v>24</v>
      </c>
      <c r="BQ9" s="7" t="s">
        <v>24</v>
      </c>
      <c r="BR9" s="7" t="s">
        <v>24</v>
      </c>
      <c r="BS9" s="45">
        <v>0.81120000000000003</v>
      </c>
      <c r="BT9" s="10">
        <v>0.86638610000000005</v>
      </c>
      <c r="BU9" s="10">
        <v>0.88834950000000001</v>
      </c>
      <c r="BV9" s="10">
        <v>0.87723039999999997</v>
      </c>
      <c r="BW9" s="45">
        <v>0.24079999999999999</v>
      </c>
      <c r="BX9" s="7" t="s">
        <v>24</v>
      </c>
      <c r="BY9" s="7">
        <v>1</v>
      </c>
      <c r="BZ9" s="7" t="s">
        <v>24</v>
      </c>
      <c r="CA9" s="7" t="s">
        <v>24</v>
      </c>
      <c r="CB9" s="7">
        <v>0</v>
      </c>
      <c r="CC9" s="7">
        <v>0.5</v>
      </c>
      <c r="CD9" s="7">
        <v>0.5</v>
      </c>
      <c r="CE9" s="7">
        <v>0</v>
      </c>
      <c r="CF9" s="10">
        <v>0.1614333</v>
      </c>
      <c r="CG9" s="10">
        <v>0.8385667</v>
      </c>
      <c r="CH9" s="7" t="s">
        <v>24</v>
      </c>
      <c r="CI9" s="7" t="s">
        <v>24</v>
      </c>
      <c r="CJ9" s="7" t="s">
        <v>24</v>
      </c>
      <c r="CK9" s="46">
        <v>0.78739999999999999</v>
      </c>
      <c r="CL9" s="10">
        <v>0.80893420000000005</v>
      </c>
      <c r="CM9" s="10">
        <v>0.94255659999999997</v>
      </c>
      <c r="CN9" s="10">
        <v>0.87064830000000004</v>
      </c>
      <c r="CO9" s="7" t="s">
        <v>24</v>
      </c>
      <c r="CP9" s="7">
        <v>0</v>
      </c>
      <c r="CQ9" s="7">
        <v>0.5</v>
      </c>
      <c r="CR9" s="7">
        <v>0.5</v>
      </c>
      <c r="CS9" s="7">
        <v>0</v>
      </c>
      <c r="CT9" s="10">
        <v>0.15766669999999999</v>
      </c>
      <c r="CU9" s="10">
        <v>0.84233329999999995</v>
      </c>
      <c r="CV9" s="7" t="s">
        <v>24</v>
      </c>
      <c r="CW9" s="7" t="s">
        <v>24</v>
      </c>
      <c r="CX9" s="7" t="s">
        <v>24</v>
      </c>
      <c r="CY9" s="45">
        <v>0.85699999999999998</v>
      </c>
      <c r="CZ9" s="10">
        <v>0.88519130000000001</v>
      </c>
      <c r="DA9" s="10">
        <v>0.93257820000000002</v>
      </c>
      <c r="DB9" s="10">
        <v>0.90826709999999999</v>
      </c>
      <c r="DC9" s="46">
        <v>0.2445</v>
      </c>
      <c r="DD9" s="10">
        <v>0.83333333300000001</v>
      </c>
      <c r="DE9" s="10">
        <v>6.0679610000000002E-3</v>
      </c>
      <c r="DF9" s="10">
        <v>1.2048193E-2</v>
      </c>
      <c r="DG9" s="7" t="s">
        <v>24</v>
      </c>
      <c r="DH9" s="7">
        <v>0</v>
      </c>
      <c r="DI9" s="7">
        <v>0.5</v>
      </c>
      <c r="DJ9" s="7">
        <v>0.5</v>
      </c>
      <c r="DK9" s="7">
        <v>0</v>
      </c>
      <c r="DL9" s="10">
        <v>0.15623329999999999</v>
      </c>
      <c r="DM9" s="10">
        <v>0.84376669999999998</v>
      </c>
      <c r="DN9" s="7" t="s">
        <v>24</v>
      </c>
      <c r="DO9" s="7" t="s">
        <v>24</v>
      </c>
      <c r="DP9" s="7" t="s">
        <v>24</v>
      </c>
      <c r="DQ9" s="56">
        <v>0.85760000000000003</v>
      </c>
      <c r="DR9" s="10">
        <v>0.87974280000000005</v>
      </c>
      <c r="DS9" s="10">
        <v>0.94107339999999995</v>
      </c>
      <c r="DT9" s="10">
        <v>0.90937520000000005</v>
      </c>
      <c r="DU9" s="7" t="s">
        <v>24</v>
      </c>
      <c r="DV9" s="7">
        <v>0</v>
      </c>
      <c r="DW9" s="32">
        <v>1</v>
      </c>
      <c r="DX9" s="7">
        <v>0</v>
      </c>
      <c r="DY9" s="7">
        <v>0</v>
      </c>
      <c r="DZ9" s="50">
        <v>1</v>
      </c>
      <c r="EA9" s="10">
        <v>0</v>
      </c>
      <c r="EB9" s="7" t="s">
        <v>24</v>
      </c>
      <c r="EC9" s="7" t="s">
        <v>24</v>
      </c>
      <c r="ED9" s="7" t="s">
        <v>24</v>
      </c>
      <c r="EE9" s="45">
        <v>0.77510000000000001</v>
      </c>
      <c r="EF9" s="10">
        <v>0.77145532000000006</v>
      </c>
      <c r="EG9" s="10">
        <v>1</v>
      </c>
      <c r="EH9" s="10">
        <v>0.87098478999999995</v>
      </c>
      <c r="EI9" s="57">
        <v>0.24079999999999999</v>
      </c>
      <c r="EJ9" s="10"/>
      <c r="EK9" s="10"/>
      <c r="EL9" s="10"/>
      <c r="EM9" s="7" t="s">
        <v>24</v>
      </c>
      <c r="EN9" s="7">
        <v>0</v>
      </c>
      <c r="EO9" s="7">
        <v>0.5</v>
      </c>
      <c r="EP9" s="7">
        <v>0.5</v>
      </c>
      <c r="EQ9" s="7">
        <v>0</v>
      </c>
      <c r="ER9" s="10">
        <v>0.1546333</v>
      </c>
      <c r="ES9" s="10">
        <v>0.84536670000000003</v>
      </c>
      <c r="ET9" s="7" t="s">
        <v>24</v>
      </c>
      <c r="EU9" s="7" t="s">
        <v>24</v>
      </c>
      <c r="EV9" s="7" t="s">
        <v>24</v>
      </c>
      <c r="EW9" s="56">
        <v>0.77339999999999998</v>
      </c>
      <c r="EX9" s="7"/>
      <c r="EY9" s="7"/>
      <c r="EZ9" s="7"/>
      <c r="FA9" s="7" t="s">
        <v>24</v>
      </c>
      <c r="FB9" s="7">
        <v>0</v>
      </c>
      <c r="FC9" s="31">
        <v>1</v>
      </c>
      <c r="FD9" s="7">
        <v>0</v>
      </c>
      <c r="FE9" s="7">
        <v>0</v>
      </c>
      <c r="FF9" s="31">
        <v>1</v>
      </c>
      <c r="FG9" s="7">
        <v>0</v>
      </c>
      <c r="FH9" s="7" t="s">
        <v>24</v>
      </c>
      <c r="FI9" s="7" t="s">
        <v>24</v>
      </c>
      <c r="FJ9" s="7" t="s">
        <v>24</v>
      </c>
    </row>
    <row r="10" spans="2:166" x14ac:dyDescent="0.2">
      <c r="B10" s="3"/>
      <c r="C10" s="6"/>
      <c r="E10" s="3"/>
      <c r="F10" s="3"/>
      <c r="G10" s="14"/>
      <c r="H10" s="7"/>
      <c r="I10" s="7"/>
      <c r="J10" s="7"/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4"/>
      <c r="AN10" s="7"/>
      <c r="AO10" s="7"/>
      <c r="AP10" s="1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14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4"/>
      <c r="BT10" s="7"/>
      <c r="BU10" s="7"/>
      <c r="BV10" s="7"/>
      <c r="BW10" s="14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14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14"/>
      <c r="CZ10" s="7"/>
      <c r="DA10" s="7"/>
      <c r="DB10" s="7"/>
      <c r="DC10" s="14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14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14"/>
      <c r="EF10" s="7"/>
      <c r="EG10" s="7"/>
      <c r="EH10" s="7"/>
      <c r="EI10" s="14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14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</row>
    <row r="11" spans="2:166" x14ac:dyDescent="0.2">
      <c r="B11" s="3"/>
      <c r="C11" s="6">
        <v>2</v>
      </c>
      <c r="D11" t="s">
        <v>40</v>
      </c>
      <c r="E11" s="3"/>
      <c r="F11" s="3"/>
      <c r="G11" s="45">
        <v>0.85325090000000003</v>
      </c>
      <c r="H11" s="7"/>
      <c r="I11" s="7"/>
      <c r="J11" s="7"/>
      <c r="K11" s="45">
        <v>0.74023099999999997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45">
        <v>0.84381680000000003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45">
        <v>0.82308809999999999</v>
      </c>
      <c r="AN11" s="8"/>
      <c r="AO11" s="8"/>
      <c r="AP11" s="16"/>
      <c r="AQ11" s="10">
        <v>0.69943480000000002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45">
        <v>0.80536430000000003</v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45">
        <v>0.80929189999999995</v>
      </c>
      <c r="BT11" s="7"/>
      <c r="BU11" s="7"/>
      <c r="BV11" s="7"/>
      <c r="BW11" s="45">
        <v>0.71312679999999995</v>
      </c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46">
        <v>0.77307890000000001</v>
      </c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45">
        <v>0.85191519999999998</v>
      </c>
      <c r="CZ11" s="7"/>
      <c r="DA11" s="7"/>
      <c r="DB11" s="7"/>
      <c r="DC11" s="46">
        <v>0.71712949999999998</v>
      </c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45">
        <v>0.84140550000000003</v>
      </c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45">
        <v>0.76161639999999997</v>
      </c>
      <c r="EF11" s="7"/>
      <c r="EG11" s="7"/>
      <c r="EH11" s="7"/>
      <c r="EI11" s="57">
        <v>0.53944460000000005</v>
      </c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46">
        <v>0.60373650000000001</v>
      </c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</row>
    <row r="12" spans="2:166" x14ac:dyDescent="0.2">
      <c r="B12" s="3"/>
      <c r="C12" s="6">
        <v>2</v>
      </c>
      <c r="D12" t="s">
        <v>41</v>
      </c>
      <c r="E12" s="3"/>
      <c r="F12" s="3"/>
      <c r="G12" s="45">
        <v>0.85483019999999998</v>
      </c>
      <c r="H12" s="7"/>
      <c r="I12" s="7"/>
      <c r="J12" s="7"/>
      <c r="K12" s="45">
        <v>0.72106170000000003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5">
        <v>0.83954430000000002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45">
        <v>0.82166360000000005</v>
      </c>
      <c r="AN12" s="7"/>
      <c r="AO12" s="7"/>
      <c r="AP12" s="17"/>
      <c r="AQ12" s="10">
        <v>0.70181910000000003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45">
        <v>0.81457740000000001</v>
      </c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45">
        <v>0.84967749999999997</v>
      </c>
      <c r="BT12" s="7"/>
      <c r="BU12" s="7"/>
      <c r="BV12" s="7"/>
      <c r="BW12" s="45">
        <v>0.64757929999999997</v>
      </c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46">
        <v>0.83114200000000005</v>
      </c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45">
        <v>0.84745990000000004</v>
      </c>
      <c r="CZ12" s="7"/>
      <c r="DA12" s="7"/>
      <c r="DB12" s="7"/>
      <c r="DC12" s="46">
        <v>0.71221429999999997</v>
      </c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45">
        <v>0.84595299999999995</v>
      </c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45">
        <v>0.75914709999999996</v>
      </c>
      <c r="EF12" s="7"/>
      <c r="EG12" s="7"/>
      <c r="EH12" s="7"/>
      <c r="EI12" s="57">
        <v>0.54534280000000002</v>
      </c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46">
        <v>0.57051600000000002</v>
      </c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</row>
    <row r="13" spans="2:166" x14ac:dyDescent="0.2">
      <c r="B13" s="3"/>
      <c r="C13" s="6">
        <v>2</v>
      </c>
      <c r="D13" t="s">
        <v>42</v>
      </c>
      <c r="E13" s="3"/>
      <c r="F13" s="3"/>
      <c r="G13" s="45">
        <v>0.85744370000000003</v>
      </c>
      <c r="H13" s="7"/>
      <c r="I13" s="7"/>
      <c r="J13" s="7"/>
      <c r="K13" s="45">
        <v>0.73574240000000002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45">
        <v>0.85683759999999998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45">
        <v>0.81653070000000005</v>
      </c>
      <c r="AN13" s="7"/>
      <c r="AO13" s="7"/>
      <c r="AP13" s="17"/>
      <c r="AQ13" s="10">
        <v>0.68985010000000002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45">
        <v>0.80299069999999995</v>
      </c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45">
        <v>0.82969199999999999</v>
      </c>
      <c r="BT13" s="7"/>
      <c r="BU13" s="7"/>
      <c r="BV13" s="7"/>
      <c r="BW13" s="45">
        <v>0.71073969999999997</v>
      </c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46">
        <v>0.82125349999999997</v>
      </c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45">
        <v>0.84653860000000003</v>
      </c>
      <c r="CZ13" s="7"/>
      <c r="DA13" s="7"/>
      <c r="DB13" s="7"/>
      <c r="DC13" s="46">
        <v>0.72197639999999996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45">
        <v>0.8355091</v>
      </c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45">
        <v>0.76533300000000004</v>
      </c>
      <c r="EF13" s="7"/>
      <c r="EG13" s="7"/>
      <c r="EH13" s="7"/>
      <c r="EI13" s="57">
        <v>0.58357919999999996</v>
      </c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46">
        <v>0.57964599999999999</v>
      </c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</row>
    <row r="14" spans="2:166" x14ac:dyDescent="0.2">
      <c r="B14" s="3"/>
      <c r="C14" s="6">
        <v>2</v>
      </c>
      <c r="D14" t="s">
        <v>49</v>
      </c>
      <c r="E14" s="3"/>
      <c r="F14" s="3"/>
      <c r="G14" s="13">
        <f>AVERAGE(G11:G13)</f>
        <v>0.85517493333333328</v>
      </c>
      <c r="H14" s="7"/>
      <c r="I14" s="7"/>
      <c r="J14" s="7"/>
      <c r="K14" s="42">
        <f>AVERAGE(K11:K13)</f>
        <v>0.73234503333333334</v>
      </c>
      <c r="L14" s="7"/>
      <c r="M14" s="7"/>
      <c r="N14" s="7"/>
      <c r="O14" s="10">
        <v>3.2309999999999999E-3</v>
      </c>
      <c r="P14" s="7">
        <v>0</v>
      </c>
      <c r="Q14" s="7">
        <v>0.25</v>
      </c>
      <c r="R14" s="7">
        <v>0.75</v>
      </c>
      <c r="S14" s="7">
        <v>0</v>
      </c>
      <c r="T14" s="10">
        <v>8.4666670000000006E-3</v>
      </c>
      <c r="U14" s="49">
        <v>0.99153329999999995</v>
      </c>
      <c r="V14" s="10">
        <v>1.8406099999999999E-3</v>
      </c>
      <c r="W14" s="10">
        <v>7.0494389999999996E-4</v>
      </c>
      <c r="X14" s="49">
        <v>0.99745439999999996</v>
      </c>
      <c r="Y14" s="13">
        <f>AVERAGE(Y11:Y13)</f>
        <v>0.84673290000000001</v>
      </c>
      <c r="Z14" s="7"/>
      <c r="AA14" s="7"/>
      <c r="AB14" s="7"/>
      <c r="AC14" s="10">
        <v>0.28089999999999998</v>
      </c>
      <c r="AD14" s="7">
        <v>0</v>
      </c>
      <c r="AE14" s="7">
        <v>0.75</v>
      </c>
      <c r="AF14" s="7">
        <v>0.25</v>
      </c>
      <c r="AG14" s="7">
        <v>0</v>
      </c>
      <c r="AH14" s="10">
        <v>0.84323329999999996</v>
      </c>
      <c r="AI14" s="10">
        <v>0.15676670000000001</v>
      </c>
      <c r="AJ14" s="10">
        <v>5.4715470000000002E-2</v>
      </c>
      <c r="AK14" s="10">
        <v>0.5268775</v>
      </c>
      <c r="AL14" s="10">
        <v>0.41840699999999997</v>
      </c>
      <c r="AM14" s="13">
        <f>AVERAGE(AM11:AM13)</f>
        <v>0.82042746666666666</v>
      </c>
      <c r="AN14" s="8"/>
      <c r="AO14" s="8"/>
      <c r="AP14" s="16"/>
      <c r="AQ14" s="42">
        <f>AVERAGE(AQ11:AQ13)</f>
        <v>0.69703466666666669</v>
      </c>
      <c r="AR14" s="7"/>
      <c r="AS14" s="7"/>
      <c r="AT14" s="7"/>
      <c r="AU14" s="10">
        <v>1.598E-3</v>
      </c>
      <c r="AV14" s="7">
        <v>0</v>
      </c>
      <c r="AW14" s="7">
        <v>0.25</v>
      </c>
      <c r="AX14" s="7">
        <v>0.75</v>
      </c>
      <c r="AY14" s="7">
        <v>0</v>
      </c>
      <c r="AZ14" s="10">
        <v>8.1333329999999995E-3</v>
      </c>
      <c r="BA14" s="49">
        <v>0.99186669999999999</v>
      </c>
      <c r="BB14" s="10">
        <v>9.1130979999999996E-4</v>
      </c>
      <c r="BC14" s="10">
        <v>3.48499E-4</v>
      </c>
      <c r="BD14" s="49">
        <v>0.99874019999999997</v>
      </c>
      <c r="BE14" s="13">
        <f>AVERAGE(BE11:BE13)</f>
        <v>0.8076441333333334</v>
      </c>
      <c r="BF14" s="7"/>
      <c r="BG14" s="7"/>
      <c r="BH14" s="7"/>
      <c r="BI14" s="10">
        <v>0.1424</v>
      </c>
      <c r="BJ14" s="7">
        <v>0.5</v>
      </c>
      <c r="BK14" s="7">
        <v>0.5</v>
      </c>
      <c r="BL14" s="7">
        <v>0</v>
      </c>
      <c r="BM14" s="7">
        <v>0</v>
      </c>
      <c r="BN14" s="10">
        <v>0.4899</v>
      </c>
      <c r="BO14" s="10">
        <v>0.5101</v>
      </c>
      <c r="BP14" s="10">
        <v>3.3954940000000003E-2</v>
      </c>
      <c r="BQ14" s="10">
        <v>0.31610240000000001</v>
      </c>
      <c r="BR14" s="10">
        <v>0.64994269999999998</v>
      </c>
      <c r="BS14" s="51">
        <f>AVERAGE(BS11:BS13)</f>
        <v>0.8295537999999999</v>
      </c>
      <c r="BT14" s="7"/>
      <c r="BU14" s="7"/>
      <c r="BV14" s="7"/>
      <c r="BW14" s="58">
        <f>AVERAGE(BW11:BW13)</f>
        <v>0.6904819333333333</v>
      </c>
      <c r="BX14" s="7"/>
      <c r="BY14" s="7"/>
      <c r="BZ14" s="7"/>
      <c r="CA14" s="10">
        <v>7.8659999999999997E-3</v>
      </c>
      <c r="CB14" s="7">
        <v>0</v>
      </c>
      <c r="CC14" s="7">
        <v>0.25</v>
      </c>
      <c r="CD14" s="7">
        <v>0.75</v>
      </c>
      <c r="CE14" s="7">
        <v>0</v>
      </c>
      <c r="CF14" s="10">
        <v>8.2333330000000007E-3</v>
      </c>
      <c r="CG14" s="49">
        <v>0.9917667</v>
      </c>
      <c r="CH14" s="10">
        <v>4.5557280000000002E-3</v>
      </c>
      <c r="CI14" s="10">
        <v>1.493716E-3</v>
      </c>
      <c r="CJ14" s="49">
        <v>0.99395060000000002</v>
      </c>
      <c r="CK14" s="14">
        <f>AVERAGE(CK11:CK13)</f>
        <v>0.80849146666666671</v>
      </c>
      <c r="CL14" s="7"/>
      <c r="CM14" s="7"/>
      <c r="CN14" s="7"/>
      <c r="CO14" s="10">
        <v>0.2079</v>
      </c>
      <c r="CP14" s="7">
        <v>0</v>
      </c>
      <c r="CQ14" s="7">
        <v>0.5</v>
      </c>
      <c r="CR14" s="7">
        <v>0.5</v>
      </c>
      <c r="CS14" s="7">
        <v>0</v>
      </c>
      <c r="CT14" s="10">
        <v>0.14336670000000001</v>
      </c>
      <c r="CU14" s="10">
        <v>0.85663330000000004</v>
      </c>
      <c r="CV14" s="10">
        <v>7.1905520000000001E-2</v>
      </c>
      <c r="CW14" s="10">
        <v>0.1739668</v>
      </c>
      <c r="CX14" s="10">
        <v>0.75412760000000001</v>
      </c>
      <c r="CY14" s="14">
        <f>AVERAGE(CY11:CY13)</f>
        <v>0.84863790000000006</v>
      </c>
      <c r="CZ14" s="7"/>
      <c r="DA14" s="7"/>
      <c r="DB14" s="7"/>
      <c r="DC14" s="35">
        <f>AVERAGE(DC11:DC13)</f>
        <v>0.7171067333333333</v>
      </c>
      <c r="DD14" s="7"/>
      <c r="DE14" s="7"/>
      <c r="DF14" s="7"/>
      <c r="DG14" s="10">
        <v>7.0209999999999999E-4</v>
      </c>
      <c r="DH14" s="7">
        <v>0</v>
      </c>
      <c r="DI14" s="7">
        <v>0.25</v>
      </c>
      <c r="DJ14" s="7">
        <v>0.75</v>
      </c>
      <c r="DK14" s="7">
        <v>0</v>
      </c>
      <c r="DL14" s="10">
        <v>9.6333330000000009E-3</v>
      </c>
      <c r="DM14" s="49">
        <v>0.99036670000000004</v>
      </c>
      <c r="DN14" s="10">
        <v>4.0419069999999999E-4</v>
      </c>
      <c r="DO14" s="10">
        <v>1.4374259999999999E-4</v>
      </c>
      <c r="DP14" s="49">
        <v>0.99945209999999995</v>
      </c>
      <c r="DQ14" s="14">
        <f>AVERAGE(DQ11:DQ13)</f>
        <v>0.84095586666666666</v>
      </c>
      <c r="DR14" s="7"/>
      <c r="DS14" s="7"/>
      <c r="DT14" s="7"/>
      <c r="DU14" s="10">
        <v>0.13089999999999999</v>
      </c>
      <c r="DV14" s="7">
        <v>0</v>
      </c>
      <c r="DW14" s="7">
        <v>0.5</v>
      </c>
      <c r="DX14" s="7">
        <v>0.5</v>
      </c>
      <c r="DY14" s="7">
        <v>0</v>
      </c>
      <c r="DZ14" s="10">
        <v>0.67246669999999997</v>
      </c>
      <c r="EA14" s="10">
        <v>0.32753330000000003</v>
      </c>
      <c r="EB14" s="10">
        <v>1.920883E-2</v>
      </c>
      <c r="EC14" s="10">
        <v>0.68944309999999998</v>
      </c>
      <c r="ED14" s="10">
        <v>0.2913481</v>
      </c>
      <c r="EE14" s="14">
        <f>AVERAGE(EE11:EE13)</f>
        <v>0.76203216666666673</v>
      </c>
      <c r="EF14" s="7"/>
      <c r="EG14" s="7"/>
      <c r="EH14" s="7"/>
      <c r="EI14" s="20">
        <f>AVERAGE(EI11:EI13)</f>
        <v>0.55612220000000001</v>
      </c>
      <c r="EJ14" s="7"/>
      <c r="EK14" s="7"/>
      <c r="EL14" s="7"/>
      <c r="EM14" s="10">
        <v>3.5590000000000001E-3</v>
      </c>
      <c r="EN14" s="7">
        <v>0</v>
      </c>
      <c r="EO14" s="7">
        <v>0.25</v>
      </c>
      <c r="EP14" s="7">
        <v>0.75</v>
      </c>
      <c r="EQ14" s="7">
        <v>0</v>
      </c>
      <c r="ER14" s="10">
        <v>7.9333330000000007E-3</v>
      </c>
      <c r="ES14" s="54">
        <v>0.99206669999999997</v>
      </c>
      <c r="ET14" s="10">
        <v>2.1556359999999998E-3</v>
      </c>
      <c r="EU14" s="10">
        <v>4.5897089999999999E-4</v>
      </c>
      <c r="EV14" s="54">
        <v>0.99738539999999998</v>
      </c>
      <c r="EW14" s="34">
        <f>AVERAGE(EW11:EW13)</f>
        <v>0.58463283333333338</v>
      </c>
      <c r="EX14" s="7"/>
      <c r="EY14" s="7"/>
      <c r="EZ14" s="7"/>
      <c r="FA14" s="27">
        <v>3.0360000000000001E-3</v>
      </c>
      <c r="FB14" s="7">
        <v>0</v>
      </c>
      <c r="FC14" s="7">
        <v>0.25</v>
      </c>
      <c r="FD14" s="7">
        <v>0.75</v>
      </c>
      <c r="FE14" s="7">
        <v>0</v>
      </c>
      <c r="FF14" s="10">
        <v>9.6666670000000003E-3</v>
      </c>
      <c r="FG14" s="54">
        <v>0.99033329999999997</v>
      </c>
      <c r="FH14" s="10">
        <v>1.8120129999999999E-3</v>
      </c>
      <c r="FI14" s="10">
        <v>4.5572739999999998E-4</v>
      </c>
      <c r="FJ14" s="54">
        <v>0.99773230000000002</v>
      </c>
    </row>
    <row r="15" spans="2:166" x14ac:dyDescent="0.2">
      <c r="B15" s="3"/>
      <c r="C15" s="6">
        <v>2</v>
      </c>
      <c r="D15" t="s">
        <v>43</v>
      </c>
      <c r="E15" s="3"/>
      <c r="F15" s="3"/>
      <c r="G15" s="45">
        <v>0.86029999999999995</v>
      </c>
      <c r="H15" s="10">
        <v>0.89195489999999999</v>
      </c>
      <c r="I15" s="10">
        <v>0.9283981</v>
      </c>
      <c r="J15" s="10">
        <v>0.9098117</v>
      </c>
      <c r="K15" s="45">
        <v>0.44209999999999999</v>
      </c>
      <c r="L15" s="10">
        <v>0.99596370000000001</v>
      </c>
      <c r="M15" s="10">
        <v>0.26618120000000001</v>
      </c>
      <c r="N15" s="10">
        <v>0.4200894</v>
      </c>
      <c r="O15" s="7" t="s">
        <v>24</v>
      </c>
      <c r="P15" s="7">
        <v>0</v>
      </c>
      <c r="Q15" s="7">
        <v>0.5</v>
      </c>
      <c r="R15" s="7">
        <v>0.5</v>
      </c>
      <c r="S15" s="7">
        <v>0</v>
      </c>
      <c r="T15" s="10">
        <v>0.15876670000000001</v>
      </c>
      <c r="U15" s="10">
        <v>0.84123329999999996</v>
      </c>
      <c r="V15" s="7" t="s">
        <v>24</v>
      </c>
      <c r="W15" s="7" t="s">
        <v>24</v>
      </c>
      <c r="X15" s="7" t="s">
        <v>24</v>
      </c>
      <c r="Y15" s="45">
        <v>0.91810000000000003</v>
      </c>
      <c r="Z15" s="10">
        <v>0.93061700000000003</v>
      </c>
      <c r="AA15" s="10">
        <v>0.96399679999999999</v>
      </c>
      <c r="AB15" s="10">
        <v>0.94701279999999999</v>
      </c>
      <c r="AC15" s="7" t="s">
        <v>24</v>
      </c>
      <c r="AD15" s="7">
        <v>0.5</v>
      </c>
      <c r="AE15" s="7">
        <v>0.5</v>
      </c>
      <c r="AF15" s="7">
        <v>0</v>
      </c>
      <c r="AG15" s="10">
        <v>0.84289999999999998</v>
      </c>
      <c r="AH15" s="10">
        <v>0.15709999999999999</v>
      </c>
      <c r="AI15" s="7">
        <v>0</v>
      </c>
      <c r="AJ15" s="7" t="s">
        <v>24</v>
      </c>
      <c r="AK15" s="7" t="s">
        <v>24</v>
      </c>
      <c r="AL15" s="7" t="s">
        <v>24</v>
      </c>
      <c r="AM15" s="45">
        <v>0.82589999999999997</v>
      </c>
      <c r="AN15" s="10">
        <v>0.8480936</v>
      </c>
      <c r="AO15" s="10">
        <v>0.93878099999999998</v>
      </c>
      <c r="AP15" s="55">
        <v>0.89113600000000004</v>
      </c>
      <c r="AQ15" s="10">
        <v>0.35460000000000003</v>
      </c>
      <c r="AR15" s="10">
        <v>0.80415749999999997</v>
      </c>
      <c r="AS15" s="10">
        <v>0.19822010000000001</v>
      </c>
      <c r="AT15" s="10">
        <v>0.3180441</v>
      </c>
      <c r="AU15" s="7" t="s">
        <v>24</v>
      </c>
      <c r="AV15" s="7">
        <v>0</v>
      </c>
      <c r="AW15" s="7">
        <v>0.5</v>
      </c>
      <c r="AX15" s="7">
        <v>0.5</v>
      </c>
      <c r="AY15" s="7">
        <v>0</v>
      </c>
      <c r="AZ15" s="10">
        <v>0.1585</v>
      </c>
      <c r="BA15" s="10">
        <v>0.84150000000000003</v>
      </c>
      <c r="BB15" s="7" t="s">
        <v>24</v>
      </c>
      <c r="BC15" s="7" t="s">
        <v>24</v>
      </c>
      <c r="BD15" s="7" t="s">
        <v>24</v>
      </c>
      <c r="BE15" s="45">
        <v>0.86109999999999998</v>
      </c>
      <c r="BF15" s="10">
        <v>0.87816749999999999</v>
      </c>
      <c r="BG15" s="10">
        <v>0.94862460000000004</v>
      </c>
      <c r="BH15" s="7">
        <v>0.91203730000000005</v>
      </c>
      <c r="BI15" s="7" t="s">
        <v>24</v>
      </c>
      <c r="BJ15" s="7">
        <v>0.5</v>
      </c>
      <c r="BK15" s="7">
        <v>0.5</v>
      </c>
      <c r="BL15" s="7">
        <v>0</v>
      </c>
      <c r="BM15" s="10">
        <v>0.8445667</v>
      </c>
      <c r="BN15" s="10">
        <v>0.1554333</v>
      </c>
      <c r="BO15" s="7">
        <v>0</v>
      </c>
      <c r="BP15" s="7" t="s">
        <v>24</v>
      </c>
      <c r="BQ15" s="7" t="s">
        <v>24</v>
      </c>
      <c r="BR15" s="7" t="s">
        <v>24</v>
      </c>
      <c r="BS15" s="45">
        <v>0.81120000000000003</v>
      </c>
      <c r="BT15" s="10">
        <v>0.86638610000000005</v>
      </c>
      <c r="BU15" s="10">
        <v>0.88834950000000001</v>
      </c>
      <c r="BV15" s="10">
        <v>0.87723039999999997</v>
      </c>
      <c r="BW15" s="45">
        <v>0.79400000000000004</v>
      </c>
      <c r="BX15" s="10">
        <v>0.80915329999999996</v>
      </c>
      <c r="BY15" s="10">
        <v>0.95361379999999996</v>
      </c>
      <c r="BZ15" s="10">
        <v>0.87546420000000003</v>
      </c>
      <c r="CA15" s="7" t="s">
        <v>24</v>
      </c>
      <c r="CB15" s="7">
        <v>0</v>
      </c>
      <c r="CC15" s="7">
        <v>0.5</v>
      </c>
      <c r="CD15" s="7">
        <v>0.5</v>
      </c>
      <c r="CE15" s="7">
        <v>0</v>
      </c>
      <c r="CF15" s="10">
        <v>0.45503329999999997</v>
      </c>
      <c r="CG15" s="10">
        <v>0.54496670000000003</v>
      </c>
      <c r="CH15" s="7" t="s">
        <v>24</v>
      </c>
      <c r="CI15" s="7" t="s">
        <v>24</v>
      </c>
      <c r="CJ15" s="7" t="s">
        <v>24</v>
      </c>
      <c r="CK15" s="46">
        <v>0.79700000000000004</v>
      </c>
      <c r="CL15" s="10">
        <v>0.80788850000000001</v>
      </c>
      <c r="CM15" s="10">
        <v>0.96116500000000005</v>
      </c>
      <c r="CN15" s="10">
        <v>0.87788659999999996</v>
      </c>
      <c r="CO15" s="7" t="s">
        <v>24</v>
      </c>
      <c r="CP15" s="7">
        <v>0</v>
      </c>
      <c r="CQ15" s="7">
        <v>0.5</v>
      </c>
      <c r="CR15" s="7">
        <v>0.5</v>
      </c>
      <c r="CS15" s="7">
        <v>0</v>
      </c>
      <c r="CT15" s="10">
        <v>0.45763330000000002</v>
      </c>
      <c r="CU15" s="10">
        <v>0.54236669999999998</v>
      </c>
      <c r="CV15" s="7" t="s">
        <v>24</v>
      </c>
      <c r="CW15" s="7" t="s">
        <v>24</v>
      </c>
      <c r="CX15" s="7" t="s">
        <v>24</v>
      </c>
      <c r="CY15" s="45">
        <v>0.85699999999999998</v>
      </c>
      <c r="CZ15" s="10">
        <v>0.88519130000000001</v>
      </c>
      <c r="DA15" s="10">
        <v>0.93257820000000002</v>
      </c>
      <c r="DB15" s="10">
        <v>0.90826709999999999</v>
      </c>
      <c r="DC15" s="46">
        <v>0.36649999999999999</v>
      </c>
      <c r="DD15" s="10">
        <v>0.77533629999999998</v>
      </c>
      <c r="DE15" s="10">
        <v>0.23314460000000001</v>
      </c>
      <c r="DF15" s="10">
        <v>0.35849059999999999</v>
      </c>
      <c r="DG15" s="7" t="s">
        <v>24</v>
      </c>
      <c r="DH15" s="7">
        <v>0</v>
      </c>
      <c r="DI15" s="7">
        <v>0.5</v>
      </c>
      <c r="DJ15" s="7">
        <v>0.5</v>
      </c>
      <c r="DK15" s="7">
        <v>0</v>
      </c>
      <c r="DL15" s="10">
        <v>0.16106670000000001</v>
      </c>
      <c r="DM15" s="10">
        <v>0.83893329999999999</v>
      </c>
      <c r="DN15" s="7" t="s">
        <v>24</v>
      </c>
      <c r="DO15" s="7" t="s">
        <v>24</v>
      </c>
      <c r="DP15" s="7" t="s">
        <v>24</v>
      </c>
      <c r="DQ15" s="56">
        <v>0.84850000000000003</v>
      </c>
      <c r="DR15" s="10">
        <v>0.87789660000000003</v>
      </c>
      <c r="DS15" s="10">
        <v>0.92974650000000003</v>
      </c>
      <c r="DT15" s="10">
        <v>0.90307789999999999</v>
      </c>
      <c r="DU15" s="7" t="s">
        <v>24</v>
      </c>
      <c r="DV15" s="7">
        <v>0</v>
      </c>
      <c r="DW15" s="32">
        <v>1</v>
      </c>
      <c r="DX15" s="7">
        <v>0</v>
      </c>
      <c r="DY15" s="7">
        <v>0</v>
      </c>
      <c r="DZ15" s="50">
        <v>1</v>
      </c>
      <c r="EA15" s="10">
        <v>0</v>
      </c>
      <c r="EB15" s="7" t="s">
        <v>24</v>
      </c>
      <c r="EC15" s="7" t="s">
        <v>24</v>
      </c>
      <c r="ED15" s="7" t="s">
        <v>24</v>
      </c>
      <c r="EE15" s="45">
        <v>0.77510000000000001</v>
      </c>
      <c r="EF15" s="10">
        <v>0.77145532000000006</v>
      </c>
      <c r="EG15" s="10">
        <v>1</v>
      </c>
      <c r="EH15" s="10">
        <v>0.87098478999999995</v>
      </c>
      <c r="EI15" s="46">
        <v>0.4466</v>
      </c>
      <c r="EJ15" s="10">
        <v>0.69194040000000001</v>
      </c>
      <c r="EK15" s="10">
        <v>0.48853829999999998</v>
      </c>
      <c r="EL15" s="10">
        <v>0.5727158</v>
      </c>
      <c r="EM15" s="7" t="s">
        <v>24</v>
      </c>
      <c r="EN15" s="7">
        <v>0</v>
      </c>
      <c r="EO15" s="7">
        <v>0.5</v>
      </c>
      <c r="EP15" s="7">
        <v>0.5</v>
      </c>
      <c r="EQ15" s="7">
        <v>0</v>
      </c>
      <c r="ER15" s="10">
        <v>0.15696669999999999</v>
      </c>
      <c r="ES15" s="10">
        <v>0.84303329999999999</v>
      </c>
      <c r="ET15" s="7" t="s">
        <v>24</v>
      </c>
      <c r="EU15" s="7" t="s">
        <v>24</v>
      </c>
      <c r="EV15" s="7" t="s">
        <v>24</v>
      </c>
      <c r="EW15" s="48">
        <v>0.4466</v>
      </c>
      <c r="EX15" s="10">
        <v>0.69194040000000001</v>
      </c>
      <c r="EY15" s="10">
        <v>0.48853829999999998</v>
      </c>
      <c r="EZ15" s="10">
        <v>0.5727158</v>
      </c>
      <c r="FA15" s="7" t="s">
        <v>24</v>
      </c>
      <c r="FB15" s="10">
        <v>0</v>
      </c>
      <c r="FC15" s="10">
        <v>0.5</v>
      </c>
      <c r="FD15" s="10">
        <v>0.5</v>
      </c>
      <c r="FE15" s="10">
        <v>0</v>
      </c>
      <c r="FF15" s="10">
        <v>0.158</v>
      </c>
      <c r="FG15" s="10">
        <v>0.84199999999999997</v>
      </c>
      <c r="FH15" s="7" t="s">
        <v>24</v>
      </c>
      <c r="FI15" s="7" t="s">
        <v>24</v>
      </c>
      <c r="FJ15" s="7" t="s">
        <v>24</v>
      </c>
    </row>
    <row r="16" spans="2:166" x14ac:dyDescent="0.2">
      <c r="B16" s="3"/>
      <c r="C16" s="6"/>
      <c r="E16" s="3"/>
      <c r="F16" s="3"/>
      <c r="G16" s="14"/>
      <c r="H16" s="7"/>
      <c r="I16" s="7"/>
      <c r="J16" s="7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4"/>
      <c r="AN16" s="7"/>
      <c r="AO16" s="7"/>
      <c r="AP16" s="1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14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14"/>
      <c r="BT16" s="7"/>
      <c r="BU16" s="7"/>
      <c r="BV16" s="7"/>
      <c r="BW16" s="14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14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14"/>
      <c r="CZ16" s="7"/>
      <c r="DA16" s="7"/>
      <c r="DB16" s="7"/>
      <c r="DC16" s="14"/>
      <c r="DD16" s="7"/>
      <c r="DE16" s="7"/>
      <c r="DF16" s="7"/>
      <c r="DG16" s="7"/>
      <c r="DH16" s="7"/>
      <c r="DI16" s="7"/>
      <c r="DJ16" s="7"/>
      <c r="DK16" s="7"/>
      <c r="DL16" s="7"/>
      <c r="DM16" s="10"/>
      <c r="DN16" s="7"/>
      <c r="DO16" s="7"/>
      <c r="DP16" s="7"/>
      <c r="DQ16" s="14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14"/>
      <c r="EF16" s="7"/>
      <c r="EG16" s="7"/>
      <c r="EH16" s="7"/>
      <c r="EI16" s="14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14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</row>
    <row r="17" spans="2:166" x14ac:dyDescent="0.2">
      <c r="B17" s="3"/>
      <c r="C17" s="6"/>
      <c r="E17" s="3"/>
      <c r="F17" s="3"/>
      <c r="G17" s="14"/>
      <c r="H17" s="7"/>
      <c r="I17" s="7"/>
      <c r="J17" s="7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4"/>
      <c r="AN17" s="7"/>
      <c r="AO17" s="7"/>
      <c r="AP17" s="1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14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14"/>
      <c r="BT17" s="7"/>
      <c r="BU17" s="7"/>
      <c r="BV17" s="7"/>
      <c r="BW17" s="14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14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14"/>
      <c r="CZ17" s="7"/>
      <c r="DA17" s="7"/>
      <c r="DB17" s="7"/>
      <c r="DC17" s="14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14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14"/>
      <c r="EF17" s="7"/>
      <c r="EG17" s="7"/>
      <c r="EH17" s="7"/>
      <c r="EI17" s="14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14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</row>
    <row r="18" spans="2:166" x14ac:dyDescent="0.2">
      <c r="B18" s="3"/>
      <c r="C18" s="6">
        <v>3</v>
      </c>
      <c r="D18" t="s">
        <v>40</v>
      </c>
      <c r="E18" s="3"/>
      <c r="F18" s="3"/>
      <c r="G18" s="45">
        <v>0.85325090000000003</v>
      </c>
      <c r="H18" s="7"/>
      <c r="I18" s="7"/>
      <c r="J18" s="7"/>
      <c r="K18" s="45">
        <v>0.84209330000000004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45">
        <v>0.84218669999999995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45">
        <v>0.82308809999999999</v>
      </c>
      <c r="AN18" s="8"/>
      <c r="AO18" s="8"/>
      <c r="AP18" s="16"/>
      <c r="AQ18" s="10">
        <v>0.79927499999999996</v>
      </c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45">
        <v>0.8016508</v>
      </c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45">
        <v>0.80929189999999995</v>
      </c>
      <c r="BT18" s="7"/>
      <c r="BU18" s="7"/>
      <c r="BV18" s="7"/>
      <c r="BW18" s="45">
        <v>0.82374259999999999</v>
      </c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46">
        <v>0.76811969999999996</v>
      </c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45">
        <v>0.85191519999999998</v>
      </c>
      <c r="CZ18" s="7"/>
      <c r="DA18" s="7"/>
      <c r="DB18" s="7"/>
      <c r="DC18" s="46">
        <v>0.82234309999999999</v>
      </c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45">
        <v>0.83625579999999999</v>
      </c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45">
        <v>0.76161639999999997</v>
      </c>
      <c r="EF18" s="7"/>
      <c r="EG18" s="7"/>
      <c r="EH18" s="7"/>
      <c r="EI18" s="47">
        <v>0.77158400000000005</v>
      </c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46">
        <v>0.77158400000000005</v>
      </c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</row>
    <row r="19" spans="2:166" x14ac:dyDescent="0.2">
      <c r="B19" s="3"/>
      <c r="C19" s="6">
        <v>3</v>
      </c>
      <c r="D19" t="s">
        <v>41</v>
      </c>
      <c r="E19" s="3"/>
      <c r="F19" s="3"/>
      <c r="G19" s="45">
        <v>0.85483019999999998</v>
      </c>
      <c r="H19" s="7"/>
      <c r="I19" s="7"/>
      <c r="J19" s="7"/>
      <c r="K19" s="45">
        <v>0.84979610000000005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45">
        <v>0.83522430000000003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45">
        <v>0.82166360000000005</v>
      </c>
      <c r="AN19" s="7"/>
      <c r="AO19" s="7"/>
      <c r="AP19" s="17"/>
      <c r="AQ19" s="10">
        <v>0.80466800000000005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45">
        <v>0.80175300000000005</v>
      </c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45">
        <v>0.84967749999999997</v>
      </c>
      <c r="BT19" s="7"/>
      <c r="BU19" s="7"/>
      <c r="BV19" s="7"/>
      <c r="BW19" s="45">
        <v>0.83348440000000001</v>
      </c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46">
        <v>0.83290359999999997</v>
      </c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45">
        <v>0.84745990000000004</v>
      </c>
      <c r="CZ19" s="7"/>
      <c r="DA19" s="7"/>
      <c r="DB19" s="7"/>
      <c r="DC19" s="46">
        <v>0.83257820000000005</v>
      </c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45">
        <v>0.8313564</v>
      </c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45">
        <v>0.75914709999999996</v>
      </c>
      <c r="EF19" s="7"/>
      <c r="EG19" s="7"/>
      <c r="EH19" s="7"/>
      <c r="EI19" s="47">
        <v>0.77140920000000002</v>
      </c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46">
        <v>0.77135739999999997</v>
      </c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</row>
    <row r="20" spans="2:166" x14ac:dyDescent="0.2">
      <c r="B20" s="3"/>
      <c r="C20" s="6">
        <v>3</v>
      </c>
      <c r="D20" t="s">
        <v>42</v>
      </c>
      <c r="E20" s="3"/>
      <c r="F20" s="3"/>
      <c r="G20" s="45">
        <v>0.85744370000000003</v>
      </c>
      <c r="H20" s="7"/>
      <c r="I20" s="7"/>
      <c r="J20" s="7"/>
      <c r="K20" s="45">
        <v>0.84134180000000003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45">
        <v>0.82723049999999998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45">
        <v>0.81653070000000005</v>
      </c>
      <c r="AN20" s="7"/>
      <c r="AO20" s="7"/>
      <c r="AP20" s="17"/>
      <c r="AQ20" s="10">
        <v>0.80036260000000004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45">
        <v>0.80428060000000001</v>
      </c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45">
        <v>0.82969199999999999</v>
      </c>
      <c r="BT20" s="7"/>
      <c r="BU20" s="7"/>
      <c r="BV20" s="7"/>
      <c r="BW20" s="45">
        <v>0.80915680000000001</v>
      </c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46">
        <v>0.82701729999999996</v>
      </c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45">
        <v>0.84653860000000003</v>
      </c>
      <c r="CZ20" s="7"/>
      <c r="DA20" s="7"/>
      <c r="DB20" s="7"/>
      <c r="DC20" s="46">
        <v>0.83186040000000006</v>
      </c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45">
        <v>0.8313564</v>
      </c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45">
        <v>0.76533300000000004</v>
      </c>
      <c r="EF20" s="7"/>
      <c r="EG20" s="7"/>
      <c r="EH20" s="7"/>
      <c r="EI20" s="47">
        <v>0.77135739999999997</v>
      </c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46">
        <v>0.77140920000000002</v>
      </c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</row>
    <row r="21" spans="2:166" x14ac:dyDescent="0.2">
      <c r="B21" s="3"/>
      <c r="C21" s="6">
        <v>3</v>
      </c>
      <c r="D21" t="s">
        <v>49</v>
      </c>
      <c r="E21" s="3"/>
      <c r="F21" s="3"/>
      <c r="G21" s="13">
        <f>AVERAGE(G18:G20)</f>
        <v>0.85517493333333328</v>
      </c>
      <c r="H21" s="7"/>
      <c r="I21" s="7"/>
      <c r="J21" s="7"/>
      <c r="K21" s="13">
        <f>AVERAGE(K18:K20)</f>
        <v>0.84441040000000001</v>
      </c>
      <c r="L21" s="7"/>
      <c r="M21" s="7"/>
      <c r="N21" s="7"/>
      <c r="O21" s="10">
        <v>2.3980000000000001E-2</v>
      </c>
      <c r="P21" s="7">
        <v>0</v>
      </c>
      <c r="Q21" s="7">
        <v>0.5</v>
      </c>
      <c r="R21" s="7">
        <v>0.5</v>
      </c>
      <c r="S21" s="7">
        <v>0</v>
      </c>
      <c r="T21" s="10">
        <v>0.4914</v>
      </c>
      <c r="U21" s="10">
        <v>0.50860000000000005</v>
      </c>
      <c r="V21" s="10">
        <v>1.840616E-3</v>
      </c>
      <c r="W21" s="10">
        <v>7.0494389999999996E-4</v>
      </c>
      <c r="X21" s="49">
        <v>0.99745439999999996</v>
      </c>
      <c r="Y21" s="42">
        <f>AVERAGE(Y18:Y20)</f>
        <v>0.83488050000000003</v>
      </c>
      <c r="Z21" s="7"/>
      <c r="AA21" s="7"/>
      <c r="AB21" s="7"/>
      <c r="AC21" s="10">
        <v>5.3030000000000001E-2</v>
      </c>
      <c r="AD21" s="7">
        <v>0</v>
      </c>
      <c r="AE21" s="7">
        <v>0.25</v>
      </c>
      <c r="AF21" s="7">
        <v>0.75</v>
      </c>
      <c r="AG21" s="10">
        <v>0</v>
      </c>
      <c r="AH21" s="10">
        <v>3.7233330000000002E-2</v>
      </c>
      <c r="AI21" s="49">
        <v>0.96276669999999998</v>
      </c>
      <c r="AJ21" s="10">
        <v>1.6382629999999999E-2</v>
      </c>
      <c r="AK21" s="10">
        <v>8.7919629999999999E-2</v>
      </c>
      <c r="AL21" s="49">
        <v>0.89569770000000004</v>
      </c>
      <c r="AM21" s="13">
        <f>AVERAGE(AM18:AM20)</f>
        <v>0.82042746666666666</v>
      </c>
      <c r="AN21" s="8"/>
      <c r="AO21" s="8"/>
      <c r="AP21" s="16"/>
      <c r="AQ21" s="40">
        <f>AVERAGE(AQ18:AQ20)</f>
        <v>0.80143520000000013</v>
      </c>
      <c r="AR21" s="7"/>
      <c r="AS21" s="7"/>
      <c r="AT21" s="7"/>
      <c r="AU21" s="10">
        <v>3.4790000000000001E-2</v>
      </c>
      <c r="AV21" s="7">
        <v>0</v>
      </c>
      <c r="AW21" s="7">
        <v>0.25</v>
      </c>
      <c r="AX21" s="7">
        <v>0.75</v>
      </c>
      <c r="AY21" s="7">
        <v>0</v>
      </c>
      <c r="AZ21" s="10">
        <v>3.8866669999999999E-2</v>
      </c>
      <c r="BA21" s="49">
        <v>0.96113329999999997</v>
      </c>
      <c r="BB21" s="10">
        <v>1.0176660000000001E-2</v>
      </c>
      <c r="BC21" s="10">
        <v>7.2638880000000003E-2</v>
      </c>
      <c r="BD21" s="59">
        <v>0.91718449999999996</v>
      </c>
      <c r="BE21" s="39">
        <f>AVERAGE(BE18:BE20)</f>
        <v>0.80256146666666661</v>
      </c>
      <c r="BF21" s="7"/>
      <c r="BG21" s="7"/>
      <c r="BH21" s="7"/>
      <c r="BI21" s="10">
        <v>1.1560000000000001E-2</v>
      </c>
      <c r="BJ21" s="7">
        <v>0</v>
      </c>
      <c r="BK21" s="7">
        <v>0.25</v>
      </c>
      <c r="BL21" s="7">
        <v>0.75</v>
      </c>
      <c r="BM21" s="7">
        <v>0</v>
      </c>
      <c r="BN21" s="10">
        <v>8.6566669999999998E-2</v>
      </c>
      <c r="BO21" s="59">
        <v>0.9134333</v>
      </c>
      <c r="BP21" s="10">
        <v>3.192322E-3</v>
      </c>
      <c r="BQ21" s="10">
        <v>3.2929470000000002E-2</v>
      </c>
      <c r="BR21" s="49">
        <v>0.96387820000000002</v>
      </c>
      <c r="BS21" s="51">
        <f>AVERAGE(BS18:BS20)</f>
        <v>0.8295537999999999</v>
      </c>
      <c r="BT21" s="7"/>
      <c r="BU21" s="7"/>
      <c r="BV21" s="7"/>
      <c r="BW21" s="51">
        <f>AVERAGE(BW18:BW20)</f>
        <v>0.82212793333333334</v>
      </c>
      <c r="BX21" s="7"/>
      <c r="BY21" s="7"/>
      <c r="BZ21" s="7"/>
      <c r="CA21" s="10">
        <v>0.2545</v>
      </c>
      <c r="CB21" s="7">
        <v>0</v>
      </c>
      <c r="CC21" s="7">
        <v>0.75</v>
      </c>
      <c r="CD21" s="7">
        <v>0.25</v>
      </c>
      <c r="CE21" s="7">
        <v>0</v>
      </c>
      <c r="CF21" s="10">
        <v>0.84250000000000003</v>
      </c>
      <c r="CG21" s="10">
        <v>0.1575</v>
      </c>
      <c r="CH21" s="10">
        <v>4.232172E-2</v>
      </c>
      <c r="CI21" s="10">
        <v>0.61685219999999996</v>
      </c>
      <c r="CJ21" s="10">
        <v>0.34082600000000002</v>
      </c>
      <c r="CK21" s="14">
        <f>AVERAGE(CK18:CK20)</f>
        <v>0.80934686666666666</v>
      </c>
      <c r="CL21" s="7"/>
      <c r="CM21" s="7"/>
      <c r="CN21" s="7"/>
      <c r="CO21" s="10">
        <v>0.25700000000000001</v>
      </c>
      <c r="CP21" s="7">
        <v>0</v>
      </c>
      <c r="CQ21" s="7">
        <v>0.5</v>
      </c>
      <c r="CR21" s="7">
        <v>0.5</v>
      </c>
      <c r="CS21" s="7">
        <v>0</v>
      </c>
      <c r="CT21" s="10">
        <v>0.30083330000000003</v>
      </c>
      <c r="CU21" s="10">
        <v>0.69916670000000003</v>
      </c>
      <c r="CV21" s="10">
        <v>8.9578140000000001E-2</v>
      </c>
      <c r="CW21" s="10">
        <v>8.9578140000000001E-2</v>
      </c>
      <c r="CX21" s="10">
        <v>0.71841829999999995</v>
      </c>
      <c r="CY21" s="14">
        <f>AVERAGE(CY18:CY20)</f>
        <v>0.84863790000000006</v>
      </c>
      <c r="CZ21" s="7"/>
      <c r="DA21" s="7"/>
      <c r="DB21" s="7"/>
      <c r="DC21" s="34">
        <f>AVERAGE(DC18:DC20)</f>
        <v>0.82892723333333329</v>
      </c>
      <c r="DD21" s="7"/>
      <c r="DE21" s="7"/>
      <c r="DF21" s="7"/>
      <c r="DG21" s="10">
        <v>7.0209999999999999E-4</v>
      </c>
      <c r="DH21" s="7">
        <v>0</v>
      </c>
      <c r="DI21" s="7">
        <v>0.25</v>
      </c>
      <c r="DJ21" s="7">
        <v>0.75</v>
      </c>
      <c r="DK21" s="7">
        <v>0</v>
      </c>
      <c r="DL21" s="10">
        <v>8.4666670000000006E-3</v>
      </c>
      <c r="DM21" s="49">
        <v>0.99153329999999995</v>
      </c>
      <c r="DN21" s="10">
        <v>4.0419069999999999E-4</v>
      </c>
      <c r="DO21" s="10">
        <v>1.4374259999999999E-4</v>
      </c>
      <c r="DP21" s="49">
        <v>0.99945209999999995</v>
      </c>
      <c r="DQ21" s="14">
        <f>AVERAGE(DQ18:DQ20)</f>
        <v>0.83298953333333337</v>
      </c>
      <c r="DR21" s="7"/>
      <c r="DS21" s="7"/>
      <c r="DT21" s="7"/>
      <c r="DU21" s="10">
        <v>0.13089999999999999</v>
      </c>
      <c r="DV21" s="7">
        <v>0</v>
      </c>
      <c r="DW21" s="7">
        <v>0.5</v>
      </c>
      <c r="DX21" s="7">
        <v>0.5</v>
      </c>
      <c r="DY21" s="7">
        <v>0</v>
      </c>
      <c r="DZ21" s="10">
        <v>0.67420000000000002</v>
      </c>
      <c r="EA21" s="10">
        <v>0.32579999999999998</v>
      </c>
      <c r="EB21" s="10">
        <v>1.920883E-2</v>
      </c>
      <c r="EC21" s="10">
        <v>0.68944309999999998</v>
      </c>
      <c r="ED21" s="10">
        <v>0.2913481</v>
      </c>
      <c r="EE21" s="14">
        <f>AVERAGE(EE18:EE20)</f>
        <v>0.76203216666666673</v>
      </c>
      <c r="EF21" s="7"/>
      <c r="EG21" s="7"/>
      <c r="EH21" s="7"/>
      <c r="EI21" s="19">
        <f>AVERAGE(EI18:EI20)</f>
        <v>0.77145019999999997</v>
      </c>
      <c r="EJ21" s="7"/>
      <c r="EK21" s="7"/>
      <c r="EL21" s="7"/>
      <c r="EM21" s="10">
        <v>3.5430000000000003E-2</v>
      </c>
      <c r="EN21" s="7">
        <v>0.25</v>
      </c>
      <c r="EO21" s="7">
        <v>0.75</v>
      </c>
      <c r="EP21" s="7">
        <v>0</v>
      </c>
      <c r="EQ21" s="10">
        <v>0.15716669999999999</v>
      </c>
      <c r="ER21" s="10">
        <v>0.84283330000000001</v>
      </c>
      <c r="ES21" s="7">
        <v>0</v>
      </c>
      <c r="ET21" s="10">
        <v>0.40398390000000001</v>
      </c>
      <c r="EU21" s="10">
        <v>0.59025119999999998</v>
      </c>
      <c r="EV21" s="10">
        <v>5.7649499999999996E-3</v>
      </c>
      <c r="EW21" s="14">
        <f>AVERAGE(EW18:EW20)</f>
        <v>0.77145019999999997</v>
      </c>
      <c r="EX21" s="7"/>
      <c r="EY21" s="7"/>
      <c r="EZ21" s="7"/>
      <c r="FA21" s="10">
        <v>3.4349999999999999E-2</v>
      </c>
      <c r="FB21" s="7">
        <v>0.25</v>
      </c>
      <c r="FC21" s="7">
        <v>0.75</v>
      </c>
      <c r="FD21" s="7">
        <v>0</v>
      </c>
      <c r="FE21" s="10">
        <v>0.15596670000000001</v>
      </c>
      <c r="FF21" s="10">
        <v>0.84403329999999999</v>
      </c>
      <c r="FG21" s="7">
        <v>0</v>
      </c>
      <c r="FH21" s="10">
        <v>0.40245989999999998</v>
      </c>
      <c r="FI21" s="10">
        <v>0.59195770000000003</v>
      </c>
      <c r="FJ21" s="10">
        <v>5.5824619999999998E-3</v>
      </c>
    </row>
    <row r="22" spans="2:166" x14ac:dyDescent="0.2">
      <c r="B22" s="3"/>
      <c r="C22" s="6">
        <v>3</v>
      </c>
      <c r="D22" t="s">
        <v>43</v>
      </c>
      <c r="E22" s="3"/>
      <c r="F22" s="3"/>
      <c r="G22" s="45">
        <v>0.86029999999999995</v>
      </c>
      <c r="H22" s="10">
        <v>0.89195489999999999</v>
      </c>
      <c r="I22" s="10">
        <v>0.9283981</v>
      </c>
      <c r="J22" s="10">
        <v>0.9098117</v>
      </c>
      <c r="K22" s="45">
        <v>0.61380000000000001</v>
      </c>
      <c r="L22" s="10">
        <v>0.80509039999999998</v>
      </c>
      <c r="M22" s="10">
        <v>0.64832789999999996</v>
      </c>
      <c r="N22" s="10">
        <v>0.71825519999999998</v>
      </c>
      <c r="O22" s="7" t="s">
        <v>24</v>
      </c>
      <c r="P22" s="7">
        <v>0</v>
      </c>
      <c r="Q22" s="7">
        <v>0.5</v>
      </c>
      <c r="R22" s="7">
        <v>0.5</v>
      </c>
      <c r="S22" s="7">
        <v>0</v>
      </c>
      <c r="T22" s="10">
        <v>0.15876670000000001</v>
      </c>
      <c r="U22" s="10">
        <v>0.84123329999999996</v>
      </c>
      <c r="V22" s="7" t="s">
        <v>24</v>
      </c>
      <c r="W22" s="7" t="s">
        <v>24</v>
      </c>
      <c r="X22" s="7" t="s">
        <v>24</v>
      </c>
      <c r="Y22" s="45">
        <v>0.90800000000000003</v>
      </c>
      <c r="Z22" s="10">
        <v>0.92566950000000003</v>
      </c>
      <c r="AA22" s="10">
        <v>0.95550159999999995</v>
      </c>
      <c r="AB22" s="10">
        <v>0.94034899999999999</v>
      </c>
      <c r="AC22" s="7" t="s">
        <v>24</v>
      </c>
      <c r="AD22" s="10">
        <v>0.5</v>
      </c>
      <c r="AE22" s="10">
        <v>0.5</v>
      </c>
      <c r="AF22" s="10">
        <v>0</v>
      </c>
      <c r="AG22" s="10">
        <v>0.84319999999999995</v>
      </c>
      <c r="AH22" s="10">
        <v>0.15679999999999999</v>
      </c>
      <c r="AI22" s="7">
        <v>0</v>
      </c>
      <c r="AJ22" s="7" t="s">
        <v>24</v>
      </c>
      <c r="AK22" s="7" t="s">
        <v>24</v>
      </c>
      <c r="AL22" s="7" t="s">
        <v>24</v>
      </c>
      <c r="AM22" s="45">
        <v>0.82589999999999997</v>
      </c>
      <c r="AN22" s="10">
        <v>0.8480936</v>
      </c>
      <c r="AO22" s="10">
        <v>0.93878099999999998</v>
      </c>
      <c r="AP22" s="55">
        <v>0.89113600000000004</v>
      </c>
      <c r="AQ22" s="10">
        <v>0.74409999999999998</v>
      </c>
      <c r="AR22" s="10">
        <v>0.79338739999999996</v>
      </c>
      <c r="AS22" s="10">
        <v>0.89630529999999997</v>
      </c>
      <c r="AT22" s="10">
        <v>0.84171200000000002</v>
      </c>
      <c r="AU22" s="7" t="s">
        <v>24</v>
      </c>
      <c r="AV22" s="7">
        <v>0</v>
      </c>
      <c r="AW22" s="7">
        <v>0.5</v>
      </c>
      <c r="AX22" s="7">
        <v>0.5</v>
      </c>
      <c r="AY22" s="7">
        <v>0</v>
      </c>
      <c r="AZ22" s="10">
        <v>0.1585</v>
      </c>
      <c r="BA22" s="10">
        <v>0.84150000000000003</v>
      </c>
      <c r="BB22" s="7" t="s">
        <v>24</v>
      </c>
      <c r="BC22" s="7" t="s">
        <v>24</v>
      </c>
      <c r="BD22" s="7" t="s">
        <v>24</v>
      </c>
      <c r="BE22" s="45">
        <v>0.85009999999999997</v>
      </c>
      <c r="BF22" s="10">
        <v>0.86795250000000002</v>
      </c>
      <c r="BG22" s="10">
        <v>0.9466019</v>
      </c>
      <c r="BH22" s="10">
        <v>0.90557279999999996</v>
      </c>
      <c r="BI22" s="7" t="s">
        <v>24</v>
      </c>
      <c r="BJ22" s="7">
        <v>0.5</v>
      </c>
      <c r="BK22" s="7">
        <v>0.5</v>
      </c>
      <c r="BL22" s="7">
        <v>0</v>
      </c>
      <c r="BM22" s="10">
        <v>0.8385667</v>
      </c>
      <c r="BN22" s="10">
        <v>0.1614333</v>
      </c>
      <c r="BO22" s="7">
        <v>0</v>
      </c>
      <c r="BP22" s="7" t="s">
        <v>24</v>
      </c>
      <c r="BQ22" s="7" t="s">
        <v>24</v>
      </c>
      <c r="BR22" s="7" t="s">
        <v>24</v>
      </c>
      <c r="BS22" s="45">
        <v>0.81120000000000003</v>
      </c>
      <c r="BT22" s="10">
        <v>0.86638610000000005</v>
      </c>
      <c r="BU22" s="10">
        <v>0.88834950000000001</v>
      </c>
      <c r="BV22" s="10">
        <v>0.87723039999999997</v>
      </c>
      <c r="BW22" s="45">
        <v>0.79210000000000003</v>
      </c>
      <c r="BX22" s="10">
        <v>0.79199649999999999</v>
      </c>
      <c r="BY22" s="10">
        <v>0.98476269999999999</v>
      </c>
      <c r="BZ22" s="10">
        <v>0.87792269999999994</v>
      </c>
      <c r="CA22" s="7" t="s">
        <v>24</v>
      </c>
      <c r="CB22" s="7">
        <v>0</v>
      </c>
      <c r="CC22" s="7">
        <v>0.5</v>
      </c>
      <c r="CD22" s="7">
        <v>0.5</v>
      </c>
      <c r="CE22" s="7">
        <v>0</v>
      </c>
      <c r="CF22" s="10">
        <v>0.45519999999999999</v>
      </c>
      <c r="CG22" s="10">
        <v>0.54479999999999995</v>
      </c>
      <c r="CH22" s="7" t="s">
        <v>24</v>
      </c>
      <c r="CI22" s="7" t="s">
        <v>24</v>
      </c>
      <c r="CJ22" s="7" t="s">
        <v>24</v>
      </c>
      <c r="CK22" s="46">
        <v>0.80210000000000004</v>
      </c>
      <c r="CL22" s="10">
        <v>0.88694419999999996</v>
      </c>
      <c r="CM22" s="10">
        <v>0.84735709999999997</v>
      </c>
      <c r="CN22" s="10">
        <v>0.86669879999999999</v>
      </c>
      <c r="CO22" s="7" t="s">
        <v>24</v>
      </c>
      <c r="CP22" s="7">
        <v>0</v>
      </c>
      <c r="CQ22" s="7">
        <v>1</v>
      </c>
      <c r="CR22" s="7">
        <v>0</v>
      </c>
      <c r="CS22" s="7">
        <v>0</v>
      </c>
      <c r="CT22" s="7">
        <v>1</v>
      </c>
      <c r="CU22" s="7">
        <v>0</v>
      </c>
      <c r="CV22" s="7" t="s">
        <v>24</v>
      </c>
      <c r="CW22" s="7" t="s">
        <v>24</v>
      </c>
      <c r="CX22" s="7" t="s">
        <v>24</v>
      </c>
      <c r="CY22" s="45">
        <v>0.85699999999999998</v>
      </c>
      <c r="CZ22" s="10">
        <v>0.88519130000000001</v>
      </c>
      <c r="DA22" s="10">
        <v>0.93257820000000002</v>
      </c>
      <c r="DB22" s="10">
        <v>0.90826709999999999</v>
      </c>
      <c r="DC22" s="46">
        <v>0.58699999999999997</v>
      </c>
      <c r="DD22" s="10">
        <v>0.74450550000000004</v>
      </c>
      <c r="DE22" s="10">
        <v>0.69430959999999997</v>
      </c>
      <c r="DF22" s="10">
        <v>0.71853199999999995</v>
      </c>
      <c r="DG22" s="7" t="s">
        <v>24</v>
      </c>
      <c r="DH22" s="7">
        <v>0</v>
      </c>
      <c r="DI22" s="7">
        <v>0.5</v>
      </c>
      <c r="DJ22" s="7">
        <v>0.5</v>
      </c>
      <c r="DK22" s="10">
        <v>0</v>
      </c>
      <c r="DL22" s="10">
        <v>0.1608667</v>
      </c>
      <c r="DM22" s="10">
        <v>0.83913329999999997</v>
      </c>
      <c r="DN22" s="7" t="s">
        <v>24</v>
      </c>
      <c r="DO22" s="7" t="s">
        <v>24</v>
      </c>
      <c r="DP22" s="7" t="s">
        <v>24</v>
      </c>
      <c r="DQ22" s="45">
        <v>0.84340000000000004</v>
      </c>
      <c r="DR22" s="10">
        <v>0.88350269999999997</v>
      </c>
      <c r="DS22" s="10">
        <v>0.91423949999999998</v>
      </c>
      <c r="DT22" s="10">
        <v>0.89860830000000003</v>
      </c>
      <c r="DU22" s="7" t="s">
        <v>24</v>
      </c>
      <c r="DV22" s="7">
        <v>0</v>
      </c>
      <c r="DW22" s="7">
        <v>0.5</v>
      </c>
      <c r="DX22" s="7">
        <v>0.5</v>
      </c>
      <c r="DY22" s="7">
        <v>0</v>
      </c>
      <c r="DZ22" s="7">
        <v>1</v>
      </c>
      <c r="EA22" s="7">
        <v>0</v>
      </c>
      <c r="EB22" s="7" t="s">
        <v>24</v>
      </c>
      <c r="EC22" s="7" t="s">
        <v>24</v>
      </c>
      <c r="ED22" s="7" t="s">
        <v>24</v>
      </c>
      <c r="EE22" s="45">
        <v>0.77510000000000001</v>
      </c>
      <c r="EF22" s="10">
        <v>0.77145532000000006</v>
      </c>
      <c r="EG22" s="10">
        <v>1</v>
      </c>
      <c r="EH22" s="10">
        <v>0.87098478999999995</v>
      </c>
      <c r="EI22" s="46">
        <v>0.76</v>
      </c>
      <c r="EJ22" s="10">
        <v>0.75983606599999998</v>
      </c>
      <c r="EK22" s="10">
        <v>1</v>
      </c>
      <c r="EL22" s="10">
        <v>0.86353050799999997</v>
      </c>
      <c r="EM22" s="7" t="s">
        <v>24</v>
      </c>
      <c r="EN22" s="7">
        <v>0</v>
      </c>
      <c r="EO22" s="7">
        <v>0.5</v>
      </c>
      <c r="EP22" s="7">
        <v>0.5</v>
      </c>
      <c r="EQ22" s="7">
        <v>0</v>
      </c>
      <c r="ER22" s="10">
        <v>0.16020000000000001</v>
      </c>
      <c r="ES22" s="10">
        <v>0.83979999999999999</v>
      </c>
      <c r="ET22" s="7" t="s">
        <v>24</v>
      </c>
      <c r="EU22" s="7" t="s">
        <v>24</v>
      </c>
      <c r="EV22" s="7" t="s">
        <v>24</v>
      </c>
      <c r="EW22" s="46">
        <v>0.76</v>
      </c>
      <c r="EX22" s="10">
        <v>0.75983606599999998</v>
      </c>
      <c r="EY22" s="10">
        <v>1</v>
      </c>
      <c r="EZ22" s="10">
        <v>0.86353050799999997</v>
      </c>
      <c r="FA22" s="7" t="s">
        <v>24</v>
      </c>
      <c r="FB22" s="10">
        <v>0</v>
      </c>
      <c r="FC22" s="10">
        <v>0.5</v>
      </c>
      <c r="FD22" s="10">
        <v>0.5</v>
      </c>
      <c r="FE22" s="10">
        <v>0</v>
      </c>
      <c r="FF22" s="10">
        <v>0.46200000000000002</v>
      </c>
      <c r="FG22" s="10">
        <v>0.53800000000000003</v>
      </c>
      <c r="FH22" s="7" t="s">
        <v>24</v>
      </c>
      <c r="FI22" s="7" t="s">
        <v>24</v>
      </c>
      <c r="FJ22" s="7" t="s">
        <v>24</v>
      </c>
    </row>
    <row r="23" spans="2:166" x14ac:dyDescent="0.2">
      <c r="B23" s="3"/>
      <c r="C23" s="6"/>
      <c r="E23" s="3"/>
      <c r="F23" s="3"/>
      <c r="G23" s="14"/>
      <c r="H23" s="7"/>
      <c r="I23" s="7"/>
      <c r="J23" s="7"/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4"/>
      <c r="AN23" s="7"/>
      <c r="AO23" s="7"/>
      <c r="AP23" s="1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14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14"/>
      <c r="BT23" s="7"/>
      <c r="BU23" s="7"/>
      <c r="BV23" s="7"/>
      <c r="BW23" s="14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14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14"/>
      <c r="CZ23" s="7"/>
      <c r="DA23" s="7"/>
      <c r="DB23" s="7"/>
      <c r="DC23" s="14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14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14"/>
      <c r="EF23" s="7"/>
      <c r="EG23" s="7"/>
      <c r="EH23" s="7"/>
      <c r="EI23" s="14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14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</row>
    <row r="24" spans="2:166" x14ac:dyDescent="0.2">
      <c r="B24" s="3"/>
      <c r="C24" s="6">
        <v>4</v>
      </c>
      <c r="D24" t="s">
        <v>40</v>
      </c>
      <c r="E24" s="3"/>
      <c r="F24" s="3"/>
      <c r="G24" s="45">
        <v>0.85325090000000003</v>
      </c>
      <c r="H24" s="7"/>
      <c r="I24" s="7"/>
      <c r="J24" s="7"/>
      <c r="K24" s="45">
        <v>0.95257769999999997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45">
        <v>0.8583383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45">
        <v>0.82308809999999999</v>
      </c>
      <c r="AN24" s="8"/>
      <c r="AO24" s="8"/>
      <c r="AP24" s="16"/>
      <c r="AQ24" s="10">
        <v>0.94646070000000004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45">
        <v>0.83592299999999997</v>
      </c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45">
        <v>0.80929189999999995</v>
      </c>
      <c r="BT24" s="7"/>
      <c r="BU24" s="7"/>
      <c r="BV24" s="7"/>
      <c r="BW24" s="45">
        <v>0.95114069999999995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46">
        <v>0.81799160000000004</v>
      </c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45">
        <v>0.85191519999999998</v>
      </c>
      <c r="CZ24" s="7"/>
      <c r="DA24" s="7"/>
      <c r="DB24" s="7"/>
      <c r="DC24" s="46">
        <v>0.95060180000000005</v>
      </c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45">
        <v>0.8550508</v>
      </c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45">
        <v>0.76161639999999997</v>
      </c>
      <c r="EF24" s="7"/>
      <c r="EG24" s="7"/>
      <c r="EH24" s="7"/>
      <c r="EI24" s="47">
        <v>0.94502339999999996</v>
      </c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46">
        <v>0.94485359999999996</v>
      </c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</row>
    <row r="25" spans="2:166" x14ac:dyDescent="0.2">
      <c r="B25" s="3"/>
      <c r="C25" s="6">
        <v>4</v>
      </c>
      <c r="D25" t="s">
        <v>41</v>
      </c>
      <c r="E25" s="3"/>
      <c r="F25" s="3"/>
      <c r="G25" s="45">
        <v>0.85483019999999998</v>
      </c>
      <c r="H25" s="7"/>
      <c r="I25" s="7"/>
      <c r="J25" s="7"/>
      <c r="K25" s="45">
        <v>0.95418610000000004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45">
        <v>0.85534969999999999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45">
        <v>0.82166360000000005</v>
      </c>
      <c r="AN25" s="7"/>
      <c r="AO25" s="7"/>
      <c r="AP25" s="17"/>
      <c r="AQ25" s="10">
        <v>0.94539249999999997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45">
        <v>0.83916290000000004</v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45">
        <v>0.84967749999999997</v>
      </c>
      <c r="BT25" s="7"/>
      <c r="BU25" s="7"/>
      <c r="BV25" s="7"/>
      <c r="BW25" s="45">
        <v>0.95562340000000001</v>
      </c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46">
        <v>0.82845190000000002</v>
      </c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45">
        <v>0.84745990000000004</v>
      </c>
      <c r="CZ25" s="7"/>
      <c r="DA25" s="7"/>
      <c r="DB25" s="7"/>
      <c r="DC25" s="46">
        <v>0.95096099999999995</v>
      </c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45">
        <v>0.85355650000000005</v>
      </c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45">
        <v>0.75914709999999996</v>
      </c>
      <c r="EF25" s="7"/>
      <c r="EG25" s="7"/>
      <c r="EH25" s="7"/>
      <c r="EI25" s="47">
        <v>0.94485359999999996</v>
      </c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46">
        <v>0.94502339999999996</v>
      </c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</row>
    <row r="26" spans="2:166" x14ac:dyDescent="0.2">
      <c r="B26" s="3"/>
      <c r="C26" s="6">
        <v>1</v>
      </c>
      <c r="D26" t="s">
        <v>42</v>
      </c>
      <c r="E26" s="3"/>
      <c r="F26" s="3"/>
      <c r="G26" s="45">
        <v>0.85744370000000003</v>
      </c>
      <c r="H26" s="7"/>
      <c r="I26" s="7"/>
      <c r="J26" s="7"/>
      <c r="K26" s="45">
        <v>0.95418610000000004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45">
        <v>0.84698150000000005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45">
        <v>0.81653070000000005</v>
      </c>
      <c r="AN26" s="7"/>
      <c r="AO26" s="7"/>
      <c r="AP26" s="17"/>
      <c r="AQ26" s="10">
        <v>0.94611100000000004</v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45">
        <v>0.8413505</v>
      </c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45">
        <v>0.82969199999999999</v>
      </c>
      <c r="BT26" s="7"/>
      <c r="BU26" s="7"/>
      <c r="BV26" s="7"/>
      <c r="BW26" s="45">
        <v>0.95275730000000003</v>
      </c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46">
        <v>0.85983259999999995</v>
      </c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45">
        <v>0.84653860000000003</v>
      </c>
      <c r="CZ26" s="7"/>
      <c r="DA26" s="7"/>
      <c r="DB26" s="7"/>
      <c r="DC26" s="46">
        <v>0.94394540000000005</v>
      </c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45">
        <v>0.82277350000000005</v>
      </c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45">
        <v>0.76533300000000004</v>
      </c>
      <c r="EF26" s="7"/>
      <c r="EG26" s="7"/>
      <c r="EH26" s="7"/>
      <c r="EI26" s="47">
        <v>0.94485359999999996</v>
      </c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46">
        <v>0.94485359999999996</v>
      </c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</row>
    <row r="27" spans="2:166" x14ac:dyDescent="0.2">
      <c r="B27" s="3"/>
      <c r="C27" s="6">
        <v>4</v>
      </c>
      <c r="D27" t="s">
        <v>49</v>
      </c>
      <c r="E27" s="3"/>
      <c r="F27" s="3"/>
      <c r="G27" s="13">
        <f>AVERAGE(G24:G26)</f>
        <v>0.85517493333333328</v>
      </c>
      <c r="H27" s="7"/>
      <c r="I27" s="7"/>
      <c r="J27" s="7"/>
      <c r="K27" s="29">
        <f>AVERAGE(K24:K26)</f>
        <v>0.95364996666666668</v>
      </c>
      <c r="L27" s="7"/>
      <c r="M27" s="7"/>
      <c r="N27" s="7"/>
      <c r="O27" s="10">
        <v>2.6040000000000001E-5</v>
      </c>
      <c r="P27" s="7">
        <v>0.75</v>
      </c>
      <c r="Q27" s="7">
        <v>0.25</v>
      </c>
      <c r="R27" s="7">
        <v>0</v>
      </c>
      <c r="S27" s="28">
        <v>0.99080000000000001</v>
      </c>
      <c r="T27" s="10">
        <v>9.1999999999999998E-3</v>
      </c>
      <c r="U27" s="7">
        <v>0</v>
      </c>
      <c r="V27" s="28">
        <v>0.99997849999999999</v>
      </c>
      <c r="W27" s="10">
        <v>7.1718889999999998E-6</v>
      </c>
      <c r="X27" s="7">
        <v>1.4317589999999999E-5</v>
      </c>
      <c r="Y27" s="43">
        <f>AVERAGE(Y24:Y26)</f>
        <v>0.85355649999999994</v>
      </c>
      <c r="Z27" s="7"/>
      <c r="AA27" s="7"/>
      <c r="AB27" s="7"/>
      <c r="AC27" s="10">
        <v>0.70750000000000002</v>
      </c>
      <c r="AD27" s="7">
        <v>0</v>
      </c>
      <c r="AE27" s="32">
        <v>1</v>
      </c>
      <c r="AF27" s="7">
        <v>0</v>
      </c>
      <c r="AG27" s="7">
        <v>0</v>
      </c>
      <c r="AH27" s="32">
        <v>1</v>
      </c>
      <c r="AI27" s="7">
        <v>0</v>
      </c>
      <c r="AJ27" s="10">
        <v>5.7471300000000003E-2</v>
      </c>
      <c r="AK27" s="10">
        <v>0.84655559999999996</v>
      </c>
      <c r="AL27" s="10">
        <v>9.5973069999999994E-2</v>
      </c>
      <c r="AM27" s="13">
        <f>AVERAGE(AM24:AM26)</f>
        <v>0.82042746666666666</v>
      </c>
      <c r="AN27" s="8"/>
      <c r="AO27" s="8"/>
      <c r="AP27" s="16"/>
      <c r="AQ27" s="29">
        <f>AVERAGE(AQ24:AQ26)</f>
        <v>0.94598806666666668</v>
      </c>
      <c r="AR27" s="7"/>
      <c r="AS27" s="7"/>
      <c r="AT27" s="7"/>
      <c r="AU27" s="10">
        <v>2.5680000000000001E-4</v>
      </c>
      <c r="AV27" s="7">
        <v>0.75</v>
      </c>
      <c r="AW27" s="7">
        <v>0.25</v>
      </c>
      <c r="AX27" s="7">
        <v>0</v>
      </c>
      <c r="AY27" s="28">
        <v>0.99126669999999995</v>
      </c>
      <c r="AZ27" s="10">
        <v>8.7333329999999994E-3</v>
      </c>
      <c r="BA27" s="7">
        <v>0</v>
      </c>
      <c r="BB27" s="28">
        <v>0.99979790000000002</v>
      </c>
      <c r="BC27" s="10">
        <v>5.520155E-5</v>
      </c>
      <c r="BD27" s="10">
        <v>1.4686589999999999E-4</v>
      </c>
      <c r="BE27" s="13">
        <f>AVERAGE(BE24:BE26)</f>
        <v>0.83881213333333327</v>
      </c>
      <c r="BF27" s="7"/>
      <c r="BG27" s="7"/>
      <c r="BH27" s="7"/>
      <c r="BI27" s="10">
        <v>3.4160000000000003E-2</v>
      </c>
      <c r="BJ27" s="7">
        <v>0.75</v>
      </c>
      <c r="BK27" s="7">
        <v>0.25</v>
      </c>
      <c r="BL27" s="7">
        <v>0</v>
      </c>
      <c r="BM27" s="60">
        <v>0.9111667</v>
      </c>
      <c r="BN27" s="10">
        <v>8.8833330000000002E-2</v>
      </c>
      <c r="BO27" s="7">
        <v>0</v>
      </c>
      <c r="BP27" s="60">
        <v>0.91360399999999997</v>
      </c>
      <c r="BQ27" s="10">
        <v>7.6624529999999996E-2</v>
      </c>
      <c r="BR27" s="10">
        <v>9.7715119999999996E-3</v>
      </c>
      <c r="BS27" s="51">
        <f>AVERAGE(BS24:BS26)</f>
        <v>0.8295537999999999</v>
      </c>
      <c r="BT27" s="7"/>
      <c r="BU27" s="7"/>
      <c r="BV27" s="7"/>
      <c r="BW27" s="52">
        <f>AVERAGE(BW24:BW26)</f>
        <v>0.95317380000000007</v>
      </c>
      <c r="BX27" s="7"/>
      <c r="BY27" s="7"/>
      <c r="BZ27" s="7"/>
      <c r="CA27" s="10">
        <v>8.182E-3</v>
      </c>
      <c r="CB27" s="7">
        <v>0.75</v>
      </c>
      <c r="CC27" s="7">
        <v>0.25</v>
      </c>
      <c r="CD27" s="7">
        <v>0</v>
      </c>
      <c r="CE27" s="28">
        <v>0.99150000000000005</v>
      </c>
      <c r="CF27" s="10">
        <v>8.5000000000000006E-3</v>
      </c>
      <c r="CG27" s="7">
        <v>0</v>
      </c>
      <c r="CH27" s="28">
        <v>0.99358829999999998</v>
      </c>
      <c r="CI27" s="10">
        <v>1.7510099999999999E-3</v>
      </c>
      <c r="CJ27" s="10">
        <v>4.6607209999999996E-3</v>
      </c>
      <c r="CK27" s="36">
        <f>AVERAGE(CK24:CK26)</f>
        <v>0.83542536666666667</v>
      </c>
      <c r="CL27" s="7"/>
      <c r="CM27" s="7"/>
      <c r="CN27" s="7"/>
      <c r="CO27" s="10">
        <v>0.2427</v>
      </c>
      <c r="CP27" s="7">
        <v>0.25</v>
      </c>
      <c r="CQ27" s="7">
        <v>0.75</v>
      </c>
      <c r="CR27" s="7">
        <v>0</v>
      </c>
      <c r="CS27" s="10">
        <v>4.4600000000000001E-2</v>
      </c>
      <c r="CT27" s="50">
        <v>0.95540000000000003</v>
      </c>
      <c r="CU27" s="7">
        <v>0</v>
      </c>
      <c r="CV27" s="10">
        <v>0.21160789999999999</v>
      </c>
      <c r="CW27" s="10">
        <v>0.75756690000000004</v>
      </c>
      <c r="CX27" s="10">
        <v>3.0825169999999999E-2</v>
      </c>
      <c r="CY27" s="14">
        <f>AVERAGE(CY24:CY26)</f>
        <v>0.84863790000000006</v>
      </c>
      <c r="CZ27" s="7"/>
      <c r="DA27" s="7"/>
      <c r="DB27" s="7"/>
      <c r="DC27" s="19">
        <f>AVERAGE(DC24:DC26)</f>
        <v>0.94850273333333346</v>
      </c>
      <c r="DD27" s="7"/>
      <c r="DE27" s="7"/>
      <c r="DF27" s="7"/>
      <c r="DG27" s="10">
        <v>3.4499999999999998E-4</v>
      </c>
      <c r="DH27" s="7">
        <v>0.75</v>
      </c>
      <c r="DI27" s="7">
        <v>0.25</v>
      </c>
      <c r="DJ27" s="7">
        <v>0</v>
      </c>
      <c r="DK27" s="28">
        <v>0.98986669999999999</v>
      </c>
      <c r="DL27" s="10">
        <v>1.0133329999999999E-2</v>
      </c>
      <c r="DM27" s="7">
        <v>0</v>
      </c>
      <c r="DN27" s="28">
        <v>0.9997161</v>
      </c>
      <c r="DO27" s="10">
        <v>9.3907659999999999E-5</v>
      </c>
      <c r="DP27" s="10">
        <v>1.900107E-4</v>
      </c>
      <c r="DQ27" s="14">
        <f>AVERAGE(DQ24:DQ26)</f>
        <v>0.84379360000000003</v>
      </c>
      <c r="DR27" s="7"/>
      <c r="DS27" s="7"/>
      <c r="DT27" s="7"/>
      <c r="DU27" s="10">
        <v>0.66080000000000005</v>
      </c>
      <c r="DV27" s="7">
        <v>0</v>
      </c>
      <c r="DW27" s="7">
        <v>0.75</v>
      </c>
      <c r="DX27" s="7">
        <v>0.25</v>
      </c>
      <c r="DY27" s="10">
        <v>0</v>
      </c>
      <c r="DZ27" s="10">
        <v>0.76513330000000002</v>
      </c>
      <c r="EA27" s="10">
        <v>0.23486670000000001</v>
      </c>
      <c r="EB27" s="10">
        <v>0.1543033</v>
      </c>
      <c r="EC27" s="10">
        <v>0.50340119999999999</v>
      </c>
      <c r="ED27" s="10">
        <v>0.34229540000000003</v>
      </c>
      <c r="EE27" s="14">
        <f>AVERAGE(EE24:EE26)</f>
        <v>0.76203216666666673</v>
      </c>
      <c r="EF27" s="7"/>
      <c r="EG27" s="7"/>
      <c r="EH27" s="7"/>
      <c r="EI27" s="19">
        <f>AVERAGE(EI24:EI26)</f>
        <v>0.94491019999999992</v>
      </c>
      <c r="EJ27" s="7"/>
      <c r="EK27" s="7"/>
      <c r="EL27" s="7"/>
      <c r="EM27" s="10">
        <v>9.7419999999999999E-5</v>
      </c>
      <c r="EN27" s="10">
        <v>0.75</v>
      </c>
      <c r="EO27" s="10">
        <v>0.25</v>
      </c>
      <c r="EP27" s="10">
        <v>0</v>
      </c>
      <c r="EQ27" s="28">
        <v>0.99126669999999995</v>
      </c>
      <c r="ER27" s="10">
        <v>8.7333329999999994E-3</v>
      </c>
      <c r="ES27" s="10">
        <v>0</v>
      </c>
      <c r="ET27" s="28">
        <v>0.99992729999999996</v>
      </c>
      <c r="EU27" s="10">
        <v>1.42874E-5</v>
      </c>
      <c r="EV27" s="10">
        <v>5.8385630000000001E-5</v>
      </c>
      <c r="EW27" s="19">
        <f>AVERAGE(EW24:EW26)</f>
        <v>0.94491019999999992</v>
      </c>
      <c r="EX27" s="7"/>
      <c r="EY27" s="7"/>
      <c r="EZ27" s="7"/>
      <c r="FA27" s="10">
        <v>1.016E-4</v>
      </c>
      <c r="FB27" s="7">
        <v>0.75</v>
      </c>
      <c r="FC27" s="7">
        <v>0.25</v>
      </c>
      <c r="FD27" s="7">
        <v>0</v>
      </c>
      <c r="FE27" s="28">
        <v>0.99123329999999998</v>
      </c>
      <c r="FF27" s="10">
        <v>8.7666670000000006E-3</v>
      </c>
      <c r="FG27" s="7">
        <v>0</v>
      </c>
      <c r="FH27" s="28">
        <v>0.99992420000000004</v>
      </c>
      <c r="FI27" s="10">
        <v>1.489976E-5</v>
      </c>
      <c r="FJ27" s="10">
        <v>6.088862E-5</v>
      </c>
    </row>
    <row r="28" spans="2:166" x14ac:dyDescent="0.2">
      <c r="B28" s="3"/>
      <c r="C28" s="6">
        <v>4</v>
      </c>
      <c r="D28" t="s">
        <v>43</v>
      </c>
      <c r="E28" s="3"/>
      <c r="F28" s="3"/>
      <c r="G28" s="45">
        <v>0.86029999999999995</v>
      </c>
      <c r="H28" s="10">
        <v>0.89195489999999999</v>
      </c>
      <c r="I28" s="10">
        <v>0.9283981</v>
      </c>
      <c r="J28" s="10">
        <v>0.9098117</v>
      </c>
      <c r="K28" s="45">
        <v>0.82320000000000004</v>
      </c>
      <c r="L28" s="10">
        <v>0.81131660000000005</v>
      </c>
      <c r="M28" s="10">
        <v>0.99959549999999997</v>
      </c>
      <c r="N28" s="10">
        <v>0.89566849999999998</v>
      </c>
      <c r="O28" s="7" t="s">
        <v>24</v>
      </c>
      <c r="P28" s="7">
        <v>0</v>
      </c>
      <c r="Q28" s="7">
        <v>0.5</v>
      </c>
      <c r="R28" s="7">
        <v>0.5</v>
      </c>
      <c r="S28" s="7">
        <v>0</v>
      </c>
      <c r="T28" s="10">
        <v>0.16033330000000001</v>
      </c>
      <c r="U28" s="10">
        <v>0.83966669999999999</v>
      </c>
      <c r="V28" s="7" t="s">
        <v>24</v>
      </c>
      <c r="W28" s="7" t="s">
        <v>24</v>
      </c>
      <c r="X28" s="7" t="s">
        <v>24</v>
      </c>
      <c r="Y28" s="45">
        <v>0.89029999999999998</v>
      </c>
      <c r="Z28" s="10">
        <v>0.92566950000000003</v>
      </c>
      <c r="AA28" s="10">
        <v>0.95550159999999995</v>
      </c>
      <c r="AB28" s="10">
        <v>0.94034899999999999</v>
      </c>
      <c r="AC28" s="7" t="s">
        <v>24</v>
      </c>
      <c r="AD28" s="10">
        <v>0.5</v>
      </c>
      <c r="AE28" s="10">
        <v>0.5</v>
      </c>
      <c r="AF28" s="10">
        <v>0</v>
      </c>
      <c r="AG28" s="10">
        <v>0.8395667</v>
      </c>
      <c r="AH28" s="10">
        <v>0.1604333</v>
      </c>
      <c r="AI28" s="7">
        <v>0</v>
      </c>
      <c r="AJ28" s="7" t="s">
        <v>24</v>
      </c>
      <c r="AK28" s="7" t="s">
        <v>24</v>
      </c>
      <c r="AL28" s="7" t="s">
        <v>24</v>
      </c>
      <c r="AM28" s="45">
        <v>0.82589999999999997</v>
      </c>
      <c r="AN28" s="10">
        <v>0.8480936</v>
      </c>
      <c r="AO28" s="10">
        <v>0.93878099999999998</v>
      </c>
      <c r="AP28" s="55">
        <v>0.89113600000000004</v>
      </c>
      <c r="AQ28" s="10">
        <v>0.77280000000000004</v>
      </c>
      <c r="AR28" s="10">
        <v>0.76997402999999998</v>
      </c>
      <c r="AS28" s="10">
        <v>0.99932578000000005</v>
      </c>
      <c r="AT28" s="10">
        <v>0.86978464</v>
      </c>
      <c r="AU28" s="7" t="s">
        <v>24</v>
      </c>
      <c r="AV28" s="7">
        <v>0</v>
      </c>
      <c r="AW28" s="7">
        <v>0.5</v>
      </c>
      <c r="AX28" s="7">
        <v>0.5</v>
      </c>
      <c r="AY28" s="7">
        <v>0</v>
      </c>
      <c r="AZ28" s="10">
        <v>0.15903329999999999</v>
      </c>
      <c r="BA28" s="10">
        <v>0.84096669999999996</v>
      </c>
      <c r="BB28" s="7" t="s">
        <v>24</v>
      </c>
      <c r="BC28" s="7" t="s">
        <v>24</v>
      </c>
      <c r="BD28" s="7" t="s">
        <v>24</v>
      </c>
      <c r="BE28" s="45">
        <v>0.82020000000000004</v>
      </c>
      <c r="BF28" s="10">
        <v>0.83014469999999996</v>
      </c>
      <c r="BG28" s="10">
        <v>0.95954689999999998</v>
      </c>
      <c r="BH28" s="10">
        <v>0.89016759999999995</v>
      </c>
      <c r="BI28" s="7" t="s">
        <v>24</v>
      </c>
      <c r="BJ28" s="7">
        <v>0</v>
      </c>
      <c r="BK28" s="7">
        <v>1</v>
      </c>
      <c r="BL28" s="7">
        <v>0</v>
      </c>
      <c r="BM28" s="7">
        <v>0</v>
      </c>
      <c r="BN28" s="7">
        <v>1</v>
      </c>
      <c r="BO28" s="7">
        <v>0</v>
      </c>
      <c r="BP28" s="7" t="s">
        <v>24</v>
      </c>
      <c r="BQ28" s="7" t="s">
        <v>24</v>
      </c>
      <c r="BR28" s="7" t="s">
        <v>24</v>
      </c>
      <c r="BS28" s="45">
        <v>0.81120000000000003</v>
      </c>
      <c r="BT28" s="10">
        <v>0.86638610000000005</v>
      </c>
      <c r="BU28" s="10">
        <v>0.88834950000000001</v>
      </c>
      <c r="BV28" s="10">
        <v>0.87723039999999997</v>
      </c>
      <c r="BW28" s="45">
        <v>0.79079999999999995</v>
      </c>
      <c r="BX28" s="10">
        <v>0.78473769999999998</v>
      </c>
      <c r="BY28" s="10">
        <v>0.99838190000000004</v>
      </c>
      <c r="BZ28" s="10">
        <v>0.87876089999999996</v>
      </c>
      <c r="CA28" s="7" t="s">
        <v>24</v>
      </c>
      <c r="CB28" s="7">
        <v>0</v>
      </c>
      <c r="CC28" s="7">
        <v>0.5</v>
      </c>
      <c r="CD28" s="7">
        <v>0.5</v>
      </c>
      <c r="CE28" s="7">
        <v>0</v>
      </c>
      <c r="CF28" s="10">
        <v>0.15906670000000001</v>
      </c>
      <c r="CG28" s="10">
        <v>0.84093329999999999</v>
      </c>
      <c r="CH28" s="7" t="s">
        <v>24</v>
      </c>
      <c r="CI28" s="7" t="s">
        <v>24</v>
      </c>
      <c r="CJ28" s="7" t="s">
        <v>24</v>
      </c>
      <c r="CK28" s="46">
        <v>0.78790000000000004</v>
      </c>
      <c r="CL28" s="10">
        <v>0.78510460000000004</v>
      </c>
      <c r="CM28" s="10">
        <v>0.99217909999999998</v>
      </c>
      <c r="CN28" s="10">
        <v>0.87657850000000004</v>
      </c>
      <c r="CO28" s="7" t="s">
        <v>24</v>
      </c>
      <c r="CP28" s="7">
        <v>0</v>
      </c>
      <c r="CQ28" s="7">
        <v>0.5</v>
      </c>
      <c r="CR28" s="7">
        <v>0.5</v>
      </c>
      <c r="CS28" s="7">
        <v>0</v>
      </c>
      <c r="CT28" s="10">
        <v>0.15876670000000001</v>
      </c>
      <c r="CU28" s="10">
        <v>0.84123329999999996</v>
      </c>
      <c r="CV28" s="7" t="s">
        <v>24</v>
      </c>
      <c r="CW28" s="7" t="s">
        <v>24</v>
      </c>
      <c r="CX28" s="7" t="s">
        <v>24</v>
      </c>
      <c r="CY28" s="45">
        <v>0.85699999999999998</v>
      </c>
      <c r="CZ28" s="10">
        <v>0.88519130000000001</v>
      </c>
      <c r="DA28" s="10">
        <v>0.93257820000000002</v>
      </c>
      <c r="DB28" s="10">
        <v>0.90826709999999999</v>
      </c>
      <c r="DC28" s="45">
        <v>0.72499999999999998</v>
      </c>
      <c r="DD28" s="10">
        <v>0.92156859999999996</v>
      </c>
      <c r="DE28" s="10">
        <v>0.69714129999999996</v>
      </c>
      <c r="DF28" s="10">
        <v>0.79379699999999997</v>
      </c>
      <c r="DG28" s="7" t="s">
        <v>24</v>
      </c>
      <c r="DH28" s="7">
        <v>0</v>
      </c>
      <c r="DI28" s="7">
        <v>0.5</v>
      </c>
      <c r="DJ28" s="7">
        <v>0.5</v>
      </c>
      <c r="DK28" s="10">
        <v>0</v>
      </c>
      <c r="DL28" s="10">
        <v>0.15726670000000001</v>
      </c>
      <c r="DM28" s="10">
        <v>0.84273330000000002</v>
      </c>
      <c r="DN28" s="7" t="s">
        <v>24</v>
      </c>
      <c r="DO28" s="7" t="s">
        <v>24</v>
      </c>
      <c r="DP28" s="7" t="s">
        <v>24</v>
      </c>
      <c r="DQ28" s="45">
        <v>0.82830000000000004</v>
      </c>
      <c r="DR28" s="10">
        <v>0.88584110000000005</v>
      </c>
      <c r="DS28" s="10">
        <v>0.88834950000000001</v>
      </c>
      <c r="DT28" s="10">
        <v>0.88709349999999998</v>
      </c>
      <c r="DU28" s="7" t="s">
        <v>24</v>
      </c>
      <c r="DV28" s="7">
        <v>0</v>
      </c>
      <c r="DW28" s="7">
        <v>0.5</v>
      </c>
      <c r="DX28" s="7">
        <v>0.5</v>
      </c>
      <c r="DY28" s="7">
        <v>0</v>
      </c>
      <c r="DZ28" s="10">
        <v>0.1602333</v>
      </c>
      <c r="EA28" s="10">
        <v>0.83976669999999998</v>
      </c>
      <c r="EB28" s="7" t="s">
        <v>24</v>
      </c>
      <c r="EC28" s="7" t="s">
        <v>24</v>
      </c>
      <c r="ED28" s="7" t="s">
        <v>24</v>
      </c>
      <c r="EE28" s="45">
        <v>0.77510000000000001</v>
      </c>
      <c r="EF28" s="10">
        <v>0.77145532000000006</v>
      </c>
      <c r="EG28" s="10">
        <v>1</v>
      </c>
      <c r="EH28" s="10">
        <v>0.87098478999999995</v>
      </c>
      <c r="EI28" s="46">
        <v>0.75919999999999999</v>
      </c>
      <c r="EJ28" s="10">
        <v>0.75921380000000005</v>
      </c>
      <c r="EK28" s="10">
        <v>1</v>
      </c>
      <c r="EL28" s="10">
        <v>0.86312849999999997</v>
      </c>
      <c r="EM28" s="7" t="s">
        <v>24</v>
      </c>
      <c r="EN28" s="10">
        <v>0</v>
      </c>
      <c r="EO28" s="10">
        <v>0.5</v>
      </c>
      <c r="EP28" s="10">
        <v>0.5</v>
      </c>
      <c r="EQ28" s="10">
        <v>0</v>
      </c>
      <c r="ER28" s="10">
        <v>0.46296670000000001</v>
      </c>
      <c r="ES28" s="10">
        <v>0.53703330000000005</v>
      </c>
      <c r="ET28" s="7" t="s">
        <v>24</v>
      </c>
      <c r="EU28" s="7" t="s">
        <v>24</v>
      </c>
      <c r="EV28" s="7" t="s">
        <v>24</v>
      </c>
      <c r="EW28" s="45">
        <v>0.75919999999999999</v>
      </c>
      <c r="EX28" s="10">
        <v>0.75921380000000005</v>
      </c>
      <c r="EY28" s="10">
        <v>1</v>
      </c>
      <c r="EZ28" s="10">
        <v>0.86312849999999997</v>
      </c>
      <c r="FA28" s="7" t="s">
        <v>24</v>
      </c>
      <c r="FB28" s="10">
        <v>0</v>
      </c>
      <c r="FC28" s="10">
        <v>0.5</v>
      </c>
      <c r="FD28" s="10">
        <v>0.5</v>
      </c>
      <c r="FE28" s="10">
        <v>0</v>
      </c>
      <c r="FF28" s="10">
        <v>0.4607</v>
      </c>
      <c r="FG28" s="10">
        <v>0.5393</v>
      </c>
      <c r="FH28" s="7" t="s">
        <v>24</v>
      </c>
      <c r="FI28" s="7" t="s">
        <v>24</v>
      </c>
      <c r="FJ28" s="7" t="s">
        <v>24</v>
      </c>
    </row>
    <row r="29" spans="2:166" x14ac:dyDescent="0.2">
      <c r="B29" s="3"/>
      <c r="C29" s="6"/>
      <c r="E29" s="3"/>
      <c r="F29" s="3"/>
      <c r="G29" s="14"/>
      <c r="H29" s="7"/>
      <c r="I29" s="7"/>
      <c r="J29" s="7"/>
      <c r="K29" s="1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14"/>
      <c r="AN29" s="7"/>
      <c r="AO29" s="7"/>
      <c r="AP29" s="1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14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14"/>
      <c r="BT29" s="7"/>
      <c r="BU29" s="7"/>
      <c r="BV29" s="7"/>
      <c r="BW29" s="14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14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14"/>
      <c r="CZ29" s="7"/>
      <c r="DA29" s="7"/>
      <c r="DB29" s="7"/>
      <c r="DC29" s="14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14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14"/>
      <c r="EF29" s="7"/>
      <c r="EG29" s="7"/>
      <c r="EH29" s="7"/>
      <c r="EI29" s="14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14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</row>
    <row r="30" spans="2:166" x14ac:dyDescent="0.2">
      <c r="B30" s="3"/>
      <c r="C30" s="6">
        <v>5</v>
      </c>
      <c r="D30" t="s">
        <v>40</v>
      </c>
      <c r="E30" s="3"/>
      <c r="F30" s="3"/>
      <c r="G30" s="45">
        <v>0.85325090000000003</v>
      </c>
      <c r="H30" s="7"/>
      <c r="I30" s="7"/>
      <c r="J30" s="7"/>
      <c r="K30" s="45">
        <v>0.99812540000000005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45">
        <v>0.86664010000000002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45">
        <v>0.82308809999999999</v>
      </c>
      <c r="AN30" s="8"/>
      <c r="AO30" s="8"/>
      <c r="AP30" s="16"/>
      <c r="AQ30" s="10">
        <v>0.99791750000000001</v>
      </c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45">
        <v>0.80345630000000001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45">
        <v>0.80929189999999995</v>
      </c>
      <c r="BT30" s="7"/>
      <c r="BU30" s="7"/>
      <c r="BV30" s="7"/>
      <c r="BW30" s="45">
        <v>0.99791750000000001</v>
      </c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46">
        <v>0.87504970000000004</v>
      </c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45">
        <v>0.85191519999999998</v>
      </c>
      <c r="CZ30" s="7"/>
      <c r="DA30" s="7"/>
      <c r="DB30" s="7"/>
      <c r="DC30" s="46">
        <v>0.97063109999999997</v>
      </c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46">
        <v>0.86038190000000003</v>
      </c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45">
        <v>0.76161639999999997</v>
      </c>
      <c r="EF30" s="7"/>
      <c r="EG30" s="7"/>
      <c r="EH30" s="7"/>
      <c r="EI30" s="47">
        <v>0.99812500000000004</v>
      </c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46">
        <v>0.9979171</v>
      </c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</row>
    <row r="31" spans="2:166" x14ac:dyDescent="0.2">
      <c r="B31" s="3"/>
      <c r="C31" s="6">
        <v>5</v>
      </c>
      <c r="D31" t="s">
        <v>41</v>
      </c>
      <c r="E31" s="3"/>
      <c r="F31" s="3"/>
      <c r="G31" s="45">
        <v>0.85483019999999998</v>
      </c>
      <c r="H31" s="7"/>
      <c r="I31" s="7"/>
      <c r="J31" s="7"/>
      <c r="K31" s="45">
        <v>0.99833400000000005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45">
        <v>0.86793949999999997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45">
        <v>0.82166360000000005</v>
      </c>
      <c r="AN31" s="7"/>
      <c r="AO31" s="7"/>
      <c r="AP31" s="17"/>
      <c r="AQ31" s="10">
        <v>0.99812500000000004</v>
      </c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45">
        <v>0.80536220000000003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45">
        <v>0.84967749999999997</v>
      </c>
      <c r="BT31" s="7"/>
      <c r="BU31" s="7"/>
      <c r="BV31" s="7"/>
      <c r="BW31" s="45">
        <v>0.99812500000000004</v>
      </c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46">
        <v>0.86311179999999998</v>
      </c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45">
        <v>0.84745990000000004</v>
      </c>
      <c r="CZ31" s="7"/>
      <c r="DA31" s="7"/>
      <c r="DB31" s="7"/>
      <c r="DC31" s="46">
        <v>0.87627580000000005</v>
      </c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46">
        <v>0.87619429999999998</v>
      </c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45">
        <v>0.75914709999999996</v>
      </c>
      <c r="EF31" s="7"/>
      <c r="EG31" s="7"/>
      <c r="EH31" s="7"/>
      <c r="EI31" s="47">
        <v>0.99791750000000001</v>
      </c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46">
        <v>0.99812540000000005</v>
      </c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</row>
    <row r="32" spans="2:166" x14ac:dyDescent="0.2">
      <c r="B32" s="3"/>
      <c r="C32" s="6">
        <v>5</v>
      </c>
      <c r="D32" t="s">
        <v>42</v>
      </c>
      <c r="E32" s="3"/>
      <c r="F32" s="3"/>
      <c r="G32" s="45">
        <v>0.85744370000000003</v>
      </c>
      <c r="H32" s="7"/>
      <c r="I32" s="7"/>
      <c r="J32" s="7"/>
      <c r="K32" s="45">
        <v>0.99833369999999999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61">
        <v>0.86992840000000005</v>
      </c>
      <c r="Z32" s="7"/>
      <c r="AA32" s="7"/>
      <c r="AB32" s="7"/>
      <c r="AC32" s="10">
        <v>1.052E-2</v>
      </c>
      <c r="AD32" s="7">
        <v>0.75</v>
      </c>
      <c r="AE32" s="7">
        <v>0.25</v>
      </c>
      <c r="AF32" s="7">
        <v>0</v>
      </c>
      <c r="AG32" s="62">
        <v>0.82966669999999998</v>
      </c>
      <c r="AH32" s="10">
        <v>0.17033329999999999</v>
      </c>
      <c r="AI32" s="7">
        <v>0</v>
      </c>
      <c r="AJ32" s="62">
        <v>0.90336349999999999</v>
      </c>
      <c r="AK32" s="10">
        <v>9.4377139999999998E-2</v>
      </c>
      <c r="AL32" s="10">
        <v>2.2593309999999998E-3</v>
      </c>
      <c r="AM32" s="45">
        <v>0.81653070000000005</v>
      </c>
      <c r="AN32" s="7"/>
      <c r="AO32" s="7"/>
      <c r="AP32" s="17"/>
      <c r="AQ32" s="10">
        <v>0.99791750000000001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45">
        <v>0.80660129999999997</v>
      </c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45">
        <v>0.82969199999999999</v>
      </c>
      <c r="BT32" s="7"/>
      <c r="BU32" s="7"/>
      <c r="BV32" s="7"/>
      <c r="BW32" s="45">
        <v>0.99791750000000001</v>
      </c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46">
        <v>0.86754180000000003</v>
      </c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45">
        <v>0.84653860000000003</v>
      </c>
      <c r="CZ32" s="7"/>
      <c r="DA32" s="7"/>
      <c r="DB32" s="7"/>
      <c r="DC32" s="46">
        <v>0.95460219999999996</v>
      </c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46">
        <v>0.86595069999999996</v>
      </c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45">
        <v>0.76533300000000004</v>
      </c>
      <c r="EF32" s="7"/>
      <c r="EG32" s="7"/>
      <c r="EH32" s="7"/>
      <c r="EI32" s="47">
        <v>0.99791750000000001</v>
      </c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46">
        <v>0.99791750000000001</v>
      </c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</row>
    <row r="33" spans="1:167" x14ac:dyDescent="0.2">
      <c r="B33" s="3"/>
      <c r="C33" s="6">
        <v>5</v>
      </c>
      <c r="D33" t="s">
        <v>49</v>
      </c>
      <c r="E33" s="3"/>
      <c r="F33" s="3"/>
      <c r="G33" s="13">
        <f>AVERAGE(G30:G32)</f>
        <v>0.85517493333333328</v>
      </c>
      <c r="H33" s="7"/>
      <c r="I33" s="7"/>
      <c r="J33" s="7"/>
      <c r="K33" s="29">
        <f>AVERAGE(K30:K32)</f>
        <v>0.99826436666666662</v>
      </c>
      <c r="L33" s="7"/>
      <c r="M33" s="7"/>
      <c r="N33" s="7"/>
      <c r="O33" s="10">
        <v>6.6699999999999995E-5</v>
      </c>
      <c r="P33" s="7">
        <v>0.75</v>
      </c>
      <c r="Q33" s="7">
        <v>0.25</v>
      </c>
      <c r="R33" s="7">
        <v>0</v>
      </c>
      <c r="S33" s="28">
        <v>0.99113329999999999</v>
      </c>
      <c r="T33" s="10">
        <v>8.866667E-3</v>
      </c>
      <c r="U33" s="7">
        <v>0</v>
      </c>
      <c r="V33" s="28">
        <v>0.99994859999999997</v>
      </c>
      <c r="W33" s="10">
        <v>1.254978E-5</v>
      </c>
      <c r="X33" s="7">
        <v>3.8843900000000003E-5</v>
      </c>
      <c r="Y33" s="13">
        <f>AVERAGE(Y30:Y32)</f>
        <v>0.86816933333333335</v>
      </c>
      <c r="Z33" s="7"/>
      <c r="AA33" s="7"/>
      <c r="AB33" s="7"/>
      <c r="AC33" s="7"/>
      <c r="AD33" s="7">
        <v>0</v>
      </c>
      <c r="AE33" s="7">
        <v>0.5</v>
      </c>
      <c r="AF33" s="7">
        <v>0.5</v>
      </c>
      <c r="AG33" s="7">
        <v>0</v>
      </c>
      <c r="AH33" s="10">
        <v>0.45519999999999999</v>
      </c>
      <c r="AI33" s="10">
        <v>0.54479999999999995</v>
      </c>
      <c r="AJ33" s="7" t="s">
        <v>24</v>
      </c>
      <c r="AK33" s="7" t="s">
        <v>24</v>
      </c>
      <c r="AL33" s="7" t="s">
        <v>24</v>
      </c>
      <c r="AM33" s="13">
        <f>AVERAGE(AM30:AM32)</f>
        <v>0.82042746666666666</v>
      </c>
      <c r="AN33" s="8"/>
      <c r="AO33" s="8"/>
      <c r="AP33" s="16"/>
      <c r="AQ33" s="29">
        <f>AVERAGE(AQ30:AQ32)</f>
        <v>0.9979866666666668</v>
      </c>
      <c r="AR33" s="7"/>
      <c r="AS33" s="7"/>
      <c r="AT33" s="7"/>
      <c r="AU33" s="10">
        <v>1.2320000000000001E-4</v>
      </c>
      <c r="AV33" s="33">
        <v>0.75</v>
      </c>
      <c r="AW33" s="7">
        <v>0.25</v>
      </c>
      <c r="AX33" s="7">
        <v>0</v>
      </c>
      <c r="AY33" s="28">
        <v>0.99073330000000004</v>
      </c>
      <c r="AZ33" s="10">
        <v>9.2666669999999993E-3</v>
      </c>
      <c r="BA33" s="7">
        <v>0</v>
      </c>
      <c r="BB33" s="28">
        <v>0.99990780000000001</v>
      </c>
      <c r="BC33" s="10">
        <v>1.8613529999999999E-5</v>
      </c>
      <c r="BD33" s="10">
        <v>7.360077E-5</v>
      </c>
      <c r="BE33" s="13">
        <f>AVERAGE(BE30:BE32)</f>
        <v>0.80513993333333334</v>
      </c>
      <c r="BF33" s="7"/>
      <c r="BG33" s="7"/>
      <c r="BH33" s="7"/>
      <c r="BI33" s="10">
        <v>3.2960000000000003E-2</v>
      </c>
      <c r="BJ33" s="7">
        <v>0</v>
      </c>
      <c r="BK33" s="7">
        <v>0.5</v>
      </c>
      <c r="BL33" s="7">
        <v>0.5</v>
      </c>
      <c r="BM33" s="7">
        <v>0</v>
      </c>
      <c r="BN33" s="10">
        <v>0.30356670000000002</v>
      </c>
      <c r="BO33" s="10">
        <v>0.69643330000000003</v>
      </c>
      <c r="BP33" s="10">
        <v>8.2383519999999991E-3</v>
      </c>
      <c r="BQ33" s="10">
        <v>0.11623219999999999</v>
      </c>
      <c r="BR33" s="10">
        <v>0.87552940000000001</v>
      </c>
      <c r="BS33" s="45">
        <f>AVERAGE(BS30:BS32)</f>
        <v>0.8295537999999999</v>
      </c>
      <c r="BT33" s="7"/>
      <c r="BU33" s="7"/>
      <c r="BV33" s="7"/>
      <c r="BW33" s="52">
        <f>AVERAGE(BW30:BW32)</f>
        <v>0.9979866666666668</v>
      </c>
      <c r="BX33" s="7"/>
      <c r="BY33" s="7"/>
      <c r="BZ33" s="7"/>
      <c r="CA33" s="10">
        <v>4.8060000000000004E-3</v>
      </c>
      <c r="CB33" s="7">
        <v>0.75</v>
      </c>
      <c r="CC33" s="7">
        <v>0.25</v>
      </c>
      <c r="CD33" s="7">
        <v>0</v>
      </c>
      <c r="CE33" s="28">
        <v>0.99019999999999997</v>
      </c>
      <c r="CF33" s="10">
        <v>9.7999999999999997E-3</v>
      </c>
      <c r="CG33" s="7">
        <v>0</v>
      </c>
      <c r="CH33" s="28">
        <v>0.9963921</v>
      </c>
      <c r="CI33" s="10">
        <v>7.5695229999999997E-4</v>
      </c>
      <c r="CJ33" s="10">
        <v>2.8509410000000001E-3</v>
      </c>
      <c r="CK33" s="38">
        <f>AVERAGE(CK30:CK32)</f>
        <v>0.86856776666666669</v>
      </c>
      <c r="CL33" s="7"/>
      <c r="CM33" s="7"/>
      <c r="CN33" s="7"/>
      <c r="CO33" s="10">
        <v>0.1096</v>
      </c>
      <c r="CP33" s="7">
        <v>0.75</v>
      </c>
      <c r="CQ33" s="7">
        <v>0.25</v>
      </c>
      <c r="CR33" s="7">
        <v>0</v>
      </c>
      <c r="CS33" s="28">
        <v>0.96146670000000001</v>
      </c>
      <c r="CT33" s="10">
        <v>3.8533329999999998E-2</v>
      </c>
      <c r="CU33" s="7">
        <v>0</v>
      </c>
      <c r="CV33" s="10">
        <v>0.89159390000000005</v>
      </c>
      <c r="CW33" s="10">
        <v>6.0924779999999998E-2</v>
      </c>
      <c r="CX33" s="10">
        <v>4.7481339999999997E-2</v>
      </c>
      <c r="CY33" s="14">
        <f>AVERAGE(CY30:CY32)</f>
        <v>0.84863790000000006</v>
      </c>
      <c r="CZ33" s="7"/>
      <c r="DA33" s="7"/>
      <c r="DB33" s="7"/>
      <c r="DC33" s="19">
        <f>AVERAGE(DC30:DC32)</f>
        <v>0.9338363666666667</v>
      </c>
      <c r="DD33" s="7"/>
      <c r="DE33" s="7"/>
      <c r="DF33" s="7"/>
      <c r="DG33" s="10">
        <v>9.5229999999999995E-2</v>
      </c>
      <c r="DH33" s="7">
        <v>0.75</v>
      </c>
      <c r="DI33" s="7">
        <v>0.25</v>
      </c>
      <c r="DJ33" s="7">
        <v>0</v>
      </c>
      <c r="DK33" s="28">
        <v>0.99133329999999997</v>
      </c>
      <c r="DL33" s="10">
        <v>8.6666669999999994E-3</v>
      </c>
      <c r="DM33" s="7">
        <v>0</v>
      </c>
      <c r="DN33" s="28">
        <v>0.92574509999999999</v>
      </c>
      <c r="DO33" s="10">
        <v>2.3878989999999999E-2</v>
      </c>
      <c r="DP33" s="10">
        <v>5.0375870000000003E-2</v>
      </c>
      <c r="DQ33" s="14">
        <f>AVERAGE(DQ30:DQ32)</f>
        <v>0.86750896666666666</v>
      </c>
      <c r="DR33" s="7"/>
      <c r="DS33" s="7"/>
      <c r="DT33" s="7"/>
      <c r="DU33" s="10">
        <v>8.4330000000000002E-2</v>
      </c>
      <c r="DV33" s="7">
        <v>0.5</v>
      </c>
      <c r="DW33" s="7">
        <v>0.5</v>
      </c>
      <c r="DX33" s="7">
        <v>0</v>
      </c>
      <c r="DY33" s="10">
        <v>0.7901667</v>
      </c>
      <c r="DZ33" s="10">
        <v>0.2098333</v>
      </c>
      <c r="EA33" s="7">
        <v>0</v>
      </c>
      <c r="EB33" s="10">
        <v>0.84001349999999997</v>
      </c>
      <c r="EC33" s="10">
        <v>0.13461899999999999</v>
      </c>
      <c r="ED33" s="10">
        <v>2.5367420000000002E-2</v>
      </c>
      <c r="EE33" s="14">
        <f>AVERAGE(EE30:EE32)</f>
        <v>0.76203216666666673</v>
      </c>
      <c r="EF33" s="7"/>
      <c r="EG33" s="7"/>
      <c r="EH33" s="7"/>
      <c r="EI33" s="19">
        <f>AVERAGE(EI30:EI32)</f>
        <v>0.9979866666666668</v>
      </c>
      <c r="EJ33" s="7"/>
      <c r="EK33" s="7"/>
      <c r="EL33" s="7"/>
      <c r="EM33" s="10">
        <v>5.8650000000000003E-5</v>
      </c>
      <c r="EN33" s="10">
        <v>0.75</v>
      </c>
      <c r="EO33" s="10">
        <v>0.25</v>
      </c>
      <c r="EP33" s="10">
        <v>0</v>
      </c>
      <c r="EQ33" s="28">
        <v>0.99073330000000004</v>
      </c>
      <c r="ER33" s="10">
        <v>9.2666669999999993E-3</v>
      </c>
      <c r="ES33" s="10">
        <v>0</v>
      </c>
      <c r="ET33" s="28">
        <v>0.9999574</v>
      </c>
      <c r="EU33" s="10">
        <v>6.6510149999999997E-6</v>
      </c>
      <c r="EV33" s="10">
        <v>3.5982989999999997E-5</v>
      </c>
      <c r="EW33" s="19">
        <f>AVERAGE(EW30:EW32)</f>
        <v>0.9979866666666668</v>
      </c>
      <c r="EX33" s="7"/>
      <c r="EY33" s="7"/>
      <c r="EZ33" s="7"/>
      <c r="FA33" s="10">
        <v>6.1719999999999999E-5</v>
      </c>
      <c r="FB33" s="7">
        <v>0.75</v>
      </c>
      <c r="FC33" s="7">
        <v>0.25</v>
      </c>
      <c r="FD33" s="7">
        <v>0</v>
      </c>
      <c r="FE33" s="28">
        <v>0.99053329999999995</v>
      </c>
      <c r="FF33" s="10">
        <v>9.4666669999999998E-3</v>
      </c>
      <c r="FG33" s="7">
        <v>0</v>
      </c>
      <c r="FH33" s="28">
        <v>0.99995509999999999</v>
      </c>
      <c r="FI33" s="10">
        <v>6.9994369999999998E-6</v>
      </c>
      <c r="FJ33" s="10">
        <v>3.7868250000000001E-5</v>
      </c>
    </row>
    <row r="34" spans="1:167" x14ac:dyDescent="0.2">
      <c r="A34" s="11"/>
      <c r="B34" s="3"/>
      <c r="C34" s="6">
        <v>5</v>
      </c>
      <c r="D34" t="s">
        <v>43</v>
      </c>
      <c r="E34" s="3"/>
      <c r="F34" s="3"/>
      <c r="G34" s="45">
        <v>0.86029999999999995</v>
      </c>
      <c r="H34" s="10">
        <v>0.89195489999999999</v>
      </c>
      <c r="I34" s="10">
        <v>0.9283981</v>
      </c>
      <c r="J34" s="10">
        <v>0.9098117</v>
      </c>
      <c r="K34" s="45">
        <v>0.78080000000000005</v>
      </c>
      <c r="L34" s="10">
        <v>0.77609128000000005</v>
      </c>
      <c r="M34" s="10">
        <v>0.99973031000000001</v>
      </c>
      <c r="N34" s="10">
        <v>0.87382875000000004</v>
      </c>
      <c r="O34" s="7" t="s">
        <v>24</v>
      </c>
      <c r="P34" s="7">
        <v>0</v>
      </c>
      <c r="Q34" s="7">
        <v>0.5</v>
      </c>
      <c r="R34" s="7">
        <v>0.5</v>
      </c>
      <c r="S34" s="7">
        <v>0</v>
      </c>
      <c r="T34" s="10">
        <v>0.16033330000000001</v>
      </c>
      <c r="U34" s="10">
        <v>0.83966669999999999</v>
      </c>
      <c r="V34" s="7" t="s">
        <v>24</v>
      </c>
      <c r="W34" s="7" t="s">
        <v>24</v>
      </c>
      <c r="X34" s="7" t="s">
        <v>24</v>
      </c>
      <c r="Y34" s="45">
        <v>0.84789999999999999</v>
      </c>
      <c r="Z34" s="10">
        <v>0.89862869999999995</v>
      </c>
      <c r="AA34" s="10">
        <v>0.9012945</v>
      </c>
      <c r="AB34" s="10">
        <v>0.89995959999999997</v>
      </c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45">
        <v>0.82589999999999997</v>
      </c>
      <c r="AN34" s="10">
        <v>0.8480936</v>
      </c>
      <c r="AO34" s="10">
        <v>0.93878099999999998</v>
      </c>
      <c r="AP34" s="55">
        <v>0.89113600000000004</v>
      </c>
      <c r="AQ34" s="10">
        <v>0.75919999999999999</v>
      </c>
      <c r="AR34" s="10">
        <v>0.75921380000000005</v>
      </c>
      <c r="AS34" s="7">
        <v>1</v>
      </c>
      <c r="AT34" s="10">
        <v>0.86312849999999997</v>
      </c>
      <c r="AU34" s="7" t="s">
        <v>24</v>
      </c>
      <c r="AV34" s="7">
        <v>0</v>
      </c>
      <c r="AW34" s="7">
        <v>0.5</v>
      </c>
      <c r="AX34" s="7">
        <v>0.5</v>
      </c>
      <c r="AY34" s="7">
        <v>0</v>
      </c>
      <c r="AZ34" s="10">
        <v>0.15966669999999999</v>
      </c>
      <c r="BA34" s="10">
        <v>0.84033329999999995</v>
      </c>
      <c r="BB34" s="7" t="s">
        <v>24</v>
      </c>
      <c r="BC34" s="7" t="s">
        <v>24</v>
      </c>
      <c r="BD34" s="7" t="s">
        <v>24</v>
      </c>
      <c r="BE34" s="45">
        <v>0.8488</v>
      </c>
      <c r="BF34" s="10">
        <v>0.86448999999999998</v>
      </c>
      <c r="BG34" s="10">
        <v>0.94970330000000003</v>
      </c>
      <c r="BH34" s="10">
        <v>0.90509539999999999</v>
      </c>
      <c r="BI34" s="7" t="s">
        <v>24</v>
      </c>
      <c r="BJ34" s="7">
        <v>0.5</v>
      </c>
      <c r="BK34" s="7">
        <v>0.5</v>
      </c>
      <c r="BL34" s="7">
        <v>0</v>
      </c>
      <c r="BM34" s="10">
        <v>0.84030000000000005</v>
      </c>
      <c r="BN34" s="10">
        <v>0.15970000000000001</v>
      </c>
      <c r="BO34" s="7">
        <v>0</v>
      </c>
      <c r="BP34" s="7" t="s">
        <v>24</v>
      </c>
      <c r="BQ34" s="7" t="s">
        <v>24</v>
      </c>
      <c r="BR34" s="7" t="s">
        <v>24</v>
      </c>
      <c r="BS34" s="45">
        <v>0.81120000000000003</v>
      </c>
      <c r="BT34" s="10">
        <v>0.86638610000000005</v>
      </c>
      <c r="BU34" s="10">
        <v>0.88834950000000001</v>
      </c>
      <c r="BV34" s="10">
        <v>0.87723039999999997</v>
      </c>
      <c r="BW34" s="45">
        <v>0.75919999999999999</v>
      </c>
      <c r="BX34" s="10">
        <v>0.75921380000000005</v>
      </c>
      <c r="BY34" s="10">
        <v>1</v>
      </c>
      <c r="BZ34" s="10">
        <v>0.86312849999999997</v>
      </c>
      <c r="CA34" s="7" t="s">
        <v>24</v>
      </c>
      <c r="CB34" s="7">
        <v>0</v>
      </c>
      <c r="CC34" s="7">
        <v>0.5</v>
      </c>
      <c r="CD34" s="7">
        <v>0.5</v>
      </c>
      <c r="CE34" s="7">
        <v>0</v>
      </c>
      <c r="CF34" s="10">
        <v>0.1609333</v>
      </c>
      <c r="CG34" s="10">
        <v>0.83906670000000005</v>
      </c>
      <c r="CH34" s="7" t="s">
        <v>24</v>
      </c>
      <c r="CI34" s="7" t="s">
        <v>24</v>
      </c>
      <c r="CJ34" s="7" t="s">
        <v>24</v>
      </c>
      <c r="CK34" s="46">
        <v>0.79710000000000003</v>
      </c>
      <c r="CL34" s="10">
        <v>0.7924021</v>
      </c>
      <c r="CM34" s="10">
        <v>0.99285330000000005</v>
      </c>
      <c r="CN34" s="10">
        <v>0.8813742</v>
      </c>
      <c r="CO34" s="7" t="s">
        <v>24</v>
      </c>
      <c r="CP34" s="7">
        <v>0</v>
      </c>
      <c r="CQ34" s="7">
        <v>0.5</v>
      </c>
      <c r="CR34" s="7">
        <v>0.5</v>
      </c>
      <c r="CS34" s="7">
        <v>0</v>
      </c>
      <c r="CT34" s="10">
        <v>0.15553330000000001</v>
      </c>
      <c r="CU34" s="10">
        <v>0.84446670000000001</v>
      </c>
      <c r="CV34" s="7" t="s">
        <v>24</v>
      </c>
      <c r="CW34" s="7" t="s">
        <v>24</v>
      </c>
      <c r="CX34" s="7" t="s">
        <v>24</v>
      </c>
      <c r="CY34" s="45">
        <v>0.85699999999999998</v>
      </c>
      <c r="CZ34" s="10">
        <v>0.88519130000000001</v>
      </c>
      <c r="DA34" s="10">
        <v>0.93257820000000002</v>
      </c>
      <c r="DB34" s="10">
        <v>0.90826709999999999</v>
      </c>
      <c r="DC34" s="45">
        <v>0.7581</v>
      </c>
      <c r="DD34" s="10">
        <v>0.75974092699999995</v>
      </c>
      <c r="DE34" s="10">
        <v>0.99649406699999998</v>
      </c>
      <c r="DF34" s="10">
        <v>0.86215948200000003</v>
      </c>
      <c r="DG34" s="7" t="s">
        <v>24</v>
      </c>
      <c r="DH34" s="7">
        <v>0</v>
      </c>
      <c r="DI34" s="7">
        <v>0.5</v>
      </c>
      <c r="DJ34" s="7">
        <v>0.5</v>
      </c>
      <c r="DK34" s="7">
        <v>0</v>
      </c>
      <c r="DL34" s="10">
        <v>0.1584333</v>
      </c>
      <c r="DM34" s="10">
        <v>0.8415667</v>
      </c>
      <c r="DN34" s="7" t="s">
        <v>24</v>
      </c>
      <c r="DO34" s="7" t="s">
        <v>24</v>
      </c>
      <c r="DP34" s="7" t="s">
        <v>24</v>
      </c>
      <c r="DQ34" s="46">
        <v>0.82210000000000005</v>
      </c>
      <c r="DR34" s="10">
        <v>0.88468829999999998</v>
      </c>
      <c r="DS34" s="10">
        <v>0.88039369999999995</v>
      </c>
      <c r="DT34" s="10">
        <v>0.88253579999999998</v>
      </c>
      <c r="DU34" s="7" t="s">
        <v>24</v>
      </c>
      <c r="DV34" s="7">
        <v>0</v>
      </c>
      <c r="DW34" s="7">
        <v>0.5</v>
      </c>
      <c r="DX34" s="7">
        <v>0.5</v>
      </c>
      <c r="DY34" s="7">
        <v>0</v>
      </c>
      <c r="DZ34" s="10">
        <v>0.15916669999999999</v>
      </c>
      <c r="EA34" s="10">
        <v>0.84083330000000001</v>
      </c>
      <c r="EB34" s="7" t="s">
        <v>24</v>
      </c>
      <c r="EC34" s="7" t="s">
        <v>24</v>
      </c>
      <c r="ED34" s="7" t="s">
        <v>24</v>
      </c>
      <c r="EE34" s="45">
        <v>0.77510000000000001</v>
      </c>
      <c r="EF34" s="10">
        <v>0.77145532000000006</v>
      </c>
      <c r="EG34" s="10">
        <v>1</v>
      </c>
      <c r="EH34" s="10">
        <v>0.87098478999999995</v>
      </c>
      <c r="EI34" s="57">
        <v>0.75919999999999999</v>
      </c>
      <c r="EJ34" s="10">
        <v>0.75921380000000005</v>
      </c>
      <c r="EK34" s="10">
        <v>1</v>
      </c>
      <c r="EL34" s="10">
        <v>0.86312849999999997</v>
      </c>
      <c r="EM34" s="7" t="s">
        <v>24</v>
      </c>
      <c r="EN34" s="10">
        <v>0</v>
      </c>
      <c r="EO34" s="10">
        <v>0.5</v>
      </c>
      <c r="EP34" s="10">
        <v>0.5</v>
      </c>
      <c r="EQ34" s="10">
        <v>0</v>
      </c>
      <c r="ER34" s="10">
        <v>0.45723330000000001</v>
      </c>
      <c r="ES34" s="10">
        <v>0.54276670000000005</v>
      </c>
      <c r="ET34" s="7" t="s">
        <v>24</v>
      </c>
      <c r="EU34" s="7" t="s">
        <v>24</v>
      </c>
      <c r="EV34" s="7" t="s">
        <v>24</v>
      </c>
      <c r="EW34" s="48">
        <v>0.75919999999999999</v>
      </c>
      <c r="EX34" s="10">
        <v>0.75921380000000005</v>
      </c>
      <c r="EY34" s="7">
        <v>1</v>
      </c>
      <c r="EZ34" s="10">
        <v>0.86312849999999997</v>
      </c>
      <c r="FA34" s="7" t="s">
        <v>24</v>
      </c>
      <c r="FB34" s="10">
        <v>0</v>
      </c>
      <c r="FC34" s="10">
        <v>0.5</v>
      </c>
      <c r="FD34" s="10">
        <v>0.5</v>
      </c>
      <c r="FE34" s="10">
        <v>0</v>
      </c>
      <c r="FF34" s="10">
        <v>0.45836670000000002</v>
      </c>
      <c r="FG34" s="10">
        <v>0.54163329999999998</v>
      </c>
      <c r="FH34" s="7" t="s">
        <v>24</v>
      </c>
      <c r="FI34" s="7" t="s">
        <v>24</v>
      </c>
      <c r="FJ34" s="7" t="s">
        <v>24</v>
      </c>
    </row>
    <row r="35" spans="1:167" s="23" customFormat="1" ht="17" thickBot="1" x14ac:dyDescent="0.25">
      <c r="B35" s="22"/>
      <c r="E35" s="22"/>
      <c r="F35" s="22"/>
      <c r="G35" s="25"/>
      <c r="H35" s="24"/>
      <c r="I35" s="24"/>
      <c r="J35" s="24"/>
      <c r="K35" s="25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5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5"/>
      <c r="AN35" s="24"/>
      <c r="AO35" s="24"/>
      <c r="AP35" s="26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5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5"/>
      <c r="BT35" s="24"/>
      <c r="BU35" s="24"/>
      <c r="BV35" s="24"/>
      <c r="BW35" s="25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5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5"/>
      <c r="CZ35" s="24"/>
      <c r="DA35" s="24"/>
      <c r="DB35" s="24"/>
      <c r="DC35" s="25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5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5"/>
      <c r="EF35" s="24"/>
      <c r="EG35" s="24"/>
      <c r="EH35" s="24"/>
      <c r="EI35" s="25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5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1"/>
    </row>
    <row r="36" spans="1:167" x14ac:dyDescent="0.2">
      <c r="B36" s="3"/>
      <c r="E36" s="3"/>
      <c r="F36" s="3"/>
      <c r="G36" s="14"/>
      <c r="H36" s="7"/>
      <c r="I36" s="7"/>
      <c r="J36" s="7"/>
      <c r="K36" s="1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4"/>
      <c r="AN36" s="7"/>
      <c r="AO36" s="7"/>
      <c r="AP36" s="1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14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4"/>
      <c r="BT36" s="7"/>
      <c r="BU36" s="7"/>
      <c r="BV36" s="7"/>
      <c r="BW36" s="14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14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14"/>
      <c r="CZ36" s="7"/>
      <c r="DA36" s="7"/>
      <c r="DB36" s="7"/>
      <c r="DC36" s="14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14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14"/>
      <c r="EF36" s="7"/>
      <c r="EG36" s="7"/>
      <c r="EH36" s="7"/>
      <c r="EI36" s="14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14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</row>
    <row r="37" spans="1:167" x14ac:dyDescent="0.2">
      <c r="B37" s="3" t="s">
        <v>8</v>
      </c>
      <c r="E37" s="3">
        <v>13611</v>
      </c>
      <c r="F37" s="3">
        <v>17</v>
      </c>
      <c r="G37" s="14"/>
      <c r="H37" s="7"/>
      <c r="I37" s="7"/>
      <c r="J37" s="7"/>
      <c r="K37" s="1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4"/>
      <c r="AN37" s="7"/>
      <c r="AO37" s="7"/>
      <c r="AP37" s="1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14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4"/>
      <c r="BT37" s="7"/>
      <c r="BU37" s="7"/>
      <c r="BV37" s="7"/>
      <c r="BW37" s="14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14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14"/>
      <c r="CZ37" s="7"/>
      <c r="DA37" s="7"/>
      <c r="DB37" s="7"/>
      <c r="DC37" s="14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14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14"/>
      <c r="EF37" s="7"/>
      <c r="EG37" s="7"/>
      <c r="EH37" s="7"/>
      <c r="EI37" s="14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14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</row>
    <row r="38" spans="1:167" x14ac:dyDescent="0.2">
      <c r="B38" s="3"/>
      <c r="C38" s="6">
        <v>1</v>
      </c>
      <c r="D38" t="s">
        <v>40</v>
      </c>
      <c r="E38" s="3"/>
      <c r="F38" s="3"/>
      <c r="G38" s="45">
        <v>0.92508659999999998</v>
      </c>
      <c r="H38" s="7"/>
      <c r="I38" s="7"/>
      <c r="J38" s="7"/>
      <c r="K38" s="45">
        <v>0.91166349999999996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45">
        <v>0.95148730000000004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45">
        <v>0.92385150000000005</v>
      </c>
      <c r="AN38" s="7"/>
      <c r="AO38" s="7"/>
      <c r="AP38" s="17"/>
      <c r="AQ38" s="10">
        <v>0.91239479999999995</v>
      </c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10">
        <v>0.95182429999999996</v>
      </c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45">
        <v>0.56733789999999995</v>
      </c>
      <c r="BT38" s="7"/>
      <c r="BU38" s="7"/>
      <c r="BV38" s="7"/>
      <c r="BW38" s="45">
        <v>0.88978190000000001</v>
      </c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10">
        <v>0.59844189999999997</v>
      </c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45">
        <v>0.92039020000000005</v>
      </c>
      <c r="CZ38" s="7"/>
      <c r="DA38" s="7"/>
      <c r="DB38" s="7"/>
      <c r="DC38" s="45">
        <v>0.91465750000000001</v>
      </c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45">
        <v>0.95399860000000003</v>
      </c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45">
        <v>0.89679039999999999</v>
      </c>
      <c r="EF38" s="7"/>
      <c r="EG38" s="7"/>
      <c r="EH38" s="7"/>
      <c r="EI38" s="45">
        <v>0.85260340000000001</v>
      </c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14" t="s">
        <v>24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</row>
    <row r="39" spans="1:167" x14ac:dyDescent="0.2">
      <c r="B39" s="3"/>
      <c r="C39" s="6">
        <v>1</v>
      </c>
      <c r="D39" t="s">
        <v>41</v>
      </c>
      <c r="E39" s="3"/>
      <c r="F39" s="3"/>
      <c r="G39" s="45">
        <v>0.93073050000000002</v>
      </c>
      <c r="H39" s="7"/>
      <c r="I39" s="7"/>
      <c r="J39" s="7"/>
      <c r="K39" s="45">
        <v>0.91465750000000001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45">
        <v>0.95646019999999998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45">
        <v>0.93198990000000004</v>
      </c>
      <c r="AN39" s="7"/>
      <c r="AO39" s="7"/>
      <c r="AP39" s="17"/>
      <c r="AQ39" s="10">
        <v>0.9153905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10">
        <v>0.95504420000000001</v>
      </c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45">
        <v>0.5332074</v>
      </c>
      <c r="BT39" s="7"/>
      <c r="BU39" s="7"/>
      <c r="BV39" s="7"/>
      <c r="BW39" s="45">
        <v>0.89199539999999999</v>
      </c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10">
        <v>0.56460180000000004</v>
      </c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45">
        <v>0.93639799999999995</v>
      </c>
      <c r="CZ39" s="7"/>
      <c r="DA39" s="7"/>
      <c r="DB39" s="7"/>
      <c r="DC39" s="45">
        <v>0.91006509999999996</v>
      </c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45">
        <v>0.95185839999999999</v>
      </c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45">
        <v>0.90179410000000004</v>
      </c>
      <c r="EF39" s="7"/>
      <c r="EG39" s="7"/>
      <c r="EH39" s="7"/>
      <c r="EI39" s="45">
        <v>0.85654169999999996</v>
      </c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14" t="s">
        <v>24</v>
      </c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</row>
    <row r="40" spans="1:167" x14ac:dyDescent="0.2">
      <c r="C40" s="6">
        <v>1</v>
      </c>
      <c r="D40" t="s">
        <v>42</v>
      </c>
      <c r="G40" s="45">
        <v>0.92385150000000005</v>
      </c>
      <c r="H40" s="7"/>
      <c r="I40" s="7"/>
      <c r="J40" s="7"/>
      <c r="K40" s="45">
        <v>0.90923019999999999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45">
        <v>0.94652970000000003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45">
        <v>0.93201129999999999</v>
      </c>
      <c r="AN40" s="7"/>
      <c r="AO40" s="7"/>
      <c r="AP40" s="17"/>
      <c r="AQ40" s="10">
        <v>0.91848450000000004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10">
        <v>0.95823009999999997</v>
      </c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45">
        <v>0.70560449999999997</v>
      </c>
      <c r="BT40" s="7"/>
      <c r="BU40" s="7"/>
      <c r="BV40" s="7"/>
      <c r="BW40" s="45">
        <v>0.81147230000000004</v>
      </c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10">
        <v>0.55347029999999997</v>
      </c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45">
        <v>0.92382750000000002</v>
      </c>
      <c r="CZ40" s="7"/>
      <c r="DA40" s="7"/>
      <c r="DB40" s="7"/>
      <c r="DC40" s="45">
        <v>0.90547259999999996</v>
      </c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45">
        <v>0.95393340000000004</v>
      </c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45">
        <v>0.90711589999999998</v>
      </c>
      <c r="EF40" s="7"/>
      <c r="EG40" s="7"/>
      <c r="EH40" s="7"/>
      <c r="EI40" s="45">
        <v>0.86643700000000001</v>
      </c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14" t="s">
        <v>24</v>
      </c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</row>
    <row r="41" spans="1:167" x14ac:dyDescent="0.2">
      <c r="B41" s="3"/>
      <c r="C41" s="6">
        <v>1</v>
      </c>
      <c r="D41" t="s">
        <v>60</v>
      </c>
      <c r="E41" s="3"/>
      <c r="F41" s="3"/>
      <c r="G41" s="14">
        <f>AVERAGE(G38:G40)</f>
        <v>0.92655619999999994</v>
      </c>
      <c r="H41" s="7"/>
      <c r="I41" s="7"/>
      <c r="J41" s="7"/>
      <c r="K41" s="14">
        <f>AVERAGE(K38:K40)</f>
        <v>0.91185040000000006</v>
      </c>
      <c r="L41" s="7"/>
      <c r="M41" s="7"/>
      <c r="N41" s="7"/>
      <c r="O41" s="10">
        <v>2.7030000000000001E-3</v>
      </c>
      <c r="P41" s="7">
        <v>0</v>
      </c>
      <c r="Q41" s="7">
        <v>0.25</v>
      </c>
      <c r="R41" s="7">
        <v>0.75</v>
      </c>
      <c r="S41" s="7">
        <v>0</v>
      </c>
      <c r="T41" s="10">
        <v>0.1694</v>
      </c>
      <c r="U41" s="10">
        <v>0.8306</v>
      </c>
      <c r="V41" s="10">
        <v>6.3985680000000001E-4</v>
      </c>
      <c r="W41" s="10">
        <v>1.6145880000000001E-2</v>
      </c>
      <c r="X41" s="49">
        <v>0.98321429999999999</v>
      </c>
      <c r="Y41" s="38">
        <f>AVERAGE(Y38:Y40)</f>
        <v>0.95149240000000013</v>
      </c>
      <c r="Z41" s="7"/>
      <c r="AA41" s="7"/>
      <c r="AB41" s="7"/>
      <c r="AC41" s="10">
        <v>3.3660000000000002E-2</v>
      </c>
      <c r="AD41" s="7">
        <v>0.75</v>
      </c>
      <c r="AE41" s="7">
        <v>0.25</v>
      </c>
      <c r="AF41" s="7">
        <v>0</v>
      </c>
      <c r="AG41" s="28">
        <v>0.96293329999999999</v>
      </c>
      <c r="AH41" s="10">
        <v>3.7066670000000003E-2</v>
      </c>
      <c r="AI41" s="7">
        <v>0</v>
      </c>
      <c r="AJ41" s="28">
        <v>0.94483669999999997</v>
      </c>
      <c r="AK41" s="10">
        <v>4.354533E-2</v>
      </c>
      <c r="AL41" s="10">
        <v>1.161796E-2</v>
      </c>
      <c r="AM41" s="14">
        <f>AVERAGE(AM38:AM40)</f>
        <v>0.92928423333333343</v>
      </c>
      <c r="AN41" s="7"/>
      <c r="AO41" s="7"/>
      <c r="AP41" s="17"/>
      <c r="AQ41" s="14">
        <f>AVERAGE(AQ38:AQ40)</f>
        <v>0.91542326666666662</v>
      </c>
      <c r="AR41" s="7"/>
      <c r="AS41" s="7"/>
      <c r="AT41" s="7"/>
      <c r="AU41" s="10">
        <v>1.142E-2</v>
      </c>
      <c r="AV41" s="7">
        <v>0</v>
      </c>
      <c r="AW41" s="7">
        <v>0.25</v>
      </c>
      <c r="AX41" s="7">
        <v>0.75</v>
      </c>
      <c r="AY41" s="7">
        <v>0</v>
      </c>
      <c r="AZ41" s="10">
        <v>0.1681667</v>
      </c>
      <c r="BA41" s="10">
        <v>0.8318333</v>
      </c>
      <c r="BB41" s="10">
        <v>2.5930850000000002E-3</v>
      </c>
      <c r="BC41" s="10">
        <v>7.4716909999999997E-2</v>
      </c>
      <c r="BD41" s="10">
        <v>0.92269000000000001</v>
      </c>
      <c r="BE41" s="19">
        <f>AVERAGE(BE38:BE40)</f>
        <v>0.95503286666666654</v>
      </c>
      <c r="BF41" s="7"/>
      <c r="BG41" s="7"/>
      <c r="BH41" s="7"/>
      <c r="BI41" s="10">
        <v>3.1089999999999998E-3</v>
      </c>
      <c r="BJ41" s="7">
        <v>0.75</v>
      </c>
      <c r="BK41" s="7">
        <v>0.25</v>
      </c>
      <c r="BL41" s="7">
        <v>0</v>
      </c>
      <c r="BM41" s="28">
        <v>0.99136670000000005</v>
      </c>
      <c r="BN41" s="10">
        <v>8.633333E-3</v>
      </c>
      <c r="BO41" s="7">
        <v>0</v>
      </c>
      <c r="BP41" s="28">
        <v>0.99452390000000002</v>
      </c>
      <c r="BQ41" s="10">
        <v>4.3990820000000003E-3</v>
      </c>
      <c r="BR41" s="10">
        <v>1.0769899999999999E-3</v>
      </c>
      <c r="BS41" s="14">
        <f>AVERAGE(BS38:BS40)</f>
        <v>0.60204993333333323</v>
      </c>
      <c r="BT41" s="7"/>
      <c r="BU41" s="7"/>
      <c r="BV41" s="7"/>
      <c r="BW41" s="38">
        <f>AVERAGE(BW38:BW40)</f>
        <v>0.86441653333333335</v>
      </c>
      <c r="BX41" s="7"/>
      <c r="BY41" s="7"/>
      <c r="BZ41" s="7"/>
      <c r="CA41" s="10">
        <v>2.392E-2</v>
      </c>
      <c r="CB41" s="7">
        <v>0.75</v>
      </c>
      <c r="CC41" s="7">
        <v>0.25</v>
      </c>
      <c r="CD41" s="7">
        <v>0</v>
      </c>
      <c r="CE41" s="28">
        <v>0.99109999999999998</v>
      </c>
      <c r="CF41" s="10">
        <v>8.8999999999999999E-3</v>
      </c>
      <c r="CG41" s="7">
        <v>0</v>
      </c>
      <c r="CH41" s="28">
        <v>0.98302900000000004</v>
      </c>
      <c r="CI41" s="10">
        <v>2.2962909999999998E-3</v>
      </c>
      <c r="CJ41" s="10">
        <v>1.467474E-2</v>
      </c>
      <c r="CK41" s="14">
        <f>AVERAGE(CK38:CK40)</f>
        <v>0.57217133333333337</v>
      </c>
      <c r="CL41" s="7"/>
      <c r="CM41" s="7"/>
      <c r="CN41" s="7"/>
      <c r="CO41" s="10">
        <v>0.66820000000000002</v>
      </c>
      <c r="CP41" s="7">
        <v>0.25</v>
      </c>
      <c r="CQ41" s="7">
        <v>0.25</v>
      </c>
      <c r="CR41" s="7">
        <v>0.5</v>
      </c>
      <c r="CS41" s="10">
        <v>0.2772</v>
      </c>
      <c r="CT41" s="10">
        <v>5.9866669999999997E-2</v>
      </c>
      <c r="CU41" s="10">
        <v>0.66293329999999995</v>
      </c>
      <c r="CV41" s="10">
        <v>0.31170170000000003</v>
      </c>
      <c r="CW41" s="10">
        <v>8.8994450000000003E-2</v>
      </c>
      <c r="CX41" s="10">
        <v>0.59930380000000005</v>
      </c>
      <c r="CY41" s="14">
        <f>AVERAGE(CY38:CY40)</f>
        <v>0.92687190000000008</v>
      </c>
      <c r="CZ41" s="7"/>
      <c r="DA41" s="7"/>
      <c r="DB41" s="7"/>
      <c r="DC41" s="14">
        <f>AVERAGE(DC38:DC40)</f>
        <v>0.91006506666666664</v>
      </c>
      <c r="DD41" s="7"/>
      <c r="DE41" s="7"/>
      <c r="DF41" s="7"/>
      <c r="DG41" s="10">
        <v>0.14050000000000001</v>
      </c>
      <c r="DH41" s="7">
        <v>0</v>
      </c>
      <c r="DI41" s="7">
        <v>0.5</v>
      </c>
      <c r="DJ41" s="7">
        <v>0.5</v>
      </c>
      <c r="DK41" s="7">
        <v>0</v>
      </c>
      <c r="DL41" s="10">
        <v>0.39336670000000001</v>
      </c>
      <c r="DM41" s="10">
        <v>0.60663330000000004</v>
      </c>
      <c r="DN41" s="10">
        <v>4.0750210000000002E-2</v>
      </c>
      <c r="DO41" s="10">
        <v>0.20523359999999999</v>
      </c>
      <c r="DP41" s="10">
        <v>0.75401620000000003</v>
      </c>
      <c r="DQ41" s="19">
        <f>AVERAGE(DQ38:DQ40)</f>
        <v>0.95326346666666673</v>
      </c>
      <c r="DR41" s="7"/>
      <c r="DS41" s="7"/>
      <c r="DT41" s="7"/>
      <c r="DU41" s="10">
        <v>4.1610000000000001E-2</v>
      </c>
      <c r="DV41" s="7">
        <v>0.75</v>
      </c>
      <c r="DW41" s="7">
        <v>0.25</v>
      </c>
      <c r="DX41" s="7">
        <v>0</v>
      </c>
      <c r="DY41" s="28">
        <v>0.96176669999999997</v>
      </c>
      <c r="DZ41" s="10">
        <v>3.8233330000000003E-2</v>
      </c>
      <c r="EA41" s="7">
        <v>0</v>
      </c>
      <c r="EB41" s="62">
        <v>0.9374152</v>
      </c>
      <c r="EC41" s="10">
        <v>4.7722510000000003E-2</v>
      </c>
      <c r="ED41" s="10">
        <v>1.486228E-2</v>
      </c>
      <c r="EE41" s="14">
        <f>AVERAGE(EE38:EE40)</f>
        <v>0.9019001333333333</v>
      </c>
      <c r="EF41" s="7"/>
      <c r="EG41" s="7"/>
      <c r="EH41" s="7"/>
      <c r="EI41" s="34">
        <f>AVERAGE(EI38:EI40)</f>
        <v>0.85852736666666674</v>
      </c>
      <c r="EJ41" s="7"/>
      <c r="EK41" s="7"/>
      <c r="EL41" s="7"/>
      <c r="EM41" s="10">
        <v>1.013E-3</v>
      </c>
      <c r="EN41" s="7">
        <v>0</v>
      </c>
      <c r="EO41" s="7">
        <v>0.25</v>
      </c>
      <c r="EP41" s="7">
        <v>0.75</v>
      </c>
      <c r="EQ41" s="7">
        <v>0</v>
      </c>
      <c r="ER41" s="10">
        <v>9.4666669999999998E-3</v>
      </c>
      <c r="ES41" s="49">
        <v>0.99053329999999995</v>
      </c>
      <c r="ET41" s="10">
        <v>4.461477E-4</v>
      </c>
      <c r="EU41" s="10">
        <v>6.9260519999999996E-4</v>
      </c>
      <c r="EV41" s="49">
        <v>0.9988612</v>
      </c>
      <c r="EW41" s="14" t="s">
        <v>24</v>
      </c>
      <c r="EX41" s="7"/>
      <c r="EY41" s="7"/>
      <c r="EZ41" s="7"/>
      <c r="FA41" s="7" t="s">
        <v>24</v>
      </c>
      <c r="FB41" s="7" t="s">
        <v>24</v>
      </c>
      <c r="FC41" s="7" t="s">
        <v>24</v>
      </c>
      <c r="FD41" s="7" t="s">
        <v>24</v>
      </c>
      <c r="FE41" s="7" t="s">
        <v>24</v>
      </c>
      <c r="FF41" s="7" t="s">
        <v>24</v>
      </c>
      <c r="FG41" s="7" t="s">
        <v>24</v>
      </c>
      <c r="FH41" s="7" t="s">
        <v>24</v>
      </c>
      <c r="FI41" s="7" t="s">
        <v>24</v>
      </c>
      <c r="FJ41" s="7" t="s">
        <v>24</v>
      </c>
    </row>
    <row r="42" spans="1:167" x14ac:dyDescent="0.2">
      <c r="B42" s="3"/>
      <c r="C42" s="6">
        <v>1</v>
      </c>
      <c r="D42" t="s">
        <v>43</v>
      </c>
      <c r="E42" s="3"/>
      <c r="F42" s="3"/>
      <c r="G42" s="45">
        <v>0.91790000000000005</v>
      </c>
      <c r="H42" s="10">
        <v>0.92602039999999997</v>
      </c>
      <c r="I42" s="10">
        <v>0.91666669999999995</v>
      </c>
      <c r="J42" s="10">
        <v>0.92131980000000002</v>
      </c>
      <c r="K42" s="45">
        <v>0.66249999999999998</v>
      </c>
      <c r="L42" s="10">
        <v>0.54175589999999996</v>
      </c>
      <c r="M42" s="10">
        <v>0.63888889000000004</v>
      </c>
      <c r="N42" s="10">
        <v>0.58632676699999997</v>
      </c>
      <c r="O42" s="7" t="s">
        <v>24</v>
      </c>
      <c r="P42" s="7">
        <v>0</v>
      </c>
      <c r="Q42" s="7">
        <v>0.5</v>
      </c>
      <c r="R42" s="7">
        <v>0.5</v>
      </c>
      <c r="S42" s="7">
        <v>0</v>
      </c>
      <c r="T42" s="10">
        <v>0.16063330000000001</v>
      </c>
      <c r="U42" s="10">
        <v>0.83936670000000002</v>
      </c>
      <c r="V42" s="7" t="s">
        <v>24</v>
      </c>
      <c r="W42" s="7" t="s">
        <v>24</v>
      </c>
      <c r="X42" s="7" t="s">
        <v>24</v>
      </c>
      <c r="Y42" s="56">
        <v>0.91639999999999999</v>
      </c>
      <c r="Z42" s="10">
        <v>0.99494950000000004</v>
      </c>
      <c r="AA42" s="10">
        <v>0.99494950000000004</v>
      </c>
      <c r="AB42" s="10">
        <v>0.99494950000000004</v>
      </c>
      <c r="AC42" s="7" t="s">
        <v>24</v>
      </c>
      <c r="AD42" s="7">
        <v>0</v>
      </c>
      <c r="AE42" s="31">
        <v>1</v>
      </c>
      <c r="AF42" s="7">
        <v>0</v>
      </c>
      <c r="AG42" s="7">
        <v>0</v>
      </c>
      <c r="AH42" s="31">
        <v>1</v>
      </c>
      <c r="AI42" s="7">
        <v>0</v>
      </c>
      <c r="AJ42" s="7" t="s">
        <v>24</v>
      </c>
      <c r="AK42" s="7" t="s">
        <v>24</v>
      </c>
      <c r="AL42" s="7" t="s">
        <v>24</v>
      </c>
      <c r="AM42" s="45">
        <v>0.92700000000000005</v>
      </c>
      <c r="AN42" s="10">
        <v>0.95064939999999998</v>
      </c>
      <c r="AO42" s="10">
        <v>0.92424240000000002</v>
      </c>
      <c r="AP42" s="10">
        <v>0.93725990000000003</v>
      </c>
      <c r="AQ42" s="10">
        <v>0.56740000000000002</v>
      </c>
      <c r="AR42" s="10">
        <v>0.96363639999999995</v>
      </c>
      <c r="AS42" s="10">
        <v>0.1338384</v>
      </c>
      <c r="AT42" s="10">
        <v>0.2350333</v>
      </c>
      <c r="AU42" s="7" t="s">
        <v>24</v>
      </c>
      <c r="AV42" s="7">
        <v>0</v>
      </c>
      <c r="AW42" s="7">
        <v>0.5</v>
      </c>
      <c r="AX42" s="7">
        <v>0.5</v>
      </c>
      <c r="AY42" s="7">
        <v>0</v>
      </c>
      <c r="AZ42" s="10">
        <v>0.1627333</v>
      </c>
      <c r="BA42" s="10">
        <v>0.83726670000000003</v>
      </c>
      <c r="BB42" s="7" t="s">
        <v>24</v>
      </c>
      <c r="BC42" s="7" t="s">
        <v>24</v>
      </c>
      <c r="BD42" s="7" t="s">
        <v>24</v>
      </c>
      <c r="BE42" s="10">
        <v>0.91420000000000001</v>
      </c>
      <c r="BF42" s="10">
        <v>0.95538060000000002</v>
      </c>
      <c r="BG42" s="10">
        <v>0.91919189999999995</v>
      </c>
      <c r="BH42" s="10">
        <v>0.93693689999999996</v>
      </c>
      <c r="BI42" s="7" t="s">
        <v>24</v>
      </c>
      <c r="BJ42" s="7">
        <v>0</v>
      </c>
      <c r="BK42" s="7">
        <v>0.5</v>
      </c>
      <c r="BL42" s="7">
        <v>0.5</v>
      </c>
      <c r="BM42" s="7">
        <v>0</v>
      </c>
      <c r="BN42" s="10">
        <v>0.46213330000000002</v>
      </c>
      <c r="BO42" s="10">
        <v>0.53786670000000003</v>
      </c>
      <c r="BP42" s="7" t="s">
        <v>24</v>
      </c>
      <c r="BQ42" s="7" t="s">
        <v>24</v>
      </c>
      <c r="BR42" s="7" t="s">
        <v>24</v>
      </c>
      <c r="BS42" s="45">
        <v>0.60980000000000001</v>
      </c>
      <c r="BT42" s="10">
        <v>0.46879759999999998</v>
      </c>
      <c r="BU42" s="10">
        <v>0.77777777999999997</v>
      </c>
      <c r="BV42" s="10">
        <v>0.58499525200000002</v>
      </c>
      <c r="BW42" s="45">
        <v>0.37619999999999998</v>
      </c>
      <c r="BX42" s="7" t="s">
        <v>24</v>
      </c>
      <c r="BY42" s="7" t="s">
        <v>66</v>
      </c>
      <c r="BZ42" s="7" t="s">
        <v>24</v>
      </c>
      <c r="CA42" s="7" t="s">
        <v>24</v>
      </c>
      <c r="CB42" s="7">
        <v>0</v>
      </c>
      <c r="CC42" s="7">
        <v>0.5</v>
      </c>
      <c r="CD42" s="7">
        <v>0.5</v>
      </c>
      <c r="CE42" s="7">
        <v>0</v>
      </c>
      <c r="CF42" s="10">
        <v>0.15703329999999999</v>
      </c>
      <c r="CG42" s="10">
        <v>0.84296669999999996</v>
      </c>
      <c r="CH42" s="7" t="s">
        <v>24</v>
      </c>
      <c r="CI42" s="7" t="s">
        <v>24</v>
      </c>
      <c r="CJ42" s="7" t="s">
        <v>24</v>
      </c>
      <c r="CK42" s="10">
        <v>0.14169999999999999</v>
      </c>
      <c r="CL42" s="7" t="s">
        <v>24</v>
      </c>
      <c r="CM42" s="7">
        <v>0</v>
      </c>
      <c r="CN42" s="7" t="s">
        <v>24</v>
      </c>
      <c r="CO42" s="7" t="s">
        <v>24</v>
      </c>
      <c r="CP42" s="7">
        <v>0</v>
      </c>
      <c r="CQ42" s="7">
        <v>0.5</v>
      </c>
      <c r="CR42" s="7">
        <v>0.5</v>
      </c>
      <c r="CS42" s="7">
        <v>0</v>
      </c>
      <c r="CT42" s="10">
        <v>0.16033330000000001</v>
      </c>
      <c r="CU42" s="10">
        <v>0.83966669999999999</v>
      </c>
      <c r="CV42" s="7" t="s">
        <v>24</v>
      </c>
      <c r="CW42" s="7" t="s">
        <v>24</v>
      </c>
      <c r="CX42" s="7" t="s">
        <v>24</v>
      </c>
      <c r="CY42" s="45">
        <v>0.92009799999999997</v>
      </c>
      <c r="CZ42" s="10">
        <v>0.9262087</v>
      </c>
      <c r="DA42" s="10">
        <v>0.91919189999999995</v>
      </c>
      <c r="DB42" s="10">
        <v>0.92268689999999998</v>
      </c>
      <c r="DC42" s="45">
        <v>0.59340000000000004</v>
      </c>
      <c r="DD42" s="10">
        <v>0.76530609999999999</v>
      </c>
      <c r="DE42" s="10">
        <v>0.37878788000000002</v>
      </c>
      <c r="DF42" s="10">
        <v>0.50675680000000001</v>
      </c>
      <c r="DG42" s="7" t="s">
        <v>24</v>
      </c>
      <c r="DH42" s="7">
        <v>0</v>
      </c>
      <c r="DI42" s="7">
        <v>0.5</v>
      </c>
      <c r="DJ42" s="7">
        <v>0.5</v>
      </c>
      <c r="DK42" s="7">
        <v>0</v>
      </c>
      <c r="DL42" s="10">
        <v>0.1614333</v>
      </c>
      <c r="DM42" s="10">
        <v>0.8385667</v>
      </c>
      <c r="DN42" s="7" t="s">
        <v>24</v>
      </c>
      <c r="DO42" s="7" t="s">
        <v>24</v>
      </c>
      <c r="DP42" s="7" t="s">
        <v>24</v>
      </c>
      <c r="DQ42" s="45">
        <v>0.91369999999999996</v>
      </c>
      <c r="DR42" s="10">
        <v>0.94056850000000003</v>
      </c>
      <c r="DS42" s="10">
        <v>0.91919189999999995</v>
      </c>
      <c r="DT42" s="10">
        <v>0.92975730000000001</v>
      </c>
      <c r="DU42" s="7" t="s">
        <v>24</v>
      </c>
      <c r="DV42" s="7">
        <v>0</v>
      </c>
      <c r="DW42" s="7">
        <v>0.5</v>
      </c>
      <c r="DX42" s="7">
        <v>0.5</v>
      </c>
      <c r="DY42" s="7">
        <v>0</v>
      </c>
      <c r="DZ42" s="10">
        <v>0.45886670000000002</v>
      </c>
      <c r="EA42" s="10">
        <v>0.54113330000000004</v>
      </c>
      <c r="EB42" s="7" t="s">
        <v>24</v>
      </c>
      <c r="EC42" s="7" t="s">
        <v>24</v>
      </c>
      <c r="ED42" s="7" t="s">
        <v>24</v>
      </c>
      <c r="EE42" s="45">
        <v>0.89439999999999997</v>
      </c>
      <c r="EF42" s="10">
        <v>0.85294119999999995</v>
      </c>
      <c r="EG42" s="10">
        <v>0.80555560000000004</v>
      </c>
      <c r="EH42" s="10">
        <v>0.82857139999999996</v>
      </c>
      <c r="EI42" s="45">
        <v>0.61960000000000004</v>
      </c>
      <c r="EJ42" s="10">
        <v>0.38582676999999999</v>
      </c>
      <c r="EK42" s="10">
        <v>0.74242419999999998</v>
      </c>
      <c r="EL42" s="10">
        <v>0.50777201999999999</v>
      </c>
      <c r="EM42" s="7" t="s">
        <v>24</v>
      </c>
      <c r="EN42" s="10">
        <v>0</v>
      </c>
      <c r="EO42" s="10">
        <v>0.5</v>
      </c>
      <c r="EP42" s="10">
        <v>0.5</v>
      </c>
      <c r="EQ42" s="10">
        <v>0</v>
      </c>
      <c r="ER42" s="10">
        <v>0.16033330000000001</v>
      </c>
      <c r="ES42" s="10">
        <v>0.83966669999999999</v>
      </c>
      <c r="ET42" s="7" t="s">
        <v>24</v>
      </c>
      <c r="EU42" s="7" t="s">
        <v>24</v>
      </c>
      <c r="EV42" s="7" t="s">
        <v>24</v>
      </c>
      <c r="EW42" s="14" t="s">
        <v>24</v>
      </c>
      <c r="EX42" s="7" t="s">
        <v>24</v>
      </c>
      <c r="EY42" s="7" t="s">
        <v>24</v>
      </c>
      <c r="EZ42" s="7" t="s">
        <v>24</v>
      </c>
      <c r="FA42" s="7" t="s">
        <v>24</v>
      </c>
      <c r="FB42" s="7" t="s">
        <v>24</v>
      </c>
      <c r="FC42" s="7" t="s">
        <v>24</v>
      </c>
      <c r="FD42" s="7" t="s">
        <v>24</v>
      </c>
      <c r="FE42" s="7" t="s">
        <v>24</v>
      </c>
      <c r="FF42" s="7" t="s">
        <v>24</v>
      </c>
      <c r="FG42" s="7" t="s">
        <v>24</v>
      </c>
      <c r="FH42" s="7" t="s">
        <v>24</v>
      </c>
      <c r="FI42" s="7" t="s">
        <v>24</v>
      </c>
      <c r="FJ42" s="7" t="s">
        <v>24</v>
      </c>
    </row>
    <row r="43" spans="1:167" x14ac:dyDescent="0.2">
      <c r="B43" s="3"/>
      <c r="C43" s="6"/>
      <c r="E43" s="3"/>
      <c r="F43" s="3"/>
      <c r="G43" s="14"/>
      <c r="H43" s="7"/>
      <c r="I43" s="7"/>
      <c r="J43" s="7"/>
      <c r="K43" s="1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4"/>
      <c r="AN43" s="7"/>
      <c r="AO43" s="7"/>
      <c r="AP43" s="1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14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14"/>
      <c r="BT43" s="7"/>
      <c r="BU43" s="7"/>
      <c r="BV43" s="7"/>
      <c r="BW43" s="14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14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14"/>
      <c r="CZ43" s="7"/>
      <c r="DA43" s="7"/>
      <c r="DB43" s="7"/>
      <c r="DC43" s="14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14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14"/>
      <c r="EF43" s="7"/>
      <c r="EG43" s="7"/>
      <c r="EH43" s="7"/>
      <c r="EI43" s="14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14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</row>
    <row r="44" spans="1:167" x14ac:dyDescent="0.2">
      <c r="B44" s="3"/>
      <c r="C44" s="6">
        <v>2</v>
      </c>
      <c r="D44" t="s">
        <v>40</v>
      </c>
      <c r="E44" s="3"/>
      <c r="F44" s="3"/>
      <c r="G44" s="45">
        <v>0.92508659999999998</v>
      </c>
      <c r="H44" s="7"/>
      <c r="I44" s="7"/>
      <c r="J44" s="7"/>
      <c r="K44" s="45">
        <v>0.89848680000000003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45">
        <v>0.94501579999999996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45">
        <v>0.92385150000000005</v>
      </c>
      <c r="AN44" s="7"/>
      <c r="AO44" s="7"/>
      <c r="AP44" s="17"/>
      <c r="AQ44" s="10">
        <v>0.91012300000000002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10">
        <v>0.9469727</v>
      </c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45">
        <v>0.56733789999999995</v>
      </c>
      <c r="BT44" s="7"/>
      <c r="BU44" s="7"/>
      <c r="BV44" s="7"/>
      <c r="BW44" s="45">
        <v>0.59634180000000003</v>
      </c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10">
        <v>0.77315909999999999</v>
      </c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45">
        <v>0.92039020000000005</v>
      </c>
      <c r="CZ44" s="7"/>
      <c r="DA44" s="7"/>
      <c r="DB44" s="7"/>
      <c r="DC44" s="45">
        <v>0.90450680000000006</v>
      </c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45">
        <v>0.9465981</v>
      </c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45">
        <v>0.89679039999999999</v>
      </c>
      <c r="EF44" s="7"/>
      <c r="EG44" s="7"/>
      <c r="EH44" s="7"/>
      <c r="EI44" s="14" t="s">
        <v>24</v>
      </c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14" t="s">
        <v>24</v>
      </c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</row>
    <row r="45" spans="1:167" x14ac:dyDescent="0.2">
      <c r="B45" s="3"/>
      <c r="C45" s="6">
        <v>2</v>
      </c>
      <c r="D45" t="s">
        <v>41</v>
      </c>
      <c r="E45" s="3"/>
      <c r="F45" s="3"/>
      <c r="G45" s="45">
        <v>0.93073050000000002</v>
      </c>
      <c r="H45" s="7"/>
      <c r="I45" s="7"/>
      <c r="J45" s="7"/>
      <c r="K45" s="45">
        <v>0.90570799999999996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45">
        <v>0.94578549999999995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45">
        <v>0.93198990000000004</v>
      </c>
      <c r="AN45" s="7"/>
      <c r="AO45" s="7"/>
      <c r="AP45" s="17"/>
      <c r="AQ45" s="10">
        <v>0.90384620000000004</v>
      </c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10">
        <v>0.9477641</v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45">
        <v>0.5332074</v>
      </c>
      <c r="BT45" s="7"/>
      <c r="BU45" s="7"/>
      <c r="BV45" s="7"/>
      <c r="BW45" s="45">
        <v>0.66025239999999996</v>
      </c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10">
        <v>0.68433540000000004</v>
      </c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45">
        <v>0.93639799999999995</v>
      </c>
      <c r="CZ45" s="7"/>
      <c r="DA45" s="7"/>
      <c r="DB45" s="7"/>
      <c r="DC45" s="45">
        <v>0.89782399999999996</v>
      </c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45">
        <v>0.94695169999999995</v>
      </c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45">
        <v>0.90179410000000004</v>
      </c>
      <c r="EF45" s="7"/>
      <c r="EG45" s="7"/>
      <c r="EH45" s="7"/>
      <c r="EI45" s="14" t="s">
        <v>24</v>
      </c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14" t="s">
        <v>24</v>
      </c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</row>
    <row r="46" spans="1:167" x14ac:dyDescent="0.2">
      <c r="B46" s="3"/>
      <c r="C46" s="6">
        <v>2</v>
      </c>
      <c r="D46" t="s">
        <v>42</v>
      </c>
      <c r="E46" s="3"/>
      <c r="F46" s="3"/>
      <c r="G46" s="45">
        <v>0.92385150000000005</v>
      </c>
      <c r="H46" s="7"/>
      <c r="I46" s="7"/>
      <c r="J46" s="7"/>
      <c r="K46" s="14" t="s">
        <v>24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45">
        <v>0.94261969999999995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45">
        <v>0.93201129999999999</v>
      </c>
      <c r="AN46" s="7"/>
      <c r="AO46" s="7"/>
      <c r="AP46" s="17"/>
      <c r="AQ46" s="10">
        <v>0.12105929999999999</v>
      </c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10">
        <v>0.94501579999999996</v>
      </c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45">
        <v>0.70560449999999997</v>
      </c>
      <c r="BT46" s="7"/>
      <c r="BU46" s="7"/>
      <c r="BV46" s="7"/>
      <c r="BW46" s="45">
        <v>0.1483932</v>
      </c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10">
        <v>0.78085439999999995</v>
      </c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45">
        <v>0.92382750000000002</v>
      </c>
      <c r="CZ46" s="7"/>
      <c r="DA46" s="7"/>
      <c r="DB46" s="7"/>
      <c r="DC46" s="45">
        <v>0.89908549999999998</v>
      </c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45">
        <v>0.94620249999999995</v>
      </c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45">
        <v>0.90711589999999998</v>
      </c>
      <c r="EF46" s="7"/>
      <c r="EG46" s="7"/>
      <c r="EH46" s="7"/>
      <c r="EI46" s="14" t="s">
        <v>24</v>
      </c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14" t="s">
        <v>24</v>
      </c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</row>
    <row r="47" spans="1:167" x14ac:dyDescent="0.2">
      <c r="C47" s="6">
        <v>2</v>
      </c>
      <c r="D47" t="s">
        <v>49</v>
      </c>
      <c r="G47" s="14">
        <f>AVERAGE(G44:G46)</f>
        <v>0.92655619999999994</v>
      </c>
      <c r="H47" s="7"/>
      <c r="I47" s="7"/>
      <c r="J47" s="7"/>
      <c r="K47" s="14">
        <f>AVERAGE(K44:K46)</f>
        <v>0.90209739999999994</v>
      </c>
      <c r="L47" s="7"/>
      <c r="M47" s="7"/>
      <c r="N47" s="7"/>
      <c r="O47" s="10">
        <v>0.11890000000000001</v>
      </c>
      <c r="P47" s="7" t="s">
        <v>24</v>
      </c>
      <c r="Q47" s="7" t="s">
        <v>24</v>
      </c>
      <c r="R47" s="7" t="s">
        <v>24</v>
      </c>
      <c r="S47" s="7" t="s">
        <v>24</v>
      </c>
      <c r="T47" s="7" t="s">
        <v>24</v>
      </c>
      <c r="U47" s="7" t="s">
        <v>24</v>
      </c>
      <c r="V47" s="7" t="s">
        <v>24</v>
      </c>
      <c r="W47" s="7" t="s">
        <v>24</v>
      </c>
      <c r="X47" s="7" t="s">
        <v>24</v>
      </c>
      <c r="Y47" s="63">
        <f>AVERAGE(Y44:Y46)</f>
        <v>0.94447366666666666</v>
      </c>
      <c r="Z47" s="7"/>
      <c r="AA47" s="7"/>
      <c r="AB47" s="7"/>
      <c r="AC47" s="10">
        <v>2.811E-2</v>
      </c>
      <c r="AD47" s="7">
        <v>0.75</v>
      </c>
      <c r="AE47" s="7">
        <v>0.25</v>
      </c>
      <c r="AF47" s="7">
        <v>0</v>
      </c>
      <c r="AG47" s="62">
        <v>0.91296670000000002</v>
      </c>
      <c r="AH47" s="10">
        <v>8.7033330000000006E-2</v>
      </c>
      <c r="AI47" s="7">
        <v>0</v>
      </c>
      <c r="AJ47" s="62">
        <v>0.92246850000000002</v>
      </c>
      <c r="AK47" s="10">
        <v>6.9663600000000006E-2</v>
      </c>
      <c r="AL47" s="10">
        <v>7.8678989999999994E-3</v>
      </c>
      <c r="AM47" s="14">
        <f>AVERAGE(AM44:AM46)</f>
        <v>0.92928423333333343</v>
      </c>
      <c r="AN47" s="7"/>
      <c r="AO47" s="7"/>
      <c r="AP47" s="17"/>
      <c r="AQ47" s="34">
        <f>AVERAGE(AQ44:AQ46)</f>
        <v>0.64500950000000001</v>
      </c>
      <c r="AR47" s="7"/>
      <c r="AS47" s="7"/>
      <c r="AT47" s="7"/>
      <c r="AU47" s="10">
        <v>0.39329999999999998</v>
      </c>
      <c r="AV47" s="7">
        <v>0</v>
      </c>
      <c r="AW47" s="7">
        <v>0.25</v>
      </c>
      <c r="AX47" s="7">
        <v>0.75</v>
      </c>
      <c r="AY47" s="7">
        <v>0</v>
      </c>
      <c r="AZ47" s="10">
        <v>3.7766670000000002E-2</v>
      </c>
      <c r="BA47" s="49">
        <v>0.96223329999999996</v>
      </c>
      <c r="BB47" s="10">
        <v>0.2176536</v>
      </c>
      <c r="BC47" s="10">
        <v>1.3500649999999999E-2</v>
      </c>
      <c r="BD47" s="10">
        <v>0.76884580000000002</v>
      </c>
      <c r="BE47" s="14">
        <f>AVERAGE(BE44:BE46)</f>
        <v>0.94658419999999988</v>
      </c>
      <c r="BF47" s="7"/>
      <c r="BG47" s="7"/>
      <c r="BH47" s="7"/>
      <c r="BI47" s="10">
        <v>2.912E-2</v>
      </c>
      <c r="BJ47" s="7">
        <v>0.75</v>
      </c>
      <c r="BK47" s="7">
        <v>0.25</v>
      </c>
      <c r="BL47" s="7">
        <v>0</v>
      </c>
      <c r="BM47" s="60">
        <v>0.90566670000000005</v>
      </c>
      <c r="BN47" s="10">
        <v>9.4333330000000007E-2</v>
      </c>
      <c r="BO47" s="7">
        <v>0</v>
      </c>
      <c r="BP47" s="60">
        <v>0.91438189999999997</v>
      </c>
      <c r="BQ47" s="10">
        <v>7.7662209999999995E-2</v>
      </c>
      <c r="BR47" s="10">
        <v>7.9558560000000007E-3</v>
      </c>
      <c r="BS47" s="14">
        <f>AVERAGE(BS44:BS46)</f>
        <v>0.60204993333333323</v>
      </c>
      <c r="BT47" s="7"/>
      <c r="BU47" s="7"/>
      <c r="BV47" s="7"/>
      <c r="BW47" s="14">
        <f>AVERAGE(BW44:BW46)</f>
        <v>0.46832913333333331</v>
      </c>
      <c r="BX47" s="7"/>
      <c r="BY47" s="7"/>
      <c r="BZ47" s="7"/>
      <c r="CA47" s="10">
        <v>0.45639999999999997</v>
      </c>
      <c r="CB47" s="7">
        <v>0.25</v>
      </c>
      <c r="CC47" s="7">
        <v>0.25</v>
      </c>
      <c r="CD47" s="7">
        <v>0.5</v>
      </c>
      <c r="CE47" s="10">
        <v>0.15293329999999999</v>
      </c>
      <c r="CF47" s="10">
        <v>4.5999999999999999E-2</v>
      </c>
      <c r="CG47" s="10">
        <v>0.80106670000000002</v>
      </c>
      <c r="CH47" s="10">
        <v>0.24188009999999999</v>
      </c>
      <c r="CI47" s="10">
        <v>2.783128E-2</v>
      </c>
      <c r="CJ47" s="10">
        <v>0.73028859999999995</v>
      </c>
      <c r="CK47" s="14">
        <f>AVERAGE(CK44:CK46)</f>
        <v>0.74611630000000007</v>
      </c>
      <c r="CL47" s="7"/>
      <c r="CM47" s="7"/>
      <c r="CN47" s="7"/>
      <c r="CO47" s="10">
        <v>0.2248</v>
      </c>
      <c r="CP47" s="7">
        <v>0.5</v>
      </c>
      <c r="CQ47" s="7">
        <v>0.25</v>
      </c>
      <c r="CR47" s="7">
        <v>0.25</v>
      </c>
      <c r="CS47" s="10">
        <v>0.87939999999999996</v>
      </c>
      <c r="CT47" s="10">
        <v>1.496667E-2</v>
      </c>
      <c r="CU47" s="10">
        <v>0.1056333</v>
      </c>
      <c r="CV47" s="10">
        <v>0.85157660000000002</v>
      </c>
      <c r="CW47" s="10">
        <v>2.3790559999999999E-2</v>
      </c>
      <c r="CX47" s="10">
        <v>0.1246328</v>
      </c>
      <c r="CY47" s="14">
        <f>AVERAGE(CY44:CY46)</f>
        <v>0.92687190000000008</v>
      </c>
      <c r="CZ47" s="7"/>
      <c r="DA47" s="7"/>
      <c r="DB47" s="7"/>
      <c r="DC47" s="35">
        <f>AVERAGE(DC44:DC46)</f>
        <v>0.9004721</v>
      </c>
      <c r="DD47" s="7"/>
      <c r="DE47" s="7"/>
      <c r="DF47" s="7"/>
      <c r="DG47" s="10">
        <v>4.1270000000000001E-2</v>
      </c>
      <c r="DH47" s="7">
        <v>0</v>
      </c>
      <c r="DI47" s="7">
        <v>0.25</v>
      </c>
      <c r="DJ47" s="7">
        <v>0.75</v>
      </c>
      <c r="DK47" s="7">
        <v>0</v>
      </c>
      <c r="DL47" s="10">
        <v>3.696667E-2</v>
      </c>
      <c r="DM47" s="49">
        <v>0.96303329999999998</v>
      </c>
      <c r="DN47" s="10">
        <v>1.474312E-2</v>
      </c>
      <c r="DO47" s="10">
        <v>4.7382479999999998E-2</v>
      </c>
      <c r="DP47" s="59">
        <v>0.9378744</v>
      </c>
      <c r="DQ47" s="38">
        <f>AVERAGE(DQ44:DQ46)</f>
        <v>0.94658409999999993</v>
      </c>
      <c r="DR47" s="7"/>
      <c r="DS47" s="7"/>
      <c r="DT47" s="7"/>
      <c r="DU47" s="10">
        <v>5.2650000000000002E-2</v>
      </c>
      <c r="DV47" s="7">
        <v>0.75</v>
      </c>
      <c r="DW47" s="7">
        <v>0.25</v>
      </c>
      <c r="DX47" s="7">
        <v>0</v>
      </c>
      <c r="DY47" s="28">
        <v>0.96540000000000004</v>
      </c>
      <c r="DZ47" s="10">
        <v>3.4599999999999999E-2</v>
      </c>
      <c r="EA47" s="7">
        <v>0</v>
      </c>
      <c r="EB47" s="10">
        <v>0.8919397</v>
      </c>
      <c r="EC47" s="10">
        <v>9.2098700000000006E-2</v>
      </c>
      <c r="ED47" s="10">
        <v>1.5961650000000001E-2</v>
      </c>
      <c r="EE47" s="14">
        <f>AVERAGE(EE44:EE46)</f>
        <v>0.9019001333333333</v>
      </c>
      <c r="EF47" s="7"/>
      <c r="EG47" s="7"/>
      <c r="EH47" s="7"/>
      <c r="EI47" s="14" t="s">
        <v>24</v>
      </c>
      <c r="EJ47" s="7"/>
      <c r="EK47" s="7"/>
      <c r="EL47" s="7"/>
      <c r="EM47" s="7" t="s">
        <v>24</v>
      </c>
      <c r="EN47" s="7" t="s">
        <v>24</v>
      </c>
      <c r="EO47" s="7" t="s">
        <v>24</v>
      </c>
      <c r="EP47" s="7" t="s">
        <v>24</v>
      </c>
      <c r="EQ47" s="7" t="s">
        <v>24</v>
      </c>
      <c r="ER47" s="7" t="s">
        <v>24</v>
      </c>
      <c r="ES47" s="7" t="s">
        <v>24</v>
      </c>
      <c r="ET47" s="7" t="s">
        <v>24</v>
      </c>
      <c r="EU47" s="7" t="s">
        <v>24</v>
      </c>
      <c r="EV47" s="7" t="s">
        <v>24</v>
      </c>
      <c r="EW47" s="14" t="s">
        <v>24</v>
      </c>
      <c r="EX47" s="7"/>
      <c r="EY47" s="7"/>
      <c r="EZ47" s="7"/>
      <c r="FA47" s="7" t="s">
        <v>24</v>
      </c>
      <c r="FB47" s="7" t="s">
        <v>24</v>
      </c>
      <c r="FC47" s="7" t="s">
        <v>24</v>
      </c>
      <c r="FD47" s="7" t="s">
        <v>24</v>
      </c>
      <c r="FE47" s="7" t="s">
        <v>24</v>
      </c>
      <c r="FF47" s="7" t="s">
        <v>24</v>
      </c>
      <c r="FG47" s="7" t="s">
        <v>24</v>
      </c>
      <c r="FH47" s="7" t="s">
        <v>24</v>
      </c>
      <c r="FI47" s="7" t="s">
        <v>24</v>
      </c>
      <c r="FJ47" s="7" t="s">
        <v>24</v>
      </c>
    </row>
    <row r="48" spans="1:167" x14ac:dyDescent="0.2">
      <c r="C48" s="6">
        <v>2</v>
      </c>
      <c r="D48" t="s">
        <v>43</v>
      </c>
      <c r="G48" s="45">
        <v>0.91790000000000005</v>
      </c>
      <c r="H48" s="10">
        <v>0.92602039999999997</v>
      </c>
      <c r="I48" s="10">
        <v>0.91666669999999995</v>
      </c>
      <c r="J48" s="10">
        <v>0.92131980000000002</v>
      </c>
      <c r="K48" s="45">
        <v>0.89681370000000005</v>
      </c>
      <c r="L48" s="10">
        <v>0.9248826</v>
      </c>
      <c r="M48" s="10">
        <v>0.99494950000000004</v>
      </c>
      <c r="N48" s="10">
        <v>0.95863750000000003</v>
      </c>
      <c r="O48" s="7" t="s">
        <v>24</v>
      </c>
      <c r="P48" s="10">
        <v>0</v>
      </c>
      <c r="Q48" s="10">
        <v>0.5</v>
      </c>
      <c r="R48" s="10">
        <v>0.5</v>
      </c>
      <c r="S48" s="10">
        <v>0</v>
      </c>
      <c r="T48" s="10">
        <v>0.16189999999999999</v>
      </c>
      <c r="U48" s="10">
        <v>0.83809999999999996</v>
      </c>
      <c r="V48" s="7" t="s">
        <v>24</v>
      </c>
      <c r="W48" s="7" t="s">
        <v>24</v>
      </c>
      <c r="X48" s="7" t="s">
        <v>24</v>
      </c>
      <c r="Y48" s="45">
        <v>0.89680000000000004</v>
      </c>
      <c r="Z48" s="10">
        <v>0.96866099999999999</v>
      </c>
      <c r="AA48" s="10">
        <v>0.85858590000000001</v>
      </c>
      <c r="AB48" s="10">
        <v>0.91030789999999995</v>
      </c>
      <c r="AC48" s="7" t="s">
        <v>24</v>
      </c>
      <c r="AD48" s="10">
        <v>0</v>
      </c>
      <c r="AE48" s="10">
        <v>0.5</v>
      </c>
      <c r="AF48" s="10">
        <v>0.5</v>
      </c>
      <c r="AG48" s="7">
        <v>0</v>
      </c>
      <c r="AH48" s="10">
        <v>0.1580667</v>
      </c>
      <c r="AI48" s="10">
        <v>0.8419333</v>
      </c>
      <c r="AJ48" s="7" t="s">
        <v>24</v>
      </c>
      <c r="AK48" s="7" t="s">
        <v>24</v>
      </c>
      <c r="AL48" s="7" t="s">
        <v>24</v>
      </c>
      <c r="AM48" s="45">
        <v>0.92700000000000005</v>
      </c>
      <c r="AN48" s="10">
        <v>0.95064939999999998</v>
      </c>
      <c r="AO48" s="10">
        <v>0.92424240000000002</v>
      </c>
      <c r="AP48" s="10">
        <v>0.93725990000000003</v>
      </c>
      <c r="AQ48" s="10">
        <v>0.88680000000000003</v>
      </c>
      <c r="AR48" s="10">
        <v>0.90909090000000004</v>
      </c>
      <c r="AS48" s="10">
        <v>0.93434340000000005</v>
      </c>
      <c r="AT48" s="10">
        <v>0.92154420000000004</v>
      </c>
      <c r="AU48" s="7" t="s">
        <v>24</v>
      </c>
      <c r="AV48" s="7">
        <v>0</v>
      </c>
      <c r="AW48" s="7">
        <v>0.5</v>
      </c>
      <c r="AX48" s="7">
        <v>0.5</v>
      </c>
      <c r="AY48" s="7">
        <v>0</v>
      </c>
      <c r="AZ48" s="10">
        <v>0.15840000000000001</v>
      </c>
      <c r="BA48" s="10">
        <v>0.84160000000000001</v>
      </c>
      <c r="BB48" s="7" t="s">
        <v>24</v>
      </c>
      <c r="BC48" s="7" t="s">
        <v>24</v>
      </c>
      <c r="BD48" s="7" t="s">
        <v>24</v>
      </c>
      <c r="BE48" s="10">
        <v>0.877</v>
      </c>
      <c r="BF48" s="10">
        <v>0.95518210000000003</v>
      </c>
      <c r="BG48" s="10">
        <v>0.86111110000000002</v>
      </c>
      <c r="BH48" s="10">
        <v>0.90571049999999997</v>
      </c>
      <c r="BI48" s="7" t="s">
        <v>24</v>
      </c>
      <c r="BJ48" s="7">
        <v>0</v>
      </c>
      <c r="BK48" s="7">
        <v>0.5</v>
      </c>
      <c r="BL48" s="7">
        <v>0.5</v>
      </c>
      <c r="BM48" s="7">
        <v>0</v>
      </c>
      <c r="BN48" s="10">
        <v>0.15783330000000001</v>
      </c>
      <c r="BO48" s="10">
        <v>0.84216670000000005</v>
      </c>
      <c r="BP48" s="7" t="s">
        <v>24</v>
      </c>
      <c r="BQ48" s="7" t="s">
        <v>24</v>
      </c>
      <c r="BR48" s="7" t="s">
        <v>24</v>
      </c>
      <c r="BS48" s="45">
        <v>0.60980000000000001</v>
      </c>
      <c r="BT48" s="10">
        <v>0.46879759999999998</v>
      </c>
      <c r="BU48" s="10">
        <v>0.77777777999999997</v>
      </c>
      <c r="BV48" s="10">
        <v>0.58499525200000002</v>
      </c>
      <c r="BW48" s="45">
        <v>0.19359999999999999</v>
      </c>
      <c r="BX48" s="7" t="s">
        <v>24</v>
      </c>
      <c r="BY48" s="7" t="s">
        <v>66</v>
      </c>
      <c r="BZ48" s="7" t="s">
        <v>24</v>
      </c>
      <c r="CA48" s="7" t="s">
        <v>24</v>
      </c>
      <c r="CB48" s="7">
        <v>0</v>
      </c>
      <c r="CC48" s="7">
        <v>0.5</v>
      </c>
      <c r="CD48" s="7">
        <v>0.5</v>
      </c>
      <c r="CE48" s="7">
        <v>0</v>
      </c>
      <c r="CF48" s="10">
        <v>0.1598667</v>
      </c>
      <c r="CG48" s="10">
        <v>0.84013329999999997</v>
      </c>
      <c r="CH48" s="7" t="s">
        <v>24</v>
      </c>
      <c r="CI48" s="7" t="s">
        <v>24</v>
      </c>
      <c r="CJ48" s="7" t="s">
        <v>24</v>
      </c>
      <c r="CK48" s="10">
        <v>0.51270000000000004</v>
      </c>
      <c r="CL48" s="7" t="s">
        <v>24</v>
      </c>
      <c r="CM48" s="7">
        <v>0</v>
      </c>
      <c r="CN48" s="7" t="s">
        <v>24</v>
      </c>
      <c r="CO48" s="7" t="s">
        <v>24</v>
      </c>
      <c r="CP48" s="7">
        <v>0</v>
      </c>
      <c r="CQ48" s="7">
        <v>0.5</v>
      </c>
      <c r="CR48" s="7">
        <v>0.5</v>
      </c>
      <c r="CS48" s="7">
        <v>0</v>
      </c>
      <c r="CT48" s="10">
        <v>0.1643</v>
      </c>
      <c r="CU48" s="10">
        <v>0.8357</v>
      </c>
      <c r="CV48" s="7" t="s">
        <v>24</v>
      </c>
      <c r="CW48" s="7" t="s">
        <v>24</v>
      </c>
      <c r="CX48" s="7" t="s">
        <v>24</v>
      </c>
      <c r="CY48" s="45">
        <v>0.92009799999999997</v>
      </c>
      <c r="CZ48" s="10">
        <v>0.9262087</v>
      </c>
      <c r="DA48" s="10">
        <v>0.91919189999999995</v>
      </c>
      <c r="DB48" s="10">
        <v>0.92268689999999998</v>
      </c>
      <c r="DC48" s="56">
        <v>0.92279999999999995</v>
      </c>
      <c r="DD48" s="10">
        <v>0.92857140000000005</v>
      </c>
      <c r="DE48" s="10">
        <v>0.91919189999999995</v>
      </c>
      <c r="DF48" s="10">
        <v>0.92385790000000001</v>
      </c>
      <c r="DG48" s="7" t="s">
        <v>24</v>
      </c>
      <c r="DH48" s="10">
        <v>0</v>
      </c>
      <c r="DI48" s="50">
        <v>1</v>
      </c>
      <c r="DJ48" s="10">
        <v>0</v>
      </c>
      <c r="DK48" s="10">
        <v>0</v>
      </c>
      <c r="DL48" s="50">
        <v>1</v>
      </c>
      <c r="DM48" s="10">
        <v>0</v>
      </c>
      <c r="DN48" s="7" t="s">
        <v>24</v>
      </c>
      <c r="DO48" s="7" t="s">
        <v>24</v>
      </c>
      <c r="DP48" s="7" t="s">
        <v>24</v>
      </c>
      <c r="DQ48" s="45">
        <v>0.87970000000000004</v>
      </c>
      <c r="DR48" s="10">
        <v>0.9262087</v>
      </c>
      <c r="DS48" s="10">
        <v>0.91919189999999995</v>
      </c>
      <c r="DT48" s="10">
        <v>0.92268689999999998</v>
      </c>
      <c r="DU48" s="7" t="s">
        <v>24</v>
      </c>
      <c r="DV48" s="7">
        <v>0</v>
      </c>
      <c r="DW48" s="7">
        <v>0.5</v>
      </c>
      <c r="DX48" s="7">
        <v>0.5</v>
      </c>
      <c r="DY48" s="7">
        <v>0</v>
      </c>
      <c r="DZ48" s="10">
        <v>0.1594333</v>
      </c>
      <c r="EA48" s="10">
        <v>0.8405667</v>
      </c>
      <c r="EB48" s="7" t="s">
        <v>24</v>
      </c>
      <c r="EC48" s="7" t="s">
        <v>24</v>
      </c>
      <c r="ED48" s="7" t="s">
        <v>24</v>
      </c>
      <c r="EE48" s="45">
        <v>0.89439999999999997</v>
      </c>
      <c r="EF48" s="10">
        <v>0.85294119999999995</v>
      </c>
      <c r="EG48" s="10">
        <v>0.80555560000000004</v>
      </c>
      <c r="EH48" s="10">
        <v>0.82857139999999996</v>
      </c>
      <c r="EI48" s="14" t="s">
        <v>24</v>
      </c>
      <c r="EJ48" s="7" t="s">
        <v>24</v>
      </c>
      <c r="EK48" s="7" t="s">
        <v>24</v>
      </c>
      <c r="EL48" s="7" t="s">
        <v>24</v>
      </c>
      <c r="EM48" s="7" t="s">
        <v>24</v>
      </c>
      <c r="EN48" s="7" t="s">
        <v>24</v>
      </c>
      <c r="EO48" s="7" t="s">
        <v>24</v>
      </c>
      <c r="EP48" s="7" t="s">
        <v>24</v>
      </c>
      <c r="EQ48" s="7" t="s">
        <v>24</v>
      </c>
      <c r="ER48" s="7" t="s">
        <v>24</v>
      </c>
      <c r="ES48" s="7" t="s">
        <v>24</v>
      </c>
      <c r="ET48" s="7" t="s">
        <v>24</v>
      </c>
      <c r="EU48" s="7" t="s">
        <v>24</v>
      </c>
      <c r="EV48" s="7" t="s">
        <v>24</v>
      </c>
      <c r="EW48" s="14" t="s">
        <v>24</v>
      </c>
      <c r="EX48" s="7" t="s">
        <v>24</v>
      </c>
      <c r="EY48" s="7" t="s">
        <v>24</v>
      </c>
      <c r="EZ48" s="7" t="s">
        <v>24</v>
      </c>
      <c r="FA48" s="7" t="s">
        <v>24</v>
      </c>
      <c r="FB48" s="7" t="s">
        <v>24</v>
      </c>
      <c r="FC48" s="7" t="s">
        <v>24</v>
      </c>
      <c r="FD48" s="7" t="s">
        <v>24</v>
      </c>
      <c r="FE48" s="7" t="s">
        <v>24</v>
      </c>
      <c r="FF48" s="7" t="s">
        <v>24</v>
      </c>
      <c r="FG48" s="7" t="s">
        <v>24</v>
      </c>
      <c r="FH48" s="7" t="s">
        <v>24</v>
      </c>
      <c r="FI48" s="7" t="s">
        <v>24</v>
      </c>
      <c r="FJ48" s="7" t="s">
        <v>24</v>
      </c>
    </row>
    <row r="49" spans="3:166" x14ac:dyDescent="0.2">
      <c r="C49" s="6"/>
      <c r="G49" s="14"/>
      <c r="H49" s="7"/>
      <c r="I49" s="7"/>
      <c r="J49" s="7"/>
      <c r="K49" s="1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4"/>
      <c r="AN49" s="7"/>
      <c r="AO49" s="7"/>
      <c r="AP49" s="1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14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14"/>
      <c r="BT49" s="7"/>
      <c r="BU49" s="7"/>
      <c r="BV49" s="7"/>
      <c r="BW49" s="14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14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14"/>
      <c r="CZ49" s="7"/>
      <c r="DA49" s="7"/>
      <c r="DB49" s="7"/>
      <c r="DC49" s="14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14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14"/>
      <c r="EF49" s="7"/>
      <c r="EG49" s="7"/>
      <c r="EH49" s="7"/>
      <c r="EI49" s="14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14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</row>
    <row r="50" spans="3:166" x14ac:dyDescent="0.2">
      <c r="C50" s="6">
        <v>3</v>
      </c>
      <c r="D50" t="s">
        <v>40</v>
      </c>
      <c r="G50" s="45">
        <v>0.92508659999999998</v>
      </c>
      <c r="H50" s="7"/>
      <c r="I50" s="7"/>
      <c r="J50" s="7"/>
      <c r="K50" s="45">
        <v>0.93617019999999995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45">
        <v>0.9096168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45">
        <v>0.92385150000000005</v>
      </c>
      <c r="AN50" s="7"/>
      <c r="AO50" s="7"/>
      <c r="AP50" s="17"/>
      <c r="AQ50" s="10">
        <v>0.95240760000000002</v>
      </c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10">
        <v>0.92257599999999995</v>
      </c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45">
        <v>0.56733789999999995</v>
      </c>
      <c r="BT50" s="7"/>
      <c r="BU50" s="7"/>
      <c r="BV50" s="7"/>
      <c r="BW50" s="45">
        <v>0.81410970000000005</v>
      </c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10">
        <v>0.85755599999999998</v>
      </c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45">
        <v>0.92039020000000005</v>
      </c>
      <c r="CZ50" s="7"/>
      <c r="DA50" s="7"/>
      <c r="DB50" s="7"/>
      <c r="DC50" s="45">
        <v>0.94565829999999995</v>
      </c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45">
        <v>0.92190890000000003</v>
      </c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45">
        <v>0.89679039999999999</v>
      </c>
      <c r="EF50" s="7"/>
      <c r="EG50" s="7"/>
      <c r="EH50" s="7"/>
      <c r="EI50" s="14" t="s">
        <v>24</v>
      </c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14" t="s">
        <v>24</v>
      </c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</row>
    <row r="51" spans="3:166" x14ac:dyDescent="0.2">
      <c r="C51" s="6">
        <v>3</v>
      </c>
      <c r="D51" t="s">
        <v>41</v>
      </c>
      <c r="G51" s="45">
        <v>0.93073050000000002</v>
      </c>
      <c r="H51" s="7"/>
      <c r="I51" s="7"/>
      <c r="J51" s="7"/>
      <c r="K51" s="45">
        <v>0.9467489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45">
        <v>0.91540129999999997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45">
        <v>0.93198990000000004</v>
      </c>
      <c r="AN51" s="7"/>
      <c r="AO51" s="7"/>
      <c r="AP51" s="17"/>
      <c r="AQ51" s="10">
        <v>0.94840159999999996</v>
      </c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10">
        <v>0.91033980000000003</v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45">
        <v>0.5332074</v>
      </c>
      <c r="BT51" s="7"/>
      <c r="BU51" s="7"/>
      <c r="BV51" s="7"/>
      <c r="BW51" s="45">
        <v>0.82679369999999996</v>
      </c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10">
        <v>0.87916059999999996</v>
      </c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45">
        <v>0.93639799999999995</v>
      </c>
      <c r="CZ51" s="7"/>
      <c r="DA51" s="7"/>
      <c r="DB51" s="7"/>
      <c r="DC51" s="45">
        <v>0.94397759999999997</v>
      </c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45">
        <v>0.90166310000000005</v>
      </c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45">
        <v>0.90179410000000004</v>
      </c>
      <c r="EF51" s="7"/>
      <c r="EG51" s="7"/>
      <c r="EH51" s="7"/>
      <c r="EI51" s="14" t="s">
        <v>24</v>
      </c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14" t="s">
        <v>24</v>
      </c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</row>
    <row r="52" spans="3:166" x14ac:dyDescent="0.2">
      <c r="C52" s="6">
        <v>3</v>
      </c>
      <c r="D52" t="s">
        <v>42</v>
      </c>
      <c r="G52" s="45">
        <v>0.92385150000000005</v>
      </c>
      <c r="H52" s="7"/>
      <c r="I52" s="7"/>
      <c r="J52" s="7"/>
      <c r="K52" s="45">
        <v>0.93389359999999999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45">
        <v>0.9146782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45">
        <v>0.93201129999999999</v>
      </c>
      <c r="AN52" s="7"/>
      <c r="AO52" s="7"/>
      <c r="AP52" s="17"/>
      <c r="AQ52" s="10">
        <v>0.94120939999999997</v>
      </c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10">
        <v>0.92052020000000001</v>
      </c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45">
        <v>0.70560449999999997</v>
      </c>
      <c r="BT52" s="7"/>
      <c r="BU52" s="7"/>
      <c r="BV52" s="7"/>
      <c r="BW52" s="45">
        <v>0.92661059999999995</v>
      </c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10">
        <v>0.8901734</v>
      </c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45">
        <v>0.92382750000000002</v>
      </c>
      <c r="CZ52" s="7"/>
      <c r="DA52" s="7"/>
      <c r="DB52" s="7"/>
      <c r="DC52" s="45">
        <v>0.94509799999999999</v>
      </c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45">
        <v>0.9262473</v>
      </c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45">
        <v>0.90711589999999998</v>
      </c>
      <c r="EF52" s="7"/>
      <c r="EG52" s="7"/>
      <c r="EH52" s="7"/>
      <c r="EI52" s="14" t="s">
        <v>24</v>
      </c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14" t="s">
        <v>24</v>
      </c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</row>
    <row r="53" spans="3:166" x14ac:dyDescent="0.2">
      <c r="C53" s="6">
        <v>3</v>
      </c>
      <c r="D53" t="s">
        <v>49</v>
      </c>
      <c r="G53" s="14">
        <f>AVERAGE(G50:G52)</f>
        <v>0.92655619999999994</v>
      </c>
      <c r="H53" s="7"/>
      <c r="I53" s="7"/>
      <c r="J53" s="7"/>
      <c r="K53" s="14">
        <f>AVERAGE(K50:K52)</f>
        <v>0.93893756666666661</v>
      </c>
      <c r="L53" s="7"/>
      <c r="M53" s="7"/>
      <c r="N53" s="7"/>
      <c r="O53" s="10">
        <v>0.14630000000000001</v>
      </c>
      <c r="P53" s="10">
        <v>0.5</v>
      </c>
      <c r="Q53" s="10">
        <v>0.5</v>
      </c>
      <c r="R53" s="7">
        <v>0</v>
      </c>
      <c r="S53" s="10">
        <v>0.60550000000000004</v>
      </c>
      <c r="T53" s="10">
        <v>0.39450000000000002</v>
      </c>
      <c r="U53" s="10">
        <v>0</v>
      </c>
      <c r="V53" s="7" t="s">
        <v>24</v>
      </c>
      <c r="W53" s="7" t="s">
        <v>24</v>
      </c>
      <c r="X53" s="7" t="s">
        <v>24</v>
      </c>
      <c r="Y53" s="14">
        <f>AVERAGE(Y50:Y52)</f>
        <v>0.91323209999999999</v>
      </c>
      <c r="Z53" s="7"/>
      <c r="AA53" s="7"/>
      <c r="AB53" s="7"/>
      <c r="AC53" s="10">
        <v>2.342E-2</v>
      </c>
      <c r="AD53" s="10">
        <v>0</v>
      </c>
      <c r="AE53" s="10">
        <v>0.5</v>
      </c>
      <c r="AF53" s="10">
        <v>0.5</v>
      </c>
      <c r="AG53" s="10">
        <v>0</v>
      </c>
      <c r="AH53" s="10">
        <v>0.30186669999999999</v>
      </c>
      <c r="AI53" s="10">
        <v>0.69813329999999996</v>
      </c>
      <c r="AJ53" s="10">
        <v>5.1982950000000003E-3</v>
      </c>
      <c r="AK53" s="10">
        <v>0.14472560000000001</v>
      </c>
      <c r="AL53" s="10">
        <v>0.8500761</v>
      </c>
      <c r="AM53" s="14">
        <f>AVERAGE(AM50:AM52)</f>
        <v>0.92928423333333343</v>
      </c>
      <c r="AN53" s="7"/>
      <c r="AO53" s="7"/>
      <c r="AP53" s="17"/>
      <c r="AQ53" s="14">
        <f>AVERAGE(AQ50:AQ52)</f>
        <v>0.94733953333333332</v>
      </c>
      <c r="AR53" s="7"/>
      <c r="AS53" s="7"/>
      <c r="AT53" s="7"/>
      <c r="AU53" s="10">
        <v>8.5500000000000007E-2</v>
      </c>
      <c r="AV53" s="7">
        <v>0.5</v>
      </c>
      <c r="AW53" s="7">
        <v>0.5</v>
      </c>
      <c r="AX53" s="7">
        <v>0</v>
      </c>
      <c r="AY53" s="10">
        <v>0.78469999999999995</v>
      </c>
      <c r="AZ53" s="10">
        <v>0.21529999999999999</v>
      </c>
      <c r="BA53" s="7">
        <v>0</v>
      </c>
      <c r="BB53" s="10">
        <v>0.82889619999999997</v>
      </c>
      <c r="BC53" s="10">
        <v>0.14609220000000001</v>
      </c>
      <c r="BD53" s="10">
        <v>2.5011579999999999E-2</v>
      </c>
      <c r="BE53" s="14">
        <f>AVERAGE(BE50:BE52)</f>
        <v>0.91781199999999996</v>
      </c>
      <c r="BF53" s="7"/>
      <c r="BG53" s="7"/>
      <c r="BH53" s="7"/>
      <c r="BI53" s="10">
        <v>0.19040000000000001</v>
      </c>
      <c r="BJ53" s="7">
        <v>0</v>
      </c>
      <c r="BK53" s="7">
        <v>0.5</v>
      </c>
      <c r="BL53" s="7">
        <v>0.5</v>
      </c>
      <c r="BM53" s="7">
        <v>0</v>
      </c>
      <c r="BN53" s="10">
        <v>0.39400000000000002</v>
      </c>
      <c r="BO53" s="10">
        <v>0.60599999999999998</v>
      </c>
      <c r="BP53" s="10">
        <v>4.3580460000000001E-2</v>
      </c>
      <c r="BQ53" s="10">
        <v>0.38066319999999998</v>
      </c>
      <c r="BR53" s="10">
        <v>0.57575639999999995</v>
      </c>
      <c r="BS53" s="14">
        <f>AVERAGE(BS50:BS52)</f>
        <v>0.60204993333333323</v>
      </c>
      <c r="BT53" s="7"/>
      <c r="BU53" s="7"/>
      <c r="BV53" s="7"/>
      <c r="BW53" s="38">
        <f>AVERAGE(BW50:BW52)</f>
        <v>0.85583799999999999</v>
      </c>
      <c r="BX53" s="7"/>
      <c r="BY53" s="7"/>
      <c r="BZ53" s="7"/>
      <c r="CA53" s="10">
        <v>6.9340000000000001E-3</v>
      </c>
      <c r="CB53" s="7">
        <v>0.75</v>
      </c>
      <c r="CC53" s="7">
        <v>0.25</v>
      </c>
      <c r="CD53" s="7">
        <v>0</v>
      </c>
      <c r="CE53" s="28">
        <v>0.99093330000000002</v>
      </c>
      <c r="CF53" s="10">
        <v>9.0666670000000005E-3</v>
      </c>
      <c r="CG53" s="7">
        <v>0</v>
      </c>
      <c r="CH53" s="28">
        <v>0.99501329999999999</v>
      </c>
      <c r="CI53" s="10">
        <v>7.1821169999999998E-4</v>
      </c>
      <c r="CJ53" s="10">
        <v>4.2684669999999997E-3</v>
      </c>
      <c r="CK53" s="38">
        <f>AVERAGE(CK50:CK52)</f>
        <v>0.87563000000000002</v>
      </c>
      <c r="CL53" s="7"/>
      <c r="CM53" s="7"/>
      <c r="CN53" s="7"/>
      <c r="CO53" s="10">
        <v>3.1829999999999997E-2</v>
      </c>
      <c r="CP53" s="7">
        <v>0.75</v>
      </c>
      <c r="CQ53" s="7">
        <v>0.25</v>
      </c>
      <c r="CR53" s="7">
        <v>0</v>
      </c>
      <c r="CS53" s="28">
        <v>0.99033329999999997</v>
      </c>
      <c r="CT53" s="10">
        <v>9.6666670000000003E-3</v>
      </c>
      <c r="CU53" s="7">
        <v>0</v>
      </c>
      <c r="CV53" s="28">
        <v>0.97759790000000002</v>
      </c>
      <c r="CW53" s="10">
        <v>2.8723619999999998E-3</v>
      </c>
      <c r="CX53" s="10">
        <v>1.9529769999999998E-2</v>
      </c>
      <c r="CY53" s="14">
        <f>AVERAGE(CY50:CY52)</f>
        <v>0.92687190000000008</v>
      </c>
      <c r="CZ53" s="7"/>
      <c r="DA53" s="7"/>
      <c r="DB53" s="7"/>
      <c r="DC53" s="35">
        <f>AVERAGE(DC50:DC52)</f>
        <v>0.9449112999999999</v>
      </c>
      <c r="DD53" s="7"/>
      <c r="DE53" s="7"/>
      <c r="DF53" s="7"/>
      <c r="DG53" s="10">
        <v>4.1270000000000001E-2</v>
      </c>
      <c r="DH53" s="7">
        <v>0</v>
      </c>
      <c r="DI53" s="7">
        <v>0.25</v>
      </c>
      <c r="DJ53" s="7">
        <v>0.75</v>
      </c>
      <c r="DK53" s="7">
        <v>0</v>
      </c>
      <c r="DL53" s="10">
        <v>3.7699999999999997E-2</v>
      </c>
      <c r="DM53" s="49">
        <v>0.96230000000000004</v>
      </c>
      <c r="DN53" s="10">
        <v>1.474312E-2</v>
      </c>
      <c r="DO53" s="10">
        <v>4.7382479999999998E-2</v>
      </c>
      <c r="DP53" s="59">
        <v>0.9378744</v>
      </c>
      <c r="DQ53" s="38">
        <f>AVERAGE(DQ50:DQ52)</f>
        <v>0.91660643333333336</v>
      </c>
      <c r="DR53" s="7"/>
      <c r="DS53" s="7"/>
      <c r="DT53" s="7"/>
      <c r="DU53" s="10">
        <v>5.2650000000000002E-2</v>
      </c>
      <c r="DV53" s="7">
        <v>0.75</v>
      </c>
      <c r="DW53" s="7">
        <v>0.25</v>
      </c>
      <c r="DX53" s="7">
        <v>0</v>
      </c>
      <c r="DY53" s="28">
        <v>0.96266669999999999</v>
      </c>
      <c r="DZ53" s="10">
        <v>3.7333329999999998E-2</v>
      </c>
      <c r="EA53" s="7">
        <v>0</v>
      </c>
      <c r="EB53" s="10">
        <v>0.8919397</v>
      </c>
      <c r="EC53" s="10">
        <v>9.2098700000000006E-2</v>
      </c>
      <c r="ED53" s="10">
        <v>1.5961650000000001E-2</v>
      </c>
      <c r="EE53" s="14">
        <f>AVERAGE(EE50:EE52)</f>
        <v>0.9019001333333333</v>
      </c>
      <c r="EF53" s="7"/>
      <c r="EG53" s="7"/>
      <c r="EH53" s="7"/>
      <c r="EI53" s="14" t="s">
        <v>24</v>
      </c>
      <c r="EJ53" s="7"/>
      <c r="EK53" s="7"/>
      <c r="EL53" s="7"/>
      <c r="EM53" s="7" t="s">
        <v>24</v>
      </c>
      <c r="EN53" s="7" t="s">
        <v>24</v>
      </c>
      <c r="EO53" s="7" t="s">
        <v>24</v>
      </c>
      <c r="EP53" s="7" t="s">
        <v>24</v>
      </c>
      <c r="EQ53" s="7" t="s">
        <v>24</v>
      </c>
      <c r="ER53" s="7" t="s">
        <v>24</v>
      </c>
      <c r="ES53" s="7" t="s">
        <v>24</v>
      </c>
      <c r="ET53" s="7" t="s">
        <v>24</v>
      </c>
      <c r="EU53" s="7" t="s">
        <v>24</v>
      </c>
      <c r="EV53" s="7" t="s">
        <v>24</v>
      </c>
      <c r="EW53" s="14" t="s">
        <v>24</v>
      </c>
      <c r="EX53" s="7"/>
      <c r="EY53" s="7"/>
      <c r="EZ53" s="7"/>
      <c r="FA53" s="7" t="s">
        <v>24</v>
      </c>
      <c r="FB53" s="7" t="s">
        <v>24</v>
      </c>
      <c r="FC53" s="7" t="s">
        <v>24</v>
      </c>
      <c r="FD53" s="7" t="s">
        <v>24</v>
      </c>
      <c r="FE53" s="7" t="s">
        <v>24</v>
      </c>
      <c r="FF53" s="7" t="s">
        <v>24</v>
      </c>
      <c r="FG53" s="7" t="s">
        <v>24</v>
      </c>
      <c r="FH53" s="7" t="s">
        <v>24</v>
      </c>
      <c r="FI53" s="7" t="s">
        <v>24</v>
      </c>
      <c r="FJ53" s="7" t="s">
        <v>24</v>
      </c>
    </row>
    <row r="54" spans="3:166" x14ac:dyDescent="0.2">
      <c r="C54" s="6">
        <v>3</v>
      </c>
      <c r="D54" t="s">
        <v>43</v>
      </c>
      <c r="G54" s="45">
        <v>0.91790000000000005</v>
      </c>
      <c r="H54" s="10">
        <v>0.92602039999999997</v>
      </c>
      <c r="I54" s="10">
        <v>0.91666669999999995</v>
      </c>
      <c r="J54" s="10">
        <v>0.92131980000000002</v>
      </c>
      <c r="K54" s="45">
        <v>0.56030000000000002</v>
      </c>
      <c r="L54" s="10">
        <v>0.67937610000000004</v>
      </c>
      <c r="M54" s="10">
        <v>0.98989898990000003</v>
      </c>
      <c r="N54" s="10">
        <v>0.80575539600000001</v>
      </c>
      <c r="O54" s="7" t="s">
        <v>24</v>
      </c>
      <c r="P54" s="10">
        <v>0</v>
      </c>
      <c r="Q54" s="10">
        <v>0.5</v>
      </c>
      <c r="R54" s="10">
        <v>0.5</v>
      </c>
      <c r="S54" s="10">
        <v>0</v>
      </c>
      <c r="T54" s="10">
        <v>0.1615</v>
      </c>
      <c r="U54" s="10">
        <v>0.83850000000000002</v>
      </c>
      <c r="V54" s="7" t="s">
        <v>24</v>
      </c>
      <c r="W54" s="7" t="s">
        <v>24</v>
      </c>
      <c r="X54" s="7" t="s">
        <v>24</v>
      </c>
      <c r="Y54" s="45">
        <v>0.77839999999999998</v>
      </c>
      <c r="Z54" s="9">
        <v>0.5766</v>
      </c>
      <c r="AA54" s="10">
        <v>0.75</v>
      </c>
      <c r="AB54" s="10">
        <v>0.65200000000000002</v>
      </c>
      <c r="AC54" s="7" t="s">
        <v>24</v>
      </c>
      <c r="AD54" s="10">
        <v>0</v>
      </c>
      <c r="AE54" s="10">
        <v>0.5</v>
      </c>
      <c r="AF54" s="10">
        <v>0.5</v>
      </c>
      <c r="AG54" s="10">
        <v>0</v>
      </c>
      <c r="AH54" s="10">
        <v>0.15803329999999999</v>
      </c>
      <c r="AI54" s="10">
        <v>0.84196669999999996</v>
      </c>
      <c r="AJ54" s="7" t="s">
        <v>24</v>
      </c>
      <c r="AK54" s="7" t="s">
        <v>24</v>
      </c>
      <c r="AL54" s="7" t="s">
        <v>24</v>
      </c>
      <c r="AM54" s="45">
        <v>0.92700000000000005</v>
      </c>
      <c r="AN54" s="10">
        <v>0.95064939999999998</v>
      </c>
      <c r="AO54" s="10">
        <v>0.92424240000000002</v>
      </c>
      <c r="AP54" s="10">
        <v>0.93725990000000003</v>
      </c>
      <c r="AQ54" s="10">
        <v>0.49490000000000001</v>
      </c>
      <c r="AR54" s="10">
        <v>0.58860760000000001</v>
      </c>
      <c r="AS54" s="10">
        <v>0.93939393940000004</v>
      </c>
      <c r="AT54" s="10">
        <v>0.723735409</v>
      </c>
      <c r="AU54" s="7" t="s">
        <v>24</v>
      </c>
      <c r="AV54" s="7">
        <v>0</v>
      </c>
      <c r="AW54" s="7">
        <v>0.5</v>
      </c>
      <c r="AX54" s="7">
        <v>0.5</v>
      </c>
      <c r="AY54" s="7">
        <v>0</v>
      </c>
      <c r="AZ54" s="10">
        <v>0.16070000000000001</v>
      </c>
      <c r="BA54" s="10">
        <v>0.83930000000000005</v>
      </c>
      <c r="BB54" s="7" t="s">
        <v>24</v>
      </c>
      <c r="BC54" s="7" t="s">
        <v>24</v>
      </c>
      <c r="BD54" s="7" t="s">
        <v>24</v>
      </c>
      <c r="BE54" s="10">
        <v>0.64529999999999998</v>
      </c>
      <c r="BF54" s="10">
        <v>0.94444439999999996</v>
      </c>
      <c r="BG54" s="10">
        <v>8.5858589999999999E-2</v>
      </c>
      <c r="BH54" s="10">
        <v>0.1574074</v>
      </c>
      <c r="BI54" s="7" t="s">
        <v>24</v>
      </c>
      <c r="BJ54" s="7">
        <v>0</v>
      </c>
      <c r="BK54" s="7">
        <v>0.5</v>
      </c>
      <c r="BL54" s="7">
        <v>0.5</v>
      </c>
      <c r="BM54" s="7">
        <v>0</v>
      </c>
      <c r="BN54" s="10">
        <v>0.16009999999999999</v>
      </c>
      <c r="BO54" s="10">
        <v>0.83989999999999998</v>
      </c>
      <c r="BP54" s="7" t="s">
        <v>24</v>
      </c>
      <c r="BQ54" s="7" t="s">
        <v>24</v>
      </c>
      <c r="BR54" s="7" t="s">
        <v>24</v>
      </c>
      <c r="BS54" s="45">
        <v>0.60980000000000001</v>
      </c>
      <c r="BT54" s="10">
        <v>0.46879759999999998</v>
      </c>
      <c r="BU54" s="10">
        <v>0.77777777999999997</v>
      </c>
      <c r="BV54" s="10">
        <v>0.58499525200000002</v>
      </c>
      <c r="BW54" s="45">
        <v>0.26669999999999999</v>
      </c>
      <c r="BX54" s="10">
        <v>0.40102828000000001</v>
      </c>
      <c r="BY54" s="10">
        <v>0.78787879999999999</v>
      </c>
      <c r="BZ54" s="10">
        <v>0.53151619999999999</v>
      </c>
      <c r="CA54" s="7" t="s">
        <v>24</v>
      </c>
      <c r="CB54" s="7">
        <v>0</v>
      </c>
      <c r="CC54" s="7">
        <v>0.5</v>
      </c>
      <c r="CD54" s="7">
        <v>0.5</v>
      </c>
      <c r="CE54" s="7">
        <v>0</v>
      </c>
      <c r="CF54" s="10">
        <v>0.15696669999999999</v>
      </c>
      <c r="CG54" s="10">
        <v>0.84303329999999999</v>
      </c>
      <c r="CH54" s="7" t="s">
        <v>24</v>
      </c>
      <c r="CI54" s="7" t="s">
        <v>24</v>
      </c>
      <c r="CJ54" s="7" t="s">
        <v>24</v>
      </c>
      <c r="CK54" s="10">
        <v>0.51790000000000003</v>
      </c>
      <c r="CL54" s="7" t="s">
        <v>24</v>
      </c>
      <c r="CM54" s="7">
        <v>0</v>
      </c>
      <c r="CN54" s="7" t="s">
        <v>24</v>
      </c>
      <c r="CO54" s="7" t="s">
        <v>24</v>
      </c>
      <c r="CP54" s="7">
        <v>0</v>
      </c>
      <c r="CQ54" s="7">
        <v>0.5</v>
      </c>
      <c r="CR54" s="7">
        <v>0.5</v>
      </c>
      <c r="CS54" s="7">
        <v>0</v>
      </c>
      <c r="CT54" s="10">
        <v>0.15866669999999999</v>
      </c>
      <c r="CU54" s="10">
        <v>0.84133329999999995</v>
      </c>
      <c r="CV54" s="7" t="s">
        <v>24</v>
      </c>
      <c r="CW54" s="7" t="s">
        <v>24</v>
      </c>
      <c r="CX54" s="7" t="s">
        <v>24</v>
      </c>
      <c r="CY54" s="45">
        <v>0.92009799999999997</v>
      </c>
      <c r="CZ54" s="10">
        <v>0.9262087</v>
      </c>
      <c r="DA54" s="10">
        <v>0.91919189999999995</v>
      </c>
      <c r="DB54" s="10">
        <v>0.92268689999999998</v>
      </c>
      <c r="DC54" s="45">
        <v>0.66839999999999999</v>
      </c>
      <c r="DD54" s="10">
        <v>0.88834950000000001</v>
      </c>
      <c r="DE54" s="10">
        <v>0.92424242000000001</v>
      </c>
      <c r="DF54" s="10">
        <v>0.90594059999999998</v>
      </c>
      <c r="DG54" s="65" t="s">
        <v>24</v>
      </c>
      <c r="DH54" s="7">
        <v>0</v>
      </c>
      <c r="DI54" s="7">
        <v>0.5</v>
      </c>
      <c r="DJ54" s="7">
        <v>0.5</v>
      </c>
      <c r="DK54" s="7">
        <v>0</v>
      </c>
      <c r="DL54" s="10">
        <v>0.1568667</v>
      </c>
      <c r="DM54" s="10">
        <v>0.84313329999999997</v>
      </c>
      <c r="DN54" s="7" t="s">
        <v>24</v>
      </c>
      <c r="DO54" s="7" t="s">
        <v>24</v>
      </c>
      <c r="DP54" s="7" t="s">
        <v>24</v>
      </c>
      <c r="DQ54" s="45">
        <v>0.8206</v>
      </c>
      <c r="DR54" s="10">
        <v>0.57784429999999998</v>
      </c>
      <c r="DS54" s="10">
        <v>0.97474749999999999</v>
      </c>
      <c r="DT54" s="10">
        <v>0.72556390000000004</v>
      </c>
      <c r="DU54" s="7" t="s">
        <v>24</v>
      </c>
      <c r="DV54" s="7">
        <v>0</v>
      </c>
      <c r="DW54" s="7">
        <v>0.5</v>
      </c>
      <c r="DX54" s="7">
        <v>0.5</v>
      </c>
      <c r="DY54" s="7">
        <v>0</v>
      </c>
      <c r="DZ54" s="10">
        <v>0.16006670000000001</v>
      </c>
      <c r="EA54" s="10">
        <v>0.83993329999999999</v>
      </c>
      <c r="EB54" s="7" t="s">
        <v>24</v>
      </c>
      <c r="EC54" s="7" t="s">
        <v>24</v>
      </c>
      <c r="ED54" s="7" t="s">
        <v>24</v>
      </c>
      <c r="EE54" s="45">
        <v>0.89439999999999997</v>
      </c>
      <c r="EF54" s="10">
        <v>0.85294119999999995</v>
      </c>
      <c r="EG54" s="10">
        <v>0.80555560000000004</v>
      </c>
      <c r="EH54" s="10">
        <v>0.82857139999999996</v>
      </c>
      <c r="EI54" s="14" t="s">
        <v>24</v>
      </c>
      <c r="EJ54" s="7" t="s">
        <v>24</v>
      </c>
      <c r="EK54" s="7" t="s">
        <v>24</v>
      </c>
      <c r="EL54" s="7" t="s">
        <v>24</v>
      </c>
      <c r="EM54" s="7" t="s">
        <v>24</v>
      </c>
      <c r="EN54" s="7" t="s">
        <v>24</v>
      </c>
      <c r="EO54" s="7" t="s">
        <v>24</v>
      </c>
      <c r="EP54" s="7" t="s">
        <v>24</v>
      </c>
      <c r="EQ54" s="7" t="s">
        <v>24</v>
      </c>
      <c r="ER54" s="7" t="s">
        <v>24</v>
      </c>
      <c r="ES54" s="7" t="s">
        <v>24</v>
      </c>
      <c r="ET54" s="7" t="s">
        <v>24</v>
      </c>
      <c r="EU54" s="7" t="s">
        <v>24</v>
      </c>
      <c r="EV54" s="7" t="s">
        <v>24</v>
      </c>
      <c r="EW54" s="14" t="s">
        <v>24</v>
      </c>
      <c r="EX54" s="7" t="s">
        <v>24</v>
      </c>
      <c r="EY54" s="7" t="s">
        <v>24</v>
      </c>
      <c r="EZ54" s="7" t="s">
        <v>24</v>
      </c>
      <c r="FA54" s="7" t="s">
        <v>24</v>
      </c>
      <c r="FB54" s="7" t="s">
        <v>24</v>
      </c>
      <c r="FC54" s="7" t="s">
        <v>24</v>
      </c>
      <c r="FD54" s="7" t="s">
        <v>24</v>
      </c>
      <c r="FE54" s="7" t="s">
        <v>24</v>
      </c>
      <c r="FF54" s="7" t="s">
        <v>24</v>
      </c>
      <c r="FG54" s="7" t="s">
        <v>24</v>
      </c>
      <c r="FH54" s="7" t="s">
        <v>24</v>
      </c>
      <c r="FI54" s="7" t="s">
        <v>24</v>
      </c>
      <c r="FJ54" s="7" t="s">
        <v>24</v>
      </c>
    </row>
    <row r="55" spans="3:166" x14ac:dyDescent="0.2">
      <c r="C55" s="6"/>
      <c r="G55" s="14"/>
      <c r="H55" s="7"/>
      <c r="I55" s="7"/>
      <c r="J55" s="7"/>
      <c r="K55" s="14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14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4"/>
      <c r="AN55" s="7"/>
      <c r="AO55" s="7"/>
      <c r="AP55" s="1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14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14"/>
      <c r="BT55" s="7"/>
      <c r="BU55" s="7"/>
      <c r="BV55" s="7"/>
      <c r="BW55" s="14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14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14"/>
      <c r="CZ55" s="7"/>
      <c r="DA55" s="7"/>
      <c r="DB55" s="7"/>
      <c r="DC55" s="14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14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14"/>
      <c r="EF55" s="7"/>
      <c r="EG55" s="7"/>
      <c r="EH55" s="7"/>
      <c r="EI55" s="14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14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</row>
    <row r="56" spans="3:166" x14ac:dyDescent="0.2">
      <c r="C56" s="6">
        <v>4</v>
      </c>
      <c r="D56" t="s">
        <v>40</v>
      </c>
      <c r="G56" s="45">
        <v>0.92508659999999998</v>
      </c>
      <c r="H56" s="7"/>
      <c r="I56" s="7"/>
      <c r="J56" s="7"/>
      <c r="K56" s="45">
        <v>0.97358489999999998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45">
        <v>0.83284020000000003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45">
        <v>0.92385150000000005</v>
      </c>
      <c r="AN56" s="7"/>
      <c r="AO56" s="7"/>
      <c r="AP56" s="17"/>
      <c r="AQ56" s="10">
        <v>0.98679249999999996</v>
      </c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10">
        <v>0.82962959999999997</v>
      </c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45">
        <v>0.56733789999999995</v>
      </c>
      <c r="BT56" s="7"/>
      <c r="BU56" s="7"/>
      <c r="BV56" s="7"/>
      <c r="BW56" s="45">
        <v>0.84877130000000001</v>
      </c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10">
        <v>0.80592589999999997</v>
      </c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45">
        <v>0.92039020000000005</v>
      </c>
      <c r="CZ56" s="7"/>
      <c r="DA56" s="7"/>
      <c r="DB56" s="7"/>
      <c r="DC56" s="45">
        <v>0.98109639999999998</v>
      </c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45">
        <v>0.82195850000000004</v>
      </c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45">
        <v>0.89679039999999999</v>
      </c>
      <c r="EF56" s="7"/>
      <c r="EG56" s="7"/>
      <c r="EH56" s="7"/>
      <c r="EI56" s="45">
        <v>0.95652170000000003</v>
      </c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45">
        <v>0.96226420000000001</v>
      </c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</row>
    <row r="57" spans="3:166" x14ac:dyDescent="0.2">
      <c r="C57" s="6">
        <v>4</v>
      </c>
      <c r="D57" t="s">
        <v>41</v>
      </c>
      <c r="G57" s="45">
        <v>0.93073050000000002</v>
      </c>
      <c r="H57" s="7"/>
      <c r="I57" s="7"/>
      <c r="J57" s="7"/>
      <c r="K57" s="45">
        <v>0.96981130000000004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45">
        <v>0.81426449999999995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45">
        <v>0.93198990000000004</v>
      </c>
      <c r="AN57" s="7"/>
      <c r="AO57" s="7"/>
      <c r="AP57" s="17"/>
      <c r="AQ57" s="10">
        <v>0.98870060000000004</v>
      </c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10">
        <v>0.83875739999999999</v>
      </c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45">
        <v>0.5332074</v>
      </c>
      <c r="BT57" s="7"/>
      <c r="BU57" s="7"/>
      <c r="BV57" s="7"/>
      <c r="BW57" s="45">
        <v>0.84150939999999996</v>
      </c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10">
        <v>0.75407409999999997</v>
      </c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45">
        <v>0.93639799999999995</v>
      </c>
      <c r="CZ57" s="7"/>
      <c r="DA57" s="7"/>
      <c r="DB57" s="7"/>
      <c r="DC57" s="45">
        <v>0.98116760000000003</v>
      </c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45">
        <v>0.84592590000000001</v>
      </c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45">
        <v>0.90179410000000004</v>
      </c>
      <c r="EF57" s="7"/>
      <c r="EG57" s="7"/>
      <c r="EH57" s="7"/>
      <c r="EI57" s="45">
        <v>0.96037740000000005</v>
      </c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45">
        <v>0.96986819999999996</v>
      </c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</row>
    <row r="58" spans="3:166" x14ac:dyDescent="0.2">
      <c r="C58" s="6">
        <v>1</v>
      </c>
      <c r="D58" t="s">
        <v>42</v>
      </c>
      <c r="G58" s="45">
        <v>0.92385150000000005</v>
      </c>
      <c r="H58" s="7"/>
      <c r="I58" s="7"/>
      <c r="J58" s="7"/>
      <c r="K58" s="45">
        <v>0.96981130000000004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45">
        <v>0.81333330000000004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45">
        <v>0.93201129999999999</v>
      </c>
      <c r="AN58" s="7"/>
      <c r="AO58" s="7"/>
      <c r="AP58" s="17"/>
      <c r="AQ58" s="10">
        <v>0.9678639</v>
      </c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10">
        <v>0.80386329999999995</v>
      </c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45">
        <v>0.70560449999999997</v>
      </c>
      <c r="BT58" s="7"/>
      <c r="BU58" s="7"/>
      <c r="BV58" s="7"/>
      <c r="BW58" s="45">
        <v>0.89453859999999996</v>
      </c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10">
        <v>0.80267060000000001</v>
      </c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45">
        <v>0.92382750000000002</v>
      </c>
      <c r="CZ58" s="7"/>
      <c r="DA58" s="7"/>
      <c r="DB58" s="7"/>
      <c r="DC58" s="45">
        <v>0.98867919999999998</v>
      </c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45">
        <v>0.81185189999999996</v>
      </c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45">
        <v>0.90711589999999998</v>
      </c>
      <c r="EF58" s="7"/>
      <c r="EG58" s="7"/>
      <c r="EH58" s="7"/>
      <c r="EI58" s="45">
        <v>0.95668549999999997</v>
      </c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45">
        <v>0.93761810000000001</v>
      </c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</row>
    <row r="59" spans="3:166" x14ac:dyDescent="0.2">
      <c r="C59" s="6">
        <v>4</v>
      </c>
      <c r="D59" t="s">
        <v>49</v>
      </c>
      <c r="G59" s="14">
        <f>AVERAGE(G56:G58)</f>
        <v>0.92655619999999994</v>
      </c>
      <c r="H59" s="7"/>
      <c r="I59" s="7"/>
      <c r="J59" s="7"/>
      <c r="K59" s="38">
        <f>AVERAGE(K56:K58)</f>
        <v>0.97106916666666665</v>
      </c>
      <c r="L59" s="7"/>
      <c r="M59" s="7"/>
      <c r="N59" s="7"/>
      <c r="O59" s="10">
        <v>4.1100000000000002E-4</v>
      </c>
      <c r="P59" s="7">
        <v>0.75</v>
      </c>
      <c r="Q59" s="7">
        <v>0.25</v>
      </c>
      <c r="R59" s="7">
        <v>0</v>
      </c>
      <c r="S59" s="28">
        <v>0.99060000000000004</v>
      </c>
      <c r="T59" s="10">
        <v>9.4000000000000004E-3</v>
      </c>
      <c r="U59" s="7">
        <v>0</v>
      </c>
      <c r="V59" s="28">
        <v>0.99954460000000001</v>
      </c>
      <c r="W59" s="10">
        <v>2.7272940000000001E-4</v>
      </c>
      <c r="X59" s="10">
        <v>1.827024E-4</v>
      </c>
      <c r="Y59" s="35">
        <f>AVERAGE(Y56:Y58)</f>
        <v>0.82014599999999993</v>
      </c>
      <c r="Z59" s="7"/>
      <c r="AA59" s="7"/>
      <c r="AB59" s="7"/>
      <c r="AC59" s="10">
        <v>5.5079999999999999E-3</v>
      </c>
      <c r="AD59" s="7">
        <v>0</v>
      </c>
      <c r="AE59" s="7">
        <v>0.25</v>
      </c>
      <c r="AF59" s="7">
        <v>0.75</v>
      </c>
      <c r="AG59" s="7">
        <v>0</v>
      </c>
      <c r="AH59" s="10">
        <v>8.7333329999999994E-3</v>
      </c>
      <c r="AI59" s="49">
        <v>0.99126669999999995</v>
      </c>
      <c r="AJ59" s="10">
        <v>3.065215E-3</v>
      </c>
      <c r="AK59" s="10">
        <v>1.3849559999999999E-3</v>
      </c>
      <c r="AL59" s="49">
        <v>0.99554980000000004</v>
      </c>
      <c r="AM59" s="14">
        <f>AVERAGE(AM56:AM58)</f>
        <v>0.92928423333333343</v>
      </c>
      <c r="AN59" s="7"/>
      <c r="AO59" s="7"/>
      <c r="AP59" s="17"/>
      <c r="AQ59" s="38">
        <f>AVERAGE(AQ56:AQ58)</f>
        <v>0.98111899999999996</v>
      </c>
      <c r="AR59" s="7"/>
      <c r="AS59" s="7"/>
      <c r="AT59" s="7"/>
      <c r="AU59" s="10">
        <v>2.4070000000000001E-2</v>
      </c>
      <c r="AV59" s="7">
        <v>0.75</v>
      </c>
      <c r="AW59" s="7">
        <v>0.25</v>
      </c>
      <c r="AX59" s="7">
        <v>0</v>
      </c>
      <c r="AY59" s="28">
        <v>0.99163330000000005</v>
      </c>
      <c r="AZ59" s="10">
        <v>8.3666669999999995E-3</v>
      </c>
      <c r="BA59" s="7">
        <v>0</v>
      </c>
      <c r="BB59" s="28">
        <v>0.97624940000000004</v>
      </c>
      <c r="BC59" s="10">
        <v>1.2447649999999999E-2</v>
      </c>
      <c r="BD59" s="10">
        <v>1.1302950000000001E-2</v>
      </c>
      <c r="BE59" s="35">
        <f>AVERAGE(BE56:BE58)</f>
        <v>0.82408343333333323</v>
      </c>
      <c r="BF59" s="7"/>
      <c r="BG59" s="7"/>
      <c r="BH59" s="7"/>
      <c r="BI59" s="10">
        <v>1.167E-2</v>
      </c>
      <c r="BJ59" s="7">
        <v>0</v>
      </c>
      <c r="BK59" s="7">
        <v>0.25</v>
      </c>
      <c r="BL59" s="7">
        <v>0.75</v>
      </c>
      <c r="BM59" s="7">
        <v>0</v>
      </c>
      <c r="BN59" s="10">
        <v>8.3999999999999995E-3</v>
      </c>
      <c r="BO59" s="49">
        <v>0.99160000000000004</v>
      </c>
      <c r="BP59" s="10">
        <v>6.4765389999999999E-3</v>
      </c>
      <c r="BQ59" s="10">
        <v>2.922708E-3</v>
      </c>
      <c r="BR59" s="49">
        <v>0.99060079999999995</v>
      </c>
      <c r="BS59" s="14">
        <f>AVERAGE(BS56:BS58)</f>
        <v>0.60204993333333323</v>
      </c>
      <c r="BT59" s="7"/>
      <c r="BU59" s="7"/>
      <c r="BV59" s="7"/>
      <c r="BW59" s="38">
        <f>AVERAGE(BW56:BW58)</f>
        <v>0.86160643333333331</v>
      </c>
      <c r="BX59" s="7"/>
      <c r="BY59" s="7"/>
      <c r="BZ59" s="7"/>
      <c r="CA59" s="10">
        <v>5.4809999999999998E-2</v>
      </c>
      <c r="CB59" s="7">
        <v>0.75</v>
      </c>
      <c r="CC59" s="7">
        <v>0.25</v>
      </c>
      <c r="CD59" s="7">
        <v>0</v>
      </c>
      <c r="CE59" s="28">
        <v>0.99093330000000002</v>
      </c>
      <c r="CF59" s="10">
        <v>9.0666670000000005E-3</v>
      </c>
      <c r="CG59" s="7">
        <v>0</v>
      </c>
      <c r="CH59" s="28">
        <v>0.96183240000000003</v>
      </c>
      <c r="CI59" s="10">
        <v>4.9226859999999999E-3</v>
      </c>
      <c r="CJ59" s="10">
        <v>3.3244940000000001E-2</v>
      </c>
      <c r="CK59" s="38">
        <f>AVERAGE(CK56:CK58)</f>
        <v>0.78755686666666669</v>
      </c>
      <c r="CL59" s="7"/>
      <c r="CM59" s="7"/>
      <c r="CN59" s="7"/>
      <c r="CO59" s="10">
        <v>6.2829999999999997E-2</v>
      </c>
      <c r="CP59" s="7">
        <v>0.75</v>
      </c>
      <c r="CQ59" s="7">
        <v>0.25</v>
      </c>
      <c r="CR59" s="7">
        <v>0</v>
      </c>
      <c r="CS59" s="28">
        <v>0.99106669999999997</v>
      </c>
      <c r="CT59" s="10">
        <v>8.9333329999999999E-3</v>
      </c>
      <c r="CU59" s="7">
        <v>0</v>
      </c>
      <c r="CV59" s="28">
        <v>0.95521780000000001</v>
      </c>
      <c r="CW59" s="10">
        <v>7.7542729999999999E-3</v>
      </c>
      <c r="CX59" s="10">
        <v>3.702797E-2</v>
      </c>
      <c r="CY59" s="14">
        <f>AVERAGE(CY56:CY58)</f>
        <v>0.92687190000000008</v>
      </c>
      <c r="CZ59" s="7"/>
      <c r="DA59" s="7"/>
      <c r="DB59" s="7"/>
      <c r="DC59" s="38">
        <f>AVERAGE(DC56:DC58)</f>
        <v>0.98364773333333344</v>
      </c>
      <c r="DD59" s="7"/>
      <c r="DE59" s="7"/>
      <c r="DF59" s="7"/>
      <c r="DG59" s="10">
        <v>1.1429999999999999E-2</v>
      </c>
      <c r="DH59" s="7">
        <v>0.75</v>
      </c>
      <c r="DI59" s="7">
        <v>0.25</v>
      </c>
      <c r="DJ59" s="7">
        <v>0</v>
      </c>
      <c r="DK59" s="28">
        <v>0.99186669999999999</v>
      </c>
      <c r="DL59" s="10">
        <v>8.1333329999999995E-3</v>
      </c>
      <c r="DM59" s="7">
        <v>0</v>
      </c>
      <c r="DN59" s="28">
        <v>0.9889599</v>
      </c>
      <c r="DO59" s="10">
        <v>5.530419E-3</v>
      </c>
      <c r="DP59" s="10">
        <v>5.5096399999999997E-3</v>
      </c>
      <c r="DQ59" s="35">
        <f>AVERAGE(DQ56:DQ58)</f>
        <v>0.82657876666666663</v>
      </c>
      <c r="DR59" s="7"/>
      <c r="DS59" s="7"/>
      <c r="DT59" s="7"/>
      <c r="DU59" s="10">
        <v>3.8939999999999999E-3</v>
      </c>
      <c r="DV59" s="7">
        <v>0</v>
      </c>
      <c r="DW59" s="7">
        <v>0.25</v>
      </c>
      <c r="DX59" s="7">
        <v>0.75</v>
      </c>
      <c r="DY59" s="7">
        <v>0</v>
      </c>
      <c r="DZ59" s="10">
        <v>9.1666669999999999E-3</v>
      </c>
      <c r="EA59" s="49">
        <v>0.99083330000000003</v>
      </c>
      <c r="EB59" s="10">
        <v>2.1453850000000001E-3</v>
      </c>
      <c r="EC59" s="10">
        <v>1.045579E-3</v>
      </c>
      <c r="ED59" s="49">
        <v>0.99680899999999995</v>
      </c>
      <c r="EE59" s="14">
        <f>AVERAGE(EE56:EE58)</f>
        <v>0.9019001333333333</v>
      </c>
      <c r="EF59" s="7"/>
      <c r="EG59" s="7"/>
      <c r="EH59" s="7"/>
      <c r="EI59" s="19">
        <f>AVERAGE(EI56:EI58)</f>
        <v>0.95786153333333335</v>
      </c>
      <c r="EJ59" s="7"/>
      <c r="EK59" s="7"/>
      <c r="EL59" s="7"/>
      <c r="EM59" s="10">
        <v>3.2799999999999999E-3</v>
      </c>
      <c r="EN59" s="7">
        <v>0.75</v>
      </c>
      <c r="EO59" s="7">
        <v>0.25</v>
      </c>
      <c r="EP59" s="7">
        <v>0</v>
      </c>
      <c r="EQ59" s="28">
        <v>0.99016669999999996</v>
      </c>
      <c r="ER59" s="10">
        <v>9.8333329999999997E-3</v>
      </c>
      <c r="ES59" s="7">
        <v>0</v>
      </c>
      <c r="ET59" s="28">
        <v>0.99677349999999998</v>
      </c>
      <c r="EU59" s="10">
        <v>1.6521319999999999E-3</v>
      </c>
      <c r="EV59" s="10">
        <v>1.574345E-3</v>
      </c>
      <c r="EW59" s="38">
        <f>AVERAGE(EW56:EW58)</f>
        <v>0.95658349999999992</v>
      </c>
      <c r="EX59" s="7"/>
      <c r="EY59" s="7"/>
      <c r="EZ59" s="7"/>
      <c r="FA59" s="10">
        <v>4.573E-2</v>
      </c>
      <c r="FB59" s="7">
        <v>0.75</v>
      </c>
      <c r="FC59" s="7">
        <v>0.25</v>
      </c>
      <c r="FD59" s="7">
        <v>0</v>
      </c>
      <c r="FE59" s="28">
        <v>0.99180000000000001</v>
      </c>
      <c r="FF59" s="10">
        <v>8.2000000000000007E-3</v>
      </c>
      <c r="FG59" s="7">
        <v>0</v>
      </c>
      <c r="FH59" s="28">
        <v>0.95719960000000004</v>
      </c>
      <c r="FI59" s="10">
        <v>2.0940230000000001E-2</v>
      </c>
      <c r="FJ59" s="10">
        <v>2.1860210000000001E-2</v>
      </c>
    </row>
    <row r="60" spans="3:166" x14ac:dyDescent="0.2">
      <c r="C60" s="6">
        <v>4</v>
      </c>
      <c r="D60" t="s">
        <v>43</v>
      </c>
      <c r="G60" s="45">
        <v>0.91790000000000005</v>
      </c>
      <c r="H60" s="10">
        <v>0.92602039999999997</v>
      </c>
      <c r="I60" s="10">
        <v>0.91666669999999995</v>
      </c>
      <c r="J60" s="10">
        <v>0.92131980000000002</v>
      </c>
      <c r="K60" s="45">
        <v>0.35830000000000001</v>
      </c>
      <c r="L60" s="10">
        <v>0.97142859999999998</v>
      </c>
      <c r="M60" s="10">
        <v>0.68686800000000003</v>
      </c>
      <c r="N60" s="10">
        <v>0.8047337</v>
      </c>
      <c r="O60" s="7" t="s">
        <v>24</v>
      </c>
      <c r="P60" s="10">
        <v>0</v>
      </c>
      <c r="Q60" s="10">
        <v>0.5</v>
      </c>
      <c r="R60" s="10">
        <v>0.5</v>
      </c>
      <c r="S60" s="10">
        <v>0</v>
      </c>
      <c r="T60" s="10">
        <v>0.1571333</v>
      </c>
      <c r="U60" s="10">
        <v>0.84286669999999997</v>
      </c>
      <c r="V60" s="7" t="s">
        <v>24</v>
      </c>
      <c r="W60" s="7" t="s">
        <v>24</v>
      </c>
      <c r="X60" s="7" t="s">
        <v>24</v>
      </c>
      <c r="Y60" s="45">
        <v>0.49659999999999999</v>
      </c>
      <c r="Z60" s="7" t="s">
        <v>24</v>
      </c>
      <c r="AA60" s="7">
        <v>0</v>
      </c>
      <c r="AB60" s="7" t="s">
        <v>24</v>
      </c>
      <c r="AC60" s="7" t="s">
        <v>24</v>
      </c>
      <c r="AD60" s="10">
        <v>0</v>
      </c>
      <c r="AE60" s="10">
        <v>0.5</v>
      </c>
      <c r="AF60" s="10">
        <v>0.5</v>
      </c>
      <c r="AG60" s="10">
        <v>0</v>
      </c>
      <c r="AH60" s="10">
        <v>0.15896669999999999</v>
      </c>
      <c r="AI60" s="10">
        <v>0.84103329999999998</v>
      </c>
      <c r="AJ60" s="7" t="s">
        <v>24</v>
      </c>
      <c r="AK60" s="7" t="s">
        <v>24</v>
      </c>
      <c r="AL60" s="7" t="s">
        <v>24</v>
      </c>
      <c r="AM60" s="45">
        <v>0.92700000000000005</v>
      </c>
      <c r="AN60" s="10">
        <v>0.95064939999999998</v>
      </c>
      <c r="AO60" s="10">
        <v>0.92424240000000002</v>
      </c>
      <c r="AP60" s="10">
        <v>0.93725990000000003</v>
      </c>
      <c r="AQ60" s="10">
        <v>0.34949999999999998</v>
      </c>
      <c r="AR60" s="10">
        <v>0.97297299999999998</v>
      </c>
      <c r="AS60" s="10">
        <v>0.63636360000000003</v>
      </c>
      <c r="AT60" s="10">
        <v>0.76946559999999997</v>
      </c>
      <c r="AU60" s="7" t="s">
        <v>24</v>
      </c>
      <c r="AV60" s="7">
        <v>0</v>
      </c>
      <c r="AW60" s="7">
        <v>0.5</v>
      </c>
      <c r="AX60" s="7">
        <v>0.5</v>
      </c>
      <c r="AY60" s="7">
        <v>0</v>
      </c>
      <c r="AZ60" s="10">
        <v>0.1543667</v>
      </c>
      <c r="BA60" s="10">
        <v>0.84563330000000003</v>
      </c>
      <c r="BB60" s="7" t="s">
        <v>24</v>
      </c>
      <c r="BC60" s="7" t="s">
        <v>24</v>
      </c>
      <c r="BD60" s="7" t="s">
        <v>24</v>
      </c>
      <c r="BE60" s="10">
        <v>0.41589999999999999</v>
      </c>
      <c r="BF60" s="7" t="s">
        <v>24</v>
      </c>
      <c r="BG60" s="7">
        <v>0</v>
      </c>
      <c r="BH60" s="7" t="s">
        <v>24</v>
      </c>
      <c r="BI60" s="7" t="s">
        <v>24</v>
      </c>
      <c r="BJ60" s="7">
        <v>0</v>
      </c>
      <c r="BK60" s="7">
        <v>0.5</v>
      </c>
      <c r="BL60" s="7">
        <v>0.5</v>
      </c>
      <c r="BM60" s="7">
        <v>0</v>
      </c>
      <c r="BN60" s="10">
        <v>0.1603667</v>
      </c>
      <c r="BO60" s="10">
        <v>0.83963330000000003</v>
      </c>
      <c r="BP60" s="7" t="s">
        <v>24</v>
      </c>
      <c r="BQ60" s="7" t="s">
        <v>24</v>
      </c>
      <c r="BR60" s="7" t="s">
        <v>24</v>
      </c>
      <c r="BS60" s="45">
        <v>0.60980000000000001</v>
      </c>
      <c r="BT60" s="10">
        <v>0.46879759999999998</v>
      </c>
      <c r="BU60" s="10">
        <v>0.77777777999999997</v>
      </c>
      <c r="BV60" s="10">
        <v>0.58499525200000002</v>
      </c>
      <c r="BW60" s="45">
        <v>0.28060000000000002</v>
      </c>
      <c r="BX60" s="7" t="s">
        <v>24</v>
      </c>
      <c r="BY60" s="7" t="s">
        <v>66</v>
      </c>
      <c r="BZ60" s="7" t="s">
        <v>24</v>
      </c>
      <c r="CA60" s="7" t="s">
        <v>24</v>
      </c>
      <c r="CB60" s="7">
        <v>0</v>
      </c>
      <c r="CC60" s="7">
        <v>0.5</v>
      </c>
      <c r="CD60" s="7">
        <v>0.5</v>
      </c>
      <c r="CE60" s="7">
        <v>0</v>
      </c>
      <c r="CF60" s="10">
        <v>0.16400000000000001</v>
      </c>
      <c r="CG60" s="10">
        <v>0.83599999999999997</v>
      </c>
      <c r="CH60" s="7" t="s">
        <v>24</v>
      </c>
      <c r="CI60" s="7" t="s">
        <v>24</v>
      </c>
      <c r="CJ60" s="7" t="s">
        <v>24</v>
      </c>
      <c r="CK60" s="10">
        <v>0.26050000000000001</v>
      </c>
      <c r="CL60" s="7" t="s">
        <v>24</v>
      </c>
      <c r="CM60" s="7">
        <v>0</v>
      </c>
      <c r="CN60" s="7" t="s">
        <v>24</v>
      </c>
      <c r="CO60" s="7" t="s">
        <v>24</v>
      </c>
      <c r="CP60" s="7">
        <v>0</v>
      </c>
      <c r="CQ60" s="7">
        <v>0.5</v>
      </c>
      <c r="CR60" s="7">
        <v>0.5</v>
      </c>
      <c r="CS60" s="7">
        <v>0</v>
      </c>
      <c r="CT60" s="10">
        <v>0.15683330000000001</v>
      </c>
      <c r="CU60" s="10">
        <v>0.84316670000000005</v>
      </c>
      <c r="CV60" s="7" t="s">
        <v>24</v>
      </c>
      <c r="CW60" s="7" t="s">
        <v>24</v>
      </c>
      <c r="CX60" s="7" t="s">
        <v>24</v>
      </c>
      <c r="CY60" s="45">
        <v>0.92009799999999997</v>
      </c>
      <c r="CZ60" s="10">
        <v>0.9262087</v>
      </c>
      <c r="DA60" s="10">
        <v>0.91919189999999995</v>
      </c>
      <c r="DB60" s="10">
        <v>0.92268689999999998</v>
      </c>
      <c r="DC60" s="45">
        <v>0.36890000000000001</v>
      </c>
      <c r="DD60" s="10">
        <v>0.97819310000000004</v>
      </c>
      <c r="DE60" s="10">
        <v>0.79292929999999995</v>
      </c>
      <c r="DF60" s="10">
        <v>0.87587170000000003</v>
      </c>
      <c r="DG60" s="65" t="s">
        <v>24</v>
      </c>
      <c r="DH60" s="7">
        <v>0</v>
      </c>
      <c r="DI60" s="7">
        <v>0.5</v>
      </c>
      <c r="DJ60" s="7">
        <v>0.5</v>
      </c>
      <c r="DK60" s="7">
        <v>0</v>
      </c>
      <c r="DL60" s="10">
        <v>0.16076670000000001</v>
      </c>
      <c r="DM60" s="10">
        <v>0.83923329999999996</v>
      </c>
      <c r="DN60" s="7" t="s">
        <v>24</v>
      </c>
      <c r="DO60" s="7" t="s">
        <v>24</v>
      </c>
      <c r="DP60" s="7" t="s">
        <v>24</v>
      </c>
      <c r="DQ60" s="45">
        <v>0.64680000000000004</v>
      </c>
      <c r="DR60" s="7" t="s">
        <v>24</v>
      </c>
      <c r="DS60" s="7">
        <v>0</v>
      </c>
      <c r="DT60" s="7" t="s">
        <v>24</v>
      </c>
      <c r="DU60" s="7" t="s">
        <v>24</v>
      </c>
      <c r="DV60" s="7">
        <v>0</v>
      </c>
      <c r="DW60" s="7">
        <v>0.5</v>
      </c>
      <c r="DX60" s="7">
        <v>0.5</v>
      </c>
      <c r="DY60" s="7">
        <v>0</v>
      </c>
      <c r="DZ60" s="10">
        <v>0.16006670000000001</v>
      </c>
      <c r="EA60" s="10">
        <v>0.83993329999999999</v>
      </c>
      <c r="EB60" s="7" t="s">
        <v>24</v>
      </c>
      <c r="EC60" s="7" t="s">
        <v>24</v>
      </c>
      <c r="ED60" s="7" t="s">
        <v>24</v>
      </c>
      <c r="EE60" s="45">
        <v>0.89439999999999997</v>
      </c>
      <c r="EF60" s="10">
        <v>0.85294119999999995</v>
      </c>
      <c r="EG60" s="10">
        <v>0.80555560000000004</v>
      </c>
      <c r="EH60" s="10">
        <v>0.82857139999999996</v>
      </c>
      <c r="EI60" s="45">
        <v>0.36149999999999999</v>
      </c>
      <c r="EJ60" s="10">
        <v>0.21538460000000001</v>
      </c>
      <c r="EK60" s="10">
        <v>0.91919189999999995</v>
      </c>
      <c r="EL60" s="10">
        <v>0.34899330000000001</v>
      </c>
      <c r="EM60" s="7" t="s">
        <v>24</v>
      </c>
      <c r="EN60" s="10">
        <v>0</v>
      </c>
      <c r="EO60" s="10">
        <v>0.5</v>
      </c>
      <c r="EP60" s="10">
        <v>0.5</v>
      </c>
      <c r="EQ60" s="10">
        <v>0</v>
      </c>
      <c r="ER60" s="10">
        <v>0.1589333</v>
      </c>
      <c r="ES60" s="10">
        <v>0.84106669999999994</v>
      </c>
      <c r="ET60" s="7" t="s">
        <v>24</v>
      </c>
      <c r="EU60" s="7" t="s">
        <v>24</v>
      </c>
      <c r="EV60" s="7" t="s">
        <v>24</v>
      </c>
      <c r="EW60" s="45">
        <v>0.36149999999999999</v>
      </c>
      <c r="EX60" s="10">
        <v>0.21538460000000001</v>
      </c>
      <c r="EY60" s="10">
        <v>0.91919189999999995</v>
      </c>
      <c r="EZ60" s="10">
        <v>0.34899330000000001</v>
      </c>
      <c r="FA60" s="7" t="s">
        <v>24</v>
      </c>
      <c r="FB60" s="10">
        <v>0</v>
      </c>
      <c r="FC60" s="10">
        <v>0.5</v>
      </c>
      <c r="FD60" s="10">
        <v>0.5</v>
      </c>
      <c r="FE60" s="10">
        <v>0</v>
      </c>
      <c r="FF60" s="10">
        <v>0.159</v>
      </c>
      <c r="FG60" s="10">
        <v>0.84099999999999997</v>
      </c>
      <c r="FH60" s="7" t="s">
        <v>24</v>
      </c>
      <c r="FI60" s="7" t="s">
        <v>24</v>
      </c>
      <c r="FJ60" s="7" t="s">
        <v>24</v>
      </c>
    </row>
    <row r="61" spans="3:166" x14ac:dyDescent="0.2">
      <c r="C61" s="6"/>
      <c r="G61" s="14"/>
      <c r="H61" s="7"/>
      <c r="I61" s="7"/>
      <c r="J61" s="7"/>
      <c r="K61" s="14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14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4"/>
      <c r="AN61" s="7"/>
      <c r="AO61" s="7"/>
      <c r="AP61" s="1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14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14"/>
      <c r="BT61" s="7"/>
      <c r="BU61" s="7"/>
      <c r="BV61" s="7"/>
      <c r="BW61" s="14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14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14"/>
      <c r="CZ61" s="7"/>
      <c r="DA61" s="7"/>
      <c r="DB61" s="7"/>
      <c r="DC61" s="14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14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14"/>
      <c r="EF61" s="7"/>
      <c r="EG61" s="7"/>
      <c r="EH61" s="7"/>
      <c r="EI61" s="14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14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</row>
    <row r="62" spans="3:166" x14ac:dyDescent="0.2">
      <c r="C62" s="6">
        <v>5</v>
      </c>
      <c r="D62" t="s">
        <v>40</v>
      </c>
      <c r="G62" s="45">
        <v>0.92508659999999998</v>
      </c>
      <c r="H62" s="7"/>
      <c r="I62" s="7"/>
      <c r="J62" s="7"/>
      <c r="K62" s="14">
        <v>1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45">
        <v>0.7173252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45">
        <v>0.92385150000000005</v>
      </c>
      <c r="AN62" s="7"/>
      <c r="AO62" s="7"/>
      <c r="AP62" s="17"/>
      <c r="AQ62" s="7" t="s">
        <v>24</v>
      </c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10">
        <v>0.76666670000000003</v>
      </c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45">
        <v>0.56733789999999995</v>
      </c>
      <c r="BT62" s="7"/>
      <c r="BU62" s="7"/>
      <c r="BV62" s="7"/>
      <c r="BW62" s="14">
        <v>1</v>
      </c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10">
        <v>0.72727269999999999</v>
      </c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45">
        <v>0.92039020000000005</v>
      </c>
      <c r="CZ62" s="7"/>
      <c r="DA62" s="7"/>
      <c r="DB62" s="7"/>
      <c r="DC62" s="45">
        <v>1</v>
      </c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45">
        <v>0.55239629999999995</v>
      </c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45">
        <v>0.89679039999999999</v>
      </c>
      <c r="EF62" s="7"/>
      <c r="EG62" s="7"/>
      <c r="EH62" s="7"/>
      <c r="EI62" s="14" t="s">
        <v>24</v>
      </c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14" t="s">
        <v>24</v>
      </c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</row>
    <row r="63" spans="3:166" x14ac:dyDescent="0.2">
      <c r="C63" s="6">
        <v>5</v>
      </c>
      <c r="D63" t="s">
        <v>41</v>
      </c>
      <c r="G63" s="45">
        <v>0.93073050000000002</v>
      </c>
      <c r="H63" s="7"/>
      <c r="I63" s="7"/>
      <c r="J63" s="7"/>
      <c r="K63" s="14">
        <v>1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45">
        <v>0.74924469999999999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45">
        <v>0.93198990000000004</v>
      </c>
      <c r="AN63" s="7"/>
      <c r="AO63" s="7"/>
      <c r="AP63" s="17"/>
      <c r="AQ63" s="7">
        <v>1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10">
        <v>0.74164129999999995</v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45">
        <v>0.5332074</v>
      </c>
      <c r="BT63" s="7"/>
      <c r="BU63" s="7"/>
      <c r="BV63" s="7"/>
      <c r="BW63" s="14">
        <v>1</v>
      </c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10">
        <v>0.76524389999999998</v>
      </c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45">
        <v>0.93639799999999995</v>
      </c>
      <c r="CZ63" s="7"/>
      <c r="DA63" s="7"/>
      <c r="DB63" s="7"/>
      <c r="DC63" s="14" t="s">
        <v>24</v>
      </c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45">
        <v>0.55246470000000003</v>
      </c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45">
        <v>0.90179410000000004</v>
      </c>
      <c r="EF63" s="7"/>
      <c r="EG63" s="7"/>
      <c r="EH63" s="7"/>
      <c r="EI63" s="14" t="s">
        <v>24</v>
      </c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14" t="s">
        <v>24</v>
      </c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</row>
    <row r="64" spans="3:166" x14ac:dyDescent="0.2">
      <c r="C64" s="6">
        <v>5</v>
      </c>
      <c r="D64" t="s">
        <v>42</v>
      </c>
      <c r="G64" s="45">
        <v>0.92385150000000005</v>
      </c>
      <c r="H64" s="7"/>
      <c r="I64" s="7"/>
      <c r="J64" s="7"/>
      <c r="K64" s="14" t="s">
        <v>24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45">
        <v>0.72036469999999997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45">
        <v>0.93201129999999999</v>
      </c>
      <c r="AN64" s="7"/>
      <c r="AO64" s="7"/>
      <c r="AP64" s="17"/>
      <c r="AQ64" s="7">
        <v>1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10">
        <v>0.75454549999999998</v>
      </c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45">
        <v>0.70560449999999997</v>
      </c>
      <c r="BT64" s="7"/>
      <c r="BU64" s="7"/>
      <c r="BV64" s="7"/>
      <c r="BW64" s="45">
        <v>0.99285710000000005</v>
      </c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10">
        <v>0.72809670000000004</v>
      </c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45">
        <v>0.92382750000000002</v>
      </c>
      <c r="CZ64" s="7"/>
      <c r="DA64" s="7"/>
      <c r="DB64" s="7"/>
      <c r="DC64" s="14">
        <v>1</v>
      </c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45">
        <v>0.74545450000000002</v>
      </c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45">
        <v>0.90711589999999998</v>
      </c>
      <c r="EF64" s="7"/>
      <c r="EG64" s="7"/>
      <c r="EH64" s="7"/>
      <c r="EI64" s="14" t="s">
        <v>24</v>
      </c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14" t="s">
        <v>24</v>
      </c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</row>
    <row r="65" spans="2:167" x14ac:dyDescent="0.2">
      <c r="C65" s="6">
        <v>5</v>
      </c>
      <c r="D65" t="s">
        <v>49</v>
      </c>
      <c r="G65" s="14">
        <f>AVERAGE(G62:G64)</f>
        <v>0.92655619999999994</v>
      </c>
      <c r="H65" s="7"/>
      <c r="I65" s="7"/>
      <c r="J65" s="7"/>
      <c r="K65" s="14">
        <f>AVERAGE(K62:K64)</f>
        <v>1</v>
      </c>
      <c r="L65" s="7"/>
      <c r="M65" s="7"/>
      <c r="N65" s="7"/>
      <c r="O65" s="10">
        <v>5.2050000000000004E-3</v>
      </c>
      <c r="P65" s="7" t="s">
        <v>24</v>
      </c>
      <c r="Q65" s="7" t="s">
        <v>24</v>
      </c>
      <c r="R65" s="7" t="s">
        <v>24</v>
      </c>
      <c r="S65" s="7" t="s">
        <v>24</v>
      </c>
      <c r="T65" s="7" t="s">
        <v>24</v>
      </c>
      <c r="U65" s="7" t="s">
        <v>24</v>
      </c>
      <c r="V65" s="7" t="s">
        <v>24</v>
      </c>
      <c r="W65" s="7" t="s">
        <v>24</v>
      </c>
      <c r="X65" s="7" t="s">
        <v>24</v>
      </c>
      <c r="Y65" s="35">
        <f>AVERAGE(Y62:Y64)</f>
        <v>0.72897819999999991</v>
      </c>
      <c r="Z65" s="7"/>
      <c r="AA65" s="7"/>
      <c r="AB65" s="7"/>
      <c r="AC65" s="10">
        <v>1.6930000000000001E-3</v>
      </c>
      <c r="AD65" s="7">
        <v>0</v>
      </c>
      <c r="AE65" s="7">
        <v>0.25</v>
      </c>
      <c r="AF65" s="7">
        <v>0.75</v>
      </c>
      <c r="AG65" s="7">
        <v>0</v>
      </c>
      <c r="AH65" s="10">
        <v>8.866667E-3</v>
      </c>
      <c r="AI65" s="49">
        <v>0.99113329999999999</v>
      </c>
      <c r="AJ65" s="10">
        <v>1.022067E-3</v>
      </c>
      <c r="AK65" s="10">
        <v>2.2870869999999999E-4</v>
      </c>
      <c r="AL65" s="49">
        <v>0.9987492</v>
      </c>
      <c r="AM65" s="14">
        <f>AVERAGE(AM62:AM64)</f>
        <v>0.92928423333333343</v>
      </c>
      <c r="AN65" s="7"/>
      <c r="AO65" s="7"/>
      <c r="AP65" s="17"/>
      <c r="AQ65" s="14">
        <f>AVERAGE(AQ62:AQ64)</f>
        <v>1</v>
      </c>
      <c r="AR65" s="7"/>
      <c r="AS65" s="7"/>
      <c r="AT65" s="7"/>
      <c r="AU65" s="10">
        <v>1.002E-4</v>
      </c>
      <c r="AV65" s="7" t="s">
        <v>24</v>
      </c>
      <c r="AW65" s="7" t="s">
        <v>24</v>
      </c>
      <c r="AX65" s="7" t="s">
        <v>24</v>
      </c>
      <c r="AY65" s="7" t="s">
        <v>24</v>
      </c>
      <c r="AZ65" s="7" t="s">
        <v>24</v>
      </c>
      <c r="BA65" s="7" t="s">
        <v>24</v>
      </c>
      <c r="BB65" s="7" t="s">
        <v>24</v>
      </c>
      <c r="BC65" s="7" t="s">
        <v>24</v>
      </c>
      <c r="BD65" s="7" t="s">
        <v>24</v>
      </c>
      <c r="BE65" s="35">
        <f>AVERAGE(BE62:BE64)</f>
        <v>0.75428449999999991</v>
      </c>
      <c r="BF65" s="7"/>
      <c r="BG65" s="7"/>
      <c r="BH65" s="7"/>
      <c r="BI65" s="10">
        <v>3.029E-3</v>
      </c>
      <c r="BJ65" s="7">
        <v>0</v>
      </c>
      <c r="BK65" s="7">
        <v>0.25</v>
      </c>
      <c r="BL65" s="7">
        <v>0.75</v>
      </c>
      <c r="BM65" s="7">
        <v>0</v>
      </c>
      <c r="BN65" s="10">
        <v>8.9666669999999993E-3</v>
      </c>
      <c r="BO65" s="49">
        <v>0.99103330000000001</v>
      </c>
      <c r="BP65" s="10">
        <v>1.8051020000000001E-3</v>
      </c>
      <c r="BQ65" s="10">
        <v>4.6097150000000002E-4</v>
      </c>
      <c r="BR65" s="49">
        <v>0.99773389999999995</v>
      </c>
      <c r="BS65" s="14">
        <f>AVERAGE(BS62:BS64)</f>
        <v>0.60204993333333323</v>
      </c>
      <c r="BT65" s="7"/>
      <c r="BU65" s="7"/>
      <c r="BV65" s="7"/>
      <c r="BW65" s="38">
        <f>AVERAGE(BW62:BW64)</f>
        <v>0.99761903333333335</v>
      </c>
      <c r="BX65" s="7"/>
      <c r="BY65" s="7"/>
      <c r="BZ65" s="7"/>
      <c r="CA65" s="10">
        <v>1.882E-2</v>
      </c>
      <c r="CB65" s="7">
        <v>0.75</v>
      </c>
      <c r="CC65" s="7">
        <v>0.25</v>
      </c>
      <c r="CD65" s="7">
        <v>0</v>
      </c>
      <c r="CE65" s="28">
        <v>0.99260000000000004</v>
      </c>
      <c r="CF65" s="10">
        <v>7.4000000000000003E-3</v>
      </c>
      <c r="CG65" s="7">
        <v>0</v>
      </c>
      <c r="CH65" s="28">
        <v>0.98694139999999997</v>
      </c>
      <c r="CI65" s="10">
        <v>1.211897E-3</v>
      </c>
      <c r="CJ65" s="10">
        <v>1.184669E-2</v>
      </c>
      <c r="CK65" s="38">
        <f>AVERAGE(CK62:CK64)</f>
        <v>0.74020443333333341</v>
      </c>
      <c r="CL65" s="7"/>
      <c r="CM65" s="7"/>
      <c r="CN65" s="7"/>
      <c r="CO65" s="10">
        <v>7.596E-2</v>
      </c>
      <c r="CP65" s="7">
        <v>0.75</v>
      </c>
      <c r="CQ65" s="7">
        <v>0.25</v>
      </c>
      <c r="CR65" s="7">
        <v>0</v>
      </c>
      <c r="CS65" s="28">
        <v>0.99206669999999997</v>
      </c>
      <c r="CT65" s="10">
        <v>7.9333330000000007E-3</v>
      </c>
      <c r="CU65" s="7">
        <v>0</v>
      </c>
      <c r="CV65" s="10">
        <v>0.9445112</v>
      </c>
      <c r="CW65" s="10">
        <v>1.2216370000000001E-2</v>
      </c>
      <c r="CX65" s="10">
        <v>4.3272400000000003E-2</v>
      </c>
      <c r="CY65" s="14">
        <f>AVERAGE(CY62:CY64)</f>
        <v>0.92687190000000008</v>
      </c>
      <c r="CZ65" s="7"/>
      <c r="DA65" s="7"/>
      <c r="DB65" s="7"/>
      <c r="DC65" s="14">
        <f>AVERAGE(DC62:DC64)</f>
        <v>1</v>
      </c>
      <c r="DD65" s="7"/>
      <c r="DE65" s="7"/>
      <c r="DF65" s="7"/>
      <c r="DG65" s="10">
        <v>1.404E-2</v>
      </c>
      <c r="DH65" s="7" t="s">
        <v>24</v>
      </c>
      <c r="DI65" s="7" t="s">
        <v>24</v>
      </c>
      <c r="DJ65" s="7" t="s">
        <v>24</v>
      </c>
      <c r="DK65" s="7" t="s">
        <v>24</v>
      </c>
      <c r="DL65" s="7" t="s">
        <v>24</v>
      </c>
      <c r="DM65" s="7" t="s">
        <v>24</v>
      </c>
      <c r="DN65" s="7" t="s">
        <v>24</v>
      </c>
      <c r="DO65" s="7" t="s">
        <v>24</v>
      </c>
      <c r="DP65" s="7" t="s">
        <v>24</v>
      </c>
      <c r="DQ65" s="35">
        <f>AVERAGE(DQ62:DQ64)</f>
        <v>0.61677183333333341</v>
      </c>
      <c r="DR65" s="7"/>
      <c r="DS65" s="7"/>
      <c r="DT65" s="7"/>
      <c r="DU65" s="10">
        <v>6.0439999999999995E-4</v>
      </c>
      <c r="DV65" s="7">
        <v>0</v>
      </c>
      <c r="DW65" s="7">
        <v>0.25</v>
      </c>
      <c r="DX65" s="7">
        <v>0.75</v>
      </c>
      <c r="DY65" s="7">
        <v>0</v>
      </c>
      <c r="DZ65" s="10">
        <v>9.9666670000000002E-3</v>
      </c>
      <c r="EA65" s="49">
        <v>0.9900333</v>
      </c>
      <c r="EB65" s="10">
        <v>3.6040650000000003E-4</v>
      </c>
      <c r="EC65" s="10">
        <v>9.2782930000000004E-5</v>
      </c>
      <c r="ED65" s="49">
        <v>0.99954679999999996</v>
      </c>
      <c r="EE65" s="14">
        <f>AVERAGE(EE62:EE64)</f>
        <v>0.9019001333333333</v>
      </c>
      <c r="EF65" s="7"/>
      <c r="EG65" s="7"/>
      <c r="EH65" s="7"/>
      <c r="EI65" s="14" t="s">
        <v>24</v>
      </c>
      <c r="EJ65" s="7"/>
      <c r="EK65" s="7"/>
      <c r="EL65" s="7"/>
      <c r="EM65" s="7" t="s">
        <v>24</v>
      </c>
      <c r="EN65" s="7" t="s">
        <v>24</v>
      </c>
      <c r="EO65" s="7" t="s">
        <v>24</v>
      </c>
      <c r="EP65" s="7" t="s">
        <v>24</v>
      </c>
      <c r="EQ65" s="7" t="s">
        <v>24</v>
      </c>
      <c r="ER65" s="7" t="s">
        <v>24</v>
      </c>
      <c r="ES65" s="7" t="s">
        <v>24</v>
      </c>
      <c r="ET65" s="7" t="s">
        <v>24</v>
      </c>
      <c r="EU65" s="7" t="s">
        <v>24</v>
      </c>
      <c r="EV65" s="7" t="s">
        <v>24</v>
      </c>
      <c r="EW65" s="14" t="s">
        <v>24</v>
      </c>
      <c r="EX65" s="7"/>
      <c r="EY65" s="7"/>
      <c r="EZ65" s="7"/>
      <c r="FA65" s="7" t="s">
        <v>24</v>
      </c>
      <c r="FB65" s="7" t="s">
        <v>24</v>
      </c>
      <c r="FC65" s="7" t="s">
        <v>24</v>
      </c>
      <c r="FD65" s="7" t="s">
        <v>24</v>
      </c>
      <c r="FE65" s="7" t="s">
        <v>24</v>
      </c>
      <c r="FF65" s="7" t="s">
        <v>24</v>
      </c>
      <c r="FG65" s="7" t="s">
        <v>24</v>
      </c>
      <c r="FH65" s="7" t="s">
        <v>24</v>
      </c>
      <c r="FI65" s="7" t="s">
        <v>24</v>
      </c>
      <c r="FJ65" s="7" t="s">
        <v>24</v>
      </c>
    </row>
    <row r="66" spans="2:167" x14ac:dyDescent="0.2">
      <c r="C66" s="6">
        <v>5</v>
      </c>
      <c r="D66" t="s">
        <v>43</v>
      </c>
      <c r="G66" s="45">
        <v>0.91790000000000005</v>
      </c>
      <c r="H66" s="10">
        <v>0.92602039999999997</v>
      </c>
      <c r="I66" s="10">
        <v>0.91666669999999995</v>
      </c>
      <c r="J66" s="10">
        <v>0.92131980000000002</v>
      </c>
      <c r="K66" s="45">
        <v>0.15809999999999999</v>
      </c>
      <c r="L66" s="7" t="s">
        <v>24</v>
      </c>
      <c r="M66" s="10">
        <v>1</v>
      </c>
      <c r="N66" s="7" t="s">
        <v>24</v>
      </c>
      <c r="O66" s="7" t="s">
        <v>24</v>
      </c>
      <c r="P66" s="10">
        <v>0</v>
      </c>
      <c r="Q66" s="10">
        <v>0.5</v>
      </c>
      <c r="R66" s="10">
        <v>0.5</v>
      </c>
      <c r="S66" s="10">
        <v>0</v>
      </c>
      <c r="T66" s="10">
        <v>0.15653329999999999</v>
      </c>
      <c r="U66" s="10">
        <v>0.84346670000000001</v>
      </c>
      <c r="V66" s="7" t="s">
        <v>24</v>
      </c>
      <c r="W66" s="7" t="s">
        <v>24</v>
      </c>
      <c r="X66" s="7" t="s">
        <v>24</v>
      </c>
      <c r="Y66" s="14">
        <f>AVERAGE(Y62:Y64)</f>
        <v>0.72897819999999991</v>
      </c>
      <c r="Z66" s="7" t="s">
        <v>24</v>
      </c>
      <c r="AA66" s="7">
        <v>0</v>
      </c>
      <c r="AB66" s="7" t="s">
        <v>24</v>
      </c>
      <c r="AC66" s="7" t="s">
        <v>24</v>
      </c>
      <c r="AD66" s="10">
        <v>0</v>
      </c>
      <c r="AE66" s="10">
        <v>0.5</v>
      </c>
      <c r="AF66" s="10">
        <v>0.5</v>
      </c>
      <c r="AG66" s="10">
        <v>0</v>
      </c>
      <c r="AH66" s="10">
        <v>0.15896669999999999</v>
      </c>
      <c r="AI66" s="10">
        <v>0.84103329999999998</v>
      </c>
      <c r="AJ66" s="7" t="s">
        <v>24</v>
      </c>
      <c r="AK66" s="7" t="s">
        <v>24</v>
      </c>
      <c r="AL66" s="7" t="s">
        <v>24</v>
      </c>
      <c r="AM66" s="45">
        <v>0.92700000000000005</v>
      </c>
      <c r="AN66" s="10">
        <v>0.95064939999999998</v>
      </c>
      <c r="AO66" s="10">
        <v>0.92424240000000002</v>
      </c>
      <c r="AP66" s="10">
        <v>0.93725990000000003</v>
      </c>
      <c r="AQ66" s="10">
        <v>3.8199999999999998E-2</v>
      </c>
      <c r="AR66" s="7" t="s">
        <v>24</v>
      </c>
      <c r="AS66" s="10">
        <v>0</v>
      </c>
      <c r="AT66" s="7" t="s">
        <v>24</v>
      </c>
      <c r="AU66" s="7" t="s">
        <v>24</v>
      </c>
      <c r="AV66" s="7">
        <v>0</v>
      </c>
      <c r="AW66" s="7">
        <v>0.5</v>
      </c>
      <c r="AX66" s="7">
        <v>0.5</v>
      </c>
      <c r="AY66" s="7">
        <v>0</v>
      </c>
      <c r="AZ66" s="10">
        <v>0.15873329999999999</v>
      </c>
      <c r="BA66" s="10">
        <v>0.84126670000000003</v>
      </c>
      <c r="BB66" s="7" t="s">
        <v>24</v>
      </c>
      <c r="BC66" s="7" t="s">
        <v>24</v>
      </c>
      <c r="BD66" s="7" t="s">
        <v>24</v>
      </c>
      <c r="BE66" s="10">
        <v>0.32769999999999999</v>
      </c>
      <c r="BF66" s="7" t="s">
        <v>24</v>
      </c>
      <c r="BG66" s="7">
        <v>0</v>
      </c>
      <c r="BH66" s="7" t="s">
        <v>24</v>
      </c>
      <c r="BI66" s="7" t="s">
        <v>24</v>
      </c>
      <c r="BJ66" s="7">
        <v>0</v>
      </c>
      <c r="BK66" s="7">
        <v>0.5</v>
      </c>
      <c r="BL66" s="7">
        <v>0.5</v>
      </c>
      <c r="BM66" s="7">
        <v>0</v>
      </c>
      <c r="BN66" s="10">
        <v>0.1564333</v>
      </c>
      <c r="BO66" s="10">
        <v>0.8435667</v>
      </c>
      <c r="BP66" s="7" t="s">
        <v>24</v>
      </c>
      <c r="BQ66" s="7" t="s">
        <v>24</v>
      </c>
      <c r="BR66" s="7" t="s">
        <v>24</v>
      </c>
      <c r="BS66" s="45">
        <v>0.60980000000000001</v>
      </c>
      <c r="BT66" s="10">
        <v>0.46879759999999998</v>
      </c>
      <c r="BU66" s="10">
        <v>0.77777777999999997</v>
      </c>
      <c r="BV66" s="10">
        <v>0.58499525200000002</v>
      </c>
      <c r="BW66" s="45">
        <v>3.8199999999999998E-2</v>
      </c>
      <c r="BX66" s="7" t="s">
        <v>24</v>
      </c>
      <c r="BY66" s="7" t="s">
        <v>66</v>
      </c>
      <c r="BZ66" s="7" t="s">
        <v>24</v>
      </c>
      <c r="CA66" s="7" t="s">
        <v>24</v>
      </c>
      <c r="CB66" s="7">
        <v>0</v>
      </c>
      <c r="CC66" s="7">
        <v>0.5</v>
      </c>
      <c r="CD66" s="7">
        <v>0.5</v>
      </c>
      <c r="CE66" s="7">
        <v>0</v>
      </c>
      <c r="CF66" s="10">
        <v>0.15709999999999999</v>
      </c>
      <c r="CG66" s="10">
        <v>0.84289999999999998</v>
      </c>
      <c r="CH66" s="7" t="s">
        <v>24</v>
      </c>
      <c r="CI66" s="7" t="s">
        <v>24</v>
      </c>
      <c r="CJ66" s="7" t="s">
        <v>24</v>
      </c>
      <c r="CK66" s="10">
        <v>0.39829999999999999</v>
      </c>
      <c r="CL66" s="7" t="s">
        <v>24</v>
      </c>
      <c r="CM66" s="7">
        <v>0</v>
      </c>
      <c r="CN66" s="7" t="s">
        <v>24</v>
      </c>
      <c r="CO66" s="7" t="s">
        <v>24</v>
      </c>
      <c r="CP66" s="7">
        <v>0</v>
      </c>
      <c r="CQ66" s="7">
        <v>0.5</v>
      </c>
      <c r="CR66" s="7">
        <v>0.5</v>
      </c>
      <c r="CS66" s="7">
        <v>0</v>
      </c>
      <c r="CT66" s="10">
        <v>0.16156670000000001</v>
      </c>
      <c r="CU66" s="10">
        <v>0.83843330000000005</v>
      </c>
      <c r="CV66" s="7" t="s">
        <v>24</v>
      </c>
      <c r="CW66" s="7" t="s">
        <v>24</v>
      </c>
      <c r="CX66" s="7" t="s">
        <v>24</v>
      </c>
      <c r="CY66" s="45">
        <v>0.92009799999999997</v>
      </c>
      <c r="CZ66" s="10">
        <v>0.9262087</v>
      </c>
      <c r="DA66" s="10">
        <v>0.91919189999999995</v>
      </c>
      <c r="DB66" s="10">
        <v>0.92268689999999998</v>
      </c>
      <c r="DC66" s="45">
        <v>3.8199999999999998E-2</v>
      </c>
      <c r="DD66" s="7" t="s">
        <v>24</v>
      </c>
      <c r="DE66" s="7">
        <v>0</v>
      </c>
      <c r="DF66" s="7" t="s">
        <v>24</v>
      </c>
      <c r="DG66" s="7" t="s">
        <v>24</v>
      </c>
      <c r="DH66" s="7">
        <v>0</v>
      </c>
      <c r="DI66" s="7">
        <v>0.5</v>
      </c>
      <c r="DJ66" s="7">
        <v>0.5</v>
      </c>
      <c r="DK66" s="7">
        <v>0</v>
      </c>
      <c r="DL66" s="10">
        <v>0.16020000000000001</v>
      </c>
      <c r="DM66" s="10">
        <v>0.83979999999999999</v>
      </c>
      <c r="DN66" s="7" t="s">
        <v>24</v>
      </c>
      <c r="DO66" s="7" t="s">
        <v>24</v>
      </c>
      <c r="DP66" s="7" t="s">
        <v>24</v>
      </c>
      <c r="DQ66" s="45">
        <v>0.5</v>
      </c>
      <c r="DR66" s="7" t="s">
        <v>24</v>
      </c>
      <c r="DS66" s="7">
        <v>0</v>
      </c>
      <c r="DT66" s="7" t="s">
        <v>24</v>
      </c>
      <c r="DU66" s="7" t="s">
        <v>24</v>
      </c>
      <c r="DV66" s="7">
        <v>0</v>
      </c>
      <c r="DW66" s="7">
        <v>0.5</v>
      </c>
      <c r="DX66" s="7">
        <v>0.5</v>
      </c>
      <c r="DY66" s="7">
        <v>0</v>
      </c>
      <c r="DZ66" s="10">
        <v>0.15753329999999999</v>
      </c>
      <c r="EA66" s="10">
        <v>0.84246670000000001</v>
      </c>
      <c r="EB66" s="7" t="s">
        <v>24</v>
      </c>
      <c r="EC66" s="7" t="s">
        <v>24</v>
      </c>
      <c r="ED66" s="7" t="s">
        <v>24</v>
      </c>
      <c r="EE66" s="45">
        <v>0.89439999999999997</v>
      </c>
      <c r="EF66" s="10">
        <v>0.85294119999999995</v>
      </c>
      <c r="EG66" s="10">
        <v>0.80555560000000004</v>
      </c>
      <c r="EH66" s="10">
        <v>0.82857139999999996</v>
      </c>
      <c r="EI66" s="14" t="s">
        <v>24</v>
      </c>
      <c r="EJ66" s="7" t="s">
        <v>24</v>
      </c>
      <c r="EK66" s="7" t="s">
        <v>24</v>
      </c>
      <c r="EL66" s="7" t="s">
        <v>24</v>
      </c>
      <c r="EM66" s="7" t="s">
        <v>24</v>
      </c>
      <c r="EN66" s="7" t="s">
        <v>24</v>
      </c>
      <c r="EO66" s="7" t="s">
        <v>24</v>
      </c>
      <c r="EP66" s="7" t="s">
        <v>24</v>
      </c>
      <c r="EQ66" s="7" t="s">
        <v>24</v>
      </c>
      <c r="ER66" s="7" t="s">
        <v>24</v>
      </c>
      <c r="ES66" s="7" t="s">
        <v>24</v>
      </c>
      <c r="ET66" s="7" t="s">
        <v>24</v>
      </c>
      <c r="EU66" s="7" t="s">
        <v>24</v>
      </c>
      <c r="EV66" s="7" t="s">
        <v>24</v>
      </c>
      <c r="EW66" s="14" t="s">
        <v>24</v>
      </c>
      <c r="EX66" s="7" t="s">
        <v>24</v>
      </c>
      <c r="EY66" s="7" t="s">
        <v>24</v>
      </c>
      <c r="EZ66" s="7" t="s">
        <v>24</v>
      </c>
      <c r="FA66" s="7" t="s">
        <v>24</v>
      </c>
      <c r="FB66" s="7" t="s">
        <v>24</v>
      </c>
      <c r="FC66" s="7" t="s">
        <v>24</v>
      </c>
      <c r="FD66" s="7" t="s">
        <v>24</v>
      </c>
      <c r="FE66" s="7" t="s">
        <v>24</v>
      </c>
      <c r="FF66" s="7" t="s">
        <v>24</v>
      </c>
      <c r="FG66" s="7" t="s">
        <v>24</v>
      </c>
      <c r="FH66" s="7" t="s">
        <v>24</v>
      </c>
      <c r="FI66" s="7" t="s">
        <v>24</v>
      </c>
      <c r="FJ66" s="7" t="s">
        <v>24</v>
      </c>
    </row>
    <row r="67" spans="2:167" s="23" customFormat="1" ht="17" thickBot="1" x14ac:dyDescent="0.25">
      <c r="G67" s="25"/>
      <c r="H67" s="24"/>
      <c r="I67" s="24"/>
      <c r="J67" s="24"/>
      <c r="K67" s="25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5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5"/>
      <c r="AN67" s="24"/>
      <c r="AO67" s="24"/>
      <c r="AP67" s="26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5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5"/>
      <c r="BT67" s="24"/>
      <c r="BU67" s="24"/>
      <c r="BV67" s="24"/>
      <c r="BW67" s="25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5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5"/>
      <c r="CZ67" s="24"/>
      <c r="DA67" s="24"/>
      <c r="DB67" s="24"/>
      <c r="DC67" s="25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5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5"/>
      <c r="EF67" s="24"/>
      <c r="EG67" s="24"/>
      <c r="EH67" s="24"/>
      <c r="EI67" s="25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5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6"/>
      <c r="FK67" s="21"/>
    </row>
    <row r="68" spans="2:167" x14ac:dyDescent="0.2">
      <c r="G68" s="14"/>
      <c r="H68" s="7"/>
      <c r="I68" s="7"/>
      <c r="J68" s="7"/>
      <c r="K68" s="1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14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4"/>
      <c r="AN68" s="7"/>
      <c r="AO68" s="7"/>
      <c r="AP68" s="1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14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14"/>
      <c r="BT68" s="7"/>
      <c r="BU68" s="7"/>
      <c r="BV68" s="7"/>
      <c r="BW68" s="14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14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14"/>
      <c r="CZ68" s="7"/>
      <c r="DA68" s="7"/>
      <c r="DB68" s="7"/>
      <c r="DC68" s="14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14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14"/>
      <c r="EF68" s="7"/>
      <c r="EG68" s="7"/>
      <c r="EH68" s="7"/>
      <c r="EI68" s="14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14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</row>
    <row r="69" spans="2:167" x14ac:dyDescent="0.2">
      <c r="G69" s="14"/>
      <c r="H69" s="7"/>
      <c r="I69" s="7"/>
      <c r="J69" s="7"/>
      <c r="K69" s="1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14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4"/>
      <c r="AN69" s="7"/>
      <c r="AO69" s="7"/>
      <c r="AP69" s="1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14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14"/>
      <c r="BT69" s="7"/>
      <c r="BU69" s="7"/>
      <c r="BV69" s="7"/>
      <c r="BW69" s="14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14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14"/>
      <c r="CZ69" s="7"/>
      <c r="DA69" s="7"/>
      <c r="DB69" s="7"/>
      <c r="DC69" s="14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14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14"/>
      <c r="EF69" s="7"/>
      <c r="EG69" s="7"/>
      <c r="EH69" s="7"/>
      <c r="EI69" s="14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14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</row>
    <row r="70" spans="2:167" x14ac:dyDescent="0.2">
      <c r="B70" s="3" t="s">
        <v>11</v>
      </c>
      <c r="E70" s="3">
        <v>17898</v>
      </c>
      <c r="F70" s="3">
        <v>9</v>
      </c>
      <c r="G70" s="14"/>
      <c r="H70" s="7"/>
      <c r="I70" s="7"/>
      <c r="J70" s="7"/>
      <c r="K70" s="1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14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"/>
      <c r="AN70" s="7"/>
      <c r="AO70" s="7"/>
      <c r="AP70" s="1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14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14"/>
      <c r="BT70" s="7"/>
      <c r="BU70" s="7"/>
      <c r="BV70" s="7"/>
      <c r="BW70" s="14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14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14"/>
      <c r="CZ70" s="7"/>
      <c r="DA70" s="7"/>
      <c r="DB70" s="7"/>
      <c r="DC70" s="14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14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14"/>
      <c r="EF70" s="7"/>
      <c r="EG70" s="7"/>
      <c r="EH70" s="7"/>
      <c r="EI70" s="14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14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</row>
    <row r="71" spans="2:167" x14ac:dyDescent="0.2">
      <c r="C71" s="6">
        <v>1</v>
      </c>
      <c r="D71" t="s">
        <v>40</v>
      </c>
      <c r="G71" s="45">
        <v>0.97486229999999996</v>
      </c>
      <c r="H71" s="7"/>
      <c r="I71" s="7"/>
      <c r="J71" s="7"/>
      <c r="K71" s="45">
        <v>0.99829060000000003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45">
        <v>0.96790940000000003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45">
        <v>0.97796930000000004</v>
      </c>
      <c r="AN71" s="7"/>
      <c r="AO71" s="7"/>
      <c r="AP71" s="17"/>
      <c r="AQ71" s="10">
        <v>0.99850399999999995</v>
      </c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10">
        <v>0.98803189999999996</v>
      </c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45">
        <v>0.97773520000000003</v>
      </c>
      <c r="BT71" s="7"/>
      <c r="BU71" s="7"/>
      <c r="BV71" s="7"/>
      <c r="BW71" s="45">
        <v>0.99829060000000003</v>
      </c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10">
        <v>0.97026900000000005</v>
      </c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45">
        <v>0.97940609999999995</v>
      </c>
      <c r="CZ71" s="7"/>
      <c r="DA71" s="7"/>
      <c r="DB71" s="7"/>
      <c r="DC71" s="45">
        <v>0.99850399999999995</v>
      </c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45">
        <v>0.96507790000000004</v>
      </c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45">
        <v>0.96072800000000003</v>
      </c>
      <c r="EF71" s="7"/>
      <c r="EG71" s="7"/>
      <c r="EH71" s="7"/>
      <c r="EI71" s="45">
        <v>0.95682840000000002</v>
      </c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45">
        <v>0.94620099999999996</v>
      </c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</row>
    <row r="72" spans="2:167" x14ac:dyDescent="0.2">
      <c r="C72" s="6">
        <v>1</v>
      </c>
      <c r="D72" t="s">
        <v>41</v>
      </c>
      <c r="G72" s="45">
        <v>0.98156129999999997</v>
      </c>
      <c r="H72" s="7"/>
      <c r="I72" s="7"/>
      <c r="J72" s="7"/>
      <c r="K72" s="45">
        <v>0.99850399999999995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45">
        <v>0.96130249999999995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45">
        <v>0.98012449999999995</v>
      </c>
      <c r="AN72" s="7"/>
      <c r="AO72" s="7"/>
      <c r="AP72" s="17"/>
      <c r="AQ72" s="10">
        <v>0.99829060000000003</v>
      </c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10">
        <v>0.98803719999999995</v>
      </c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45">
        <v>0.97964560000000001</v>
      </c>
      <c r="BT72" s="7"/>
      <c r="BU72" s="7"/>
      <c r="BV72" s="7"/>
      <c r="BW72" s="45">
        <v>0.99850399999999995</v>
      </c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10">
        <v>0.9631902</v>
      </c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45">
        <v>0.97677760000000002</v>
      </c>
      <c r="CZ72" s="7"/>
      <c r="DA72" s="7"/>
      <c r="DB72" s="7"/>
      <c r="DC72" s="45">
        <v>0.99850399999999995</v>
      </c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45">
        <v>0.97121279999999999</v>
      </c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45">
        <v>0.96337079999999997</v>
      </c>
      <c r="EF72" s="7"/>
      <c r="EG72" s="7"/>
      <c r="EH72" s="7"/>
      <c r="EI72" s="45">
        <v>0.9863248</v>
      </c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45">
        <v>0.95233599999999996</v>
      </c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</row>
    <row r="73" spans="2:167" x14ac:dyDescent="0.2">
      <c r="C73" s="6">
        <v>1</v>
      </c>
      <c r="D73" t="s">
        <v>42</v>
      </c>
      <c r="G73" s="45">
        <v>0.97988509999999995</v>
      </c>
      <c r="H73" s="7"/>
      <c r="I73" s="7"/>
      <c r="J73" s="7"/>
      <c r="K73" s="45">
        <v>0.99850399999999995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45">
        <v>0.97026900000000005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45">
        <v>0.97222889999999995</v>
      </c>
      <c r="AN73" s="7"/>
      <c r="AO73" s="7"/>
      <c r="AP73" s="17"/>
      <c r="AQ73" s="10">
        <v>0.99850399999999995</v>
      </c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10">
        <v>0.98803719999999995</v>
      </c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45">
        <v>0.97820879999999999</v>
      </c>
      <c r="BT73" s="7"/>
      <c r="BU73" s="7"/>
      <c r="BV73" s="7"/>
      <c r="BW73" s="45">
        <v>0.99850399999999995</v>
      </c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10">
        <v>0.96790940000000003</v>
      </c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45">
        <v>0.97629310000000002</v>
      </c>
      <c r="CZ73" s="7"/>
      <c r="DA73" s="7"/>
      <c r="DB73" s="7"/>
      <c r="DC73" s="45">
        <v>0.99829060000000003</v>
      </c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45">
        <v>0.95658330000000003</v>
      </c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45">
        <v>0.95378350000000001</v>
      </c>
      <c r="EF73" s="7"/>
      <c r="EG73" s="7"/>
      <c r="EH73" s="7"/>
      <c r="EI73" s="45">
        <v>0.99230600000000002</v>
      </c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45">
        <v>0.94856059999999998</v>
      </c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</row>
    <row r="74" spans="2:167" x14ac:dyDescent="0.2">
      <c r="C74" s="6">
        <v>1</v>
      </c>
      <c r="D74" t="s">
        <v>60</v>
      </c>
      <c r="G74" s="14">
        <f>AVERAGE(G71:G73)</f>
        <v>0.97876956666666659</v>
      </c>
      <c r="H74" s="7"/>
      <c r="I74" s="7"/>
      <c r="J74" s="7"/>
      <c r="K74" s="63">
        <f>AVERAGE(K71:K73)</f>
        <v>0.99843286666666664</v>
      </c>
      <c r="L74" s="7"/>
      <c r="M74" s="7"/>
      <c r="N74" s="7"/>
      <c r="O74" s="10">
        <v>1.082E-2</v>
      </c>
      <c r="P74" s="7">
        <v>0.75</v>
      </c>
      <c r="Q74" s="7">
        <v>0.25</v>
      </c>
      <c r="R74" s="7">
        <v>0</v>
      </c>
      <c r="S74" s="62">
        <v>0.90983329999999996</v>
      </c>
      <c r="T74" s="10">
        <v>9.0166670000000004E-2</v>
      </c>
      <c r="U74" s="7">
        <v>0</v>
      </c>
      <c r="V74" s="28">
        <v>0.97214080000000003</v>
      </c>
      <c r="W74" s="10">
        <v>2.4666690000000002E-2</v>
      </c>
      <c r="X74" s="10">
        <v>3.1924900000000001E-3</v>
      </c>
      <c r="Y74" s="14">
        <f>AVERAGE(Y71:Y73)</f>
        <v>0.96649363333333327</v>
      </c>
      <c r="Z74" s="7"/>
      <c r="AA74" s="7"/>
      <c r="AB74" s="7"/>
      <c r="AC74" s="10">
        <v>9.5649999999999999E-2</v>
      </c>
      <c r="AD74" s="7">
        <v>0</v>
      </c>
      <c r="AE74" s="7">
        <v>0.5</v>
      </c>
      <c r="AF74" s="7">
        <v>0.5</v>
      </c>
      <c r="AG74" s="7">
        <v>0</v>
      </c>
      <c r="AH74" s="10">
        <v>0.48696669999999997</v>
      </c>
      <c r="AI74" s="10">
        <v>0.51303330000000003</v>
      </c>
      <c r="AJ74" s="10">
        <v>2.1127170000000001E-2</v>
      </c>
      <c r="AK74" s="10">
        <v>0.31782779999999999</v>
      </c>
      <c r="AL74" s="10">
        <v>0.66104499999999999</v>
      </c>
      <c r="AM74" s="14">
        <f>AVERAGE(AM71:AM73)</f>
        <v>0.97677423333333324</v>
      </c>
      <c r="AN74" s="7"/>
      <c r="AO74" s="7"/>
      <c r="AP74" s="17"/>
      <c r="AQ74" s="38">
        <f>AVERAGE(AQ71:AQ73)</f>
        <v>0.99843286666666664</v>
      </c>
      <c r="AR74" s="7"/>
      <c r="AS74" s="7"/>
      <c r="AT74" s="7"/>
      <c r="AU74" s="10">
        <v>1.0970000000000001E-2</v>
      </c>
      <c r="AV74" s="7">
        <v>0.75</v>
      </c>
      <c r="AW74" s="7">
        <v>0.25</v>
      </c>
      <c r="AX74" s="7">
        <v>0</v>
      </c>
      <c r="AY74" s="28">
        <v>0.96153330000000004</v>
      </c>
      <c r="AZ74" s="10">
        <v>3.8466670000000001E-2</v>
      </c>
      <c r="BA74" s="7">
        <v>0</v>
      </c>
      <c r="BB74" s="28">
        <v>0.97615050000000003</v>
      </c>
      <c r="BC74" s="10">
        <v>2.0404039999999998E-2</v>
      </c>
      <c r="BD74" s="10">
        <v>3.4454799999999999E-3</v>
      </c>
      <c r="BE74" s="14">
        <f>AVERAGE(BE71:BE73)</f>
        <v>0.98803543333333332</v>
      </c>
      <c r="BF74" s="7"/>
      <c r="BG74" s="7"/>
      <c r="BH74" s="7"/>
      <c r="BI74" s="10">
        <v>4.4130000000000003E-2</v>
      </c>
      <c r="BJ74" s="7">
        <v>0.25</v>
      </c>
      <c r="BK74" s="7">
        <v>0.75</v>
      </c>
      <c r="BL74" s="7">
        <v>0</v>
      </c>
      <c r="BM74" s="10">
        <v>0.1569333</v>
      </c>
      <c r="BN74" s="10">
        <v>0.84306669999999995</v>
      </c>
      <c r="BO74" s="7">
        <v>0</v>
      </c>
      <c r="BP74" s="10">
        <v>0.3910671</v>
      </c>
      <c r="BQ74" s="10">
        <v>0.60180389999999995</v>
      </c>
      <c r="BR74" s="10">
        <v>7.129013E-3</v>
      </c>
      <c r="BS74" s="14">
        <f>AVERAGE(BS71:BS73)</f>
        <v>0.97852986666666675</v>
      </c>
      <c r="BT74" s="7"/>
      <c r="BU74" s="7"/>
      <c r="BV74" s="7"/>
      <c r="BW74" s="19">
        <f>AVERAGE(BW71:BW73)</f>
        <v>0.99843286666666664</v>
      </c>
      <c r="BX74" s="7"/>
      <c r="BY74" s="7"/>
      <c r="BZ74" s="7"/>
      <c r="CA74" s="10">
        <v>7.0220000000000005E-4</v>
      </c>
      <c r="CB74" s="7">
        <v>0.75</v>
      </c>
      <c r="CC74" s="7">
        <v>0.25</v>
      </c>
      <c r="CD74" s="7">
        <v>0</v>
      </c>
      <c r="CE74" s="28">
        <v>0.96419999999999995</v>
      </c>
      <c r="CF74" s="10">
        <v>3.5799999999999998E-2</v>
      </c>
      <c r="CG74" s="7">
        <v>0</v>
      </c>
      <c r="CH74" s="28">
        <v>0.99811780000000005</v>
      </c>
      <c r="CI74" s="10">
        <v>1.674689E-3</v>
      </c>
      <c r="CJ74" s="10">
        <v>2.0746459999999999E-4</v>
      </c>
      <c r="CK74" s="14">
        <f>AVERAGE(CK71:CK73)</f>
        <v>0.96712286666666669</v>
      </c>
      <c r="CL74" s="7"/>
      <c r="CM74" s="7"/>
      <c r="CN74" s="7"/>
      <c r="CO74" s="10">
        <v>5.008E-2</v>
      </c>
      <c r="CP74" s="7">
        <v>0</v>
      </c>
      <c r="CQ74" s="7">
        <v>0.5</v>
      </c>
      <c r="CR74" s="7">
        <v>0.5</v>
      </c>
      <c r="CS74" s="7">
        <v>0</v>
      </c>
      <c r="CT74" s="10">
        <v>0.48896669999999998</v>
      </c>
      <c r="CU74" s="10">
        <v>0.51103330000000002</v>
      </c>
      <c r="CV74" s="10">
        <v>9.9379910000000002E-3</v>
      </c>
      <c r="CW74" s="10">
        <v>0.33563789999999999</v>
      </c>
      <c r="CX74" s="10">
        <v>0.65442420000000001</v>
      </c>
      <c r="CY74" s="14">
        <f>AVERAGE(CY71:CY73)</f>
        <v>0.97749226666666666</v>
      </c>
      <c r="CZ74" s="7"/>
      <c r="DA74" s="7"/>
      <c r="DB74" s="7"/>
      <c r="DC74" s="19">
        <f>AVERAGE(DC71:DC73)</f>
        <v>0.99843286666666664</v>
      </c>
      <c r="DD74" s="7"/>
      <c r="DE74" s="7"/>
      <c r="DF74" s="7"/>
      <c r="DG74" s="10">
        <v>1.944E-3</v>
      </c>
      <c r="DH74" s="7">
        <v>0.75</v>
      </c>
      <c r="DI74" s="7">
        <v>0.25</v>
      </c>
      <c r="DJ74" s="7">
        <v>0</v>
      </c>
      <c r="DK74" s="28">
        <v>0.96303329999999998</v>
      </c>
      <c r="DL74" s="10">
        <v>3.696667E-2</v>
      </c>
      <c r="DM74" s="7">
        <v>0</v>
      </c>
      <c r="DN74" s="28">
        <v>0.99530470000000004</v>
      </c>
      <c r="DO74" s="10">
        <v>4.1009640000000003E-3</v>
      </c>
      <c r="DP74" s="10">
        <v>5.9438350000000004E-4</v>
      </c>
      <c r="DQ74" s="14">
        <f>AVERAGE(DQ71:DQ73)</f>
        <v>0.96429133333333328</v>
      </c>
      <c r="DR74" s="7"/>
      <c r="DS74" s="7"/>
      <c r="DT74" s="7"/>
      <c r="DU74" s="10">
        <v>8.5220000000000004E-2</v>
      </c>
      <c r="DV74" s="7">
        <v>0</v>
      </c>
      <c r="DW74" s="7">
        <v>0.5</v>
      </c>
      <c r="DX74" s="7">
        <v>0.5</v>
      </c>
      <c r="DY74" s="7">
        <v>0</v>
      </c>
      <c r="DZ74" s="10">
        <v>0.48793330000000001</v>
      </c>
      <c r="EA74" s="10">
        <v>0.51206669999999999</v>
      </c>
      <c r="EB74" s="10">
        <v>1.980204E-2</v>
      </c>
      <c r="EC74" s="10">
        <v>0.26547320000000002</v>
      </c>
      <c r="ED74" s="10">
        <v>0.71472480000000005</v>
      </c>
      <c r="EE74" s="14">
        <f>AVERAGE(EE71:EE73)</f>
        <v>0.95929410000000004</v>
      </c>
      <c r="EF74" s="7"/>
      <c r="EG74" s="7"/>
      <c r="EH74" s="7"/>
      <c r="EI74" s="14">
        <f>AVERAGE(EI71:EI73)</f>
        <v>0.97848639999999998</v>
      </c>
      <c r="EJ74" s="7"/>
      <c r="EK74" s="7"/>
      <c r="EL74" s="7"/>
      <c r="EM74" s="10">
        <v>0.26150000000000001</v>
      </c>
      <c r="EN74" s="7">
        <v>0.5</v>
      </c>
      <c r="EO74" s="7">
        <v>0.5</v>
      </c>
      <c r="EP74" s="7">
        <v>0</v>
      </c>
      <c r="EQ74" s="10">
        <v>0.70330000000000004</v>
      </c>
      <c r="ER74" s="10">
        <v>0.29670000000000002</v>
      </c>
      <c r="ES74" s="7">
        <v>0</v>
      </c>
      <c r="ET74" s="10">
        <v>0.7068217</v>
      </c>
      <c r="EU74" s="10">
        <v>0.20412669999999999</v>
      </c>
      <c r="EV74" s="10">
        <v>8.905159E-2</v>
      </c>
      <c r="EW74" s="14">
        <f>AVERAGE(EW71:EW73)</f>
        <v>0.94903253333333326</v>
      </c>
      <c r="EX74" s="7"/>
      <c r="EY74" s="7"/>
      <c r="EZ74" s="7"/>
      <c r="FA74" s="10">
        <v>6.3350000000000004E-2</v>
      </c>
      <c r="FB74" s="7">
        <v>0</v>
      </c>
      <c r="FC74" s="7">
        <v>0.5</v>
      </c>
      <c r="FD74" s="7">
        <v>0.5</v>
      </c>
      <c r="FE74" s="10">
        <v>0</v>
      </c>
      <c r="FF74" s="10">
        <v>0.67069999999999996</v>
      </c>
      <c r="FG74" s="10">
        <v>0.32929999999999998</v>
      </c>
      <c r="FH74" s="10">
        <v>1.1544799999999999E-2</v>
      </c>
      <c r="FI74" s="10">
        <v>0.45899410000000002</v>
      </c>
      <c r="FJ74" s="10">
        <v>0.52946099999999996</v>
      </c>
    </row>
    <row r="75" spans="2:167" x14ac:dyDescent="0.2">
      <c r="C75" s="6">
        <v>1</v>
      </c>
      <c r="D75" t="s">
        <v>43</v>
      </c>
      <c r="G75" s="45">
        <v>0.9829</v>
      </c>
      <c r="H75" s="10">
        <v>0.98700239999999995</v>
      </c>
      <c r="I75" s="10">
        <v>0.99427169999999998</v>
      </c>
      <c r="J75" s="10">
        <v>0.9906237</v>
      </c>
      <c r="K75" s="45">
        <v>0.97209999999999996</v>
      </c>
      <c r="L75" s="10">
        <v>0.97134900000000002</v>
      </c>
      <c r="M75" s="10">
        <v>0.99877249999999995</v>
      </c>
      <c r="N75" s="10">
        <v>0.98486989999999996</v>
      </c>
      <c r="O75" s="7" t="s">
        <v>24</v>
      </c>
      <c r="P75" s="10">
        <v>0</v>
      </c>
      <c r="Q75" s="10">
        <v>0.5</v>
      </c>
      <c r="R75" s="10">
        <v>0.5</v>
      </c>
      <c r="S75" s="10">
        <v>0</v>
      </c>
      <c r="T75" s="10">
        <v>0.45579999999999998</v>
      </c>
      <c r="U75" s="10">
        <v>0.54420000000000002</v>
      </c>
      <c r="V75" s="7" t="s">
        <v>24</v>
      </c>
      <c r="W75" s="7" t="s">
        <v>24</v>
      </c>
      <c r="X75" s="7" t="s">
        <v>24</v>
      </c>
      <c r="Y75" s="81">
        <v>0.99350000000000005</v>
      </c>
      <c r="Z75" s="10">
        <v>0.99349200000000004</v>
      </c>
      <c r="AA75" s="10">
        <v>0.99938629999999995</v>
      </c>
      <c r="AB75" s="10">
        <v>0.99643040000000005</v>
      </c>
      <c r="AC75" s="7" t="s">
        <v>24</v>
      </c>
      <c r="AD75" s="10">
        <v>0.5</v>
      </c>
      <c r="AE75" s="10">
        <v>0.5</v>
      </c>
      <c r="AF75" s="10">
        <v>0</v>
      </c>
      <c r="AG75" s="10">
        <v>0.53986670000000003</v>
      </c>
      <c r="AH75" s="10">
        <v>0.46013330000000002</v>
      </c>
      <c r="AI75" s="10">
        <v>0</v>
      </c>
      <c r="AJ75" s="7" t="s">
        <v>24</v>
      </c>
      <c r="AK75" s="7" t="s">
        <v>24</v>
      </c>
      <c r="AL75" s="7" t="s">
        <v>24</v>
      </c>
      <c r="AM75" s="45">
        <v>0.98250000000000004</v>
      </c>
      <c r="AN75" s="10">
        <v>0.98463400000000001</v>
      </c>
      <c r="AO75" s="10">
        <v>0.99631749999999997</v>
      </c>
      <c r="AP75" s="10">
        <v>0.99044129999999997</v>
      </c>
      <c r="AQ75" s="10">
        <v>0.91039999999999999</v>
      </c>
      <c r="AR75" s="10">
        <v>0.91041159999999999</v>
      </c>
      <c r="AS75" s="10">
        <v>1</v>
      </c>
      <c r="AT75" s="10">
        <v>0.95310519999999999</v>
      </c>
      <c r="AU75" s="7" t="s">
        <v>24</v>
      </c>
      <c r="AV75" s="10">
        <v>0</v>
      </c>
      <c r="AW75" s="10">
        <v>0.5</v>
      </c>
      <c r="AX75" s="10">
        <v>0.5</v>
      </c>
      <c r="AY75" s="10">
        <v>0</v>
      </c>
      <c r="AZ75" s="10">
        <v>0.15976670000000001</v>
      </c>
      <c r="BA75" s="10">
        <v>0.84023329999999996</v>
      </c>
      <c r="BB75" s="7" t="s">
        <v>24</v>
      </c>
      <c r="BC75" s="7" t="s">
        <v>24</v>
      </c>
      <c r="BD75" s="7" t="s">
        <v>24</v>
      </c>
      <c r="BE75" s="10">
        <v>0.91039999999999999</v>
      </c>
      <c r="BF75" s="10">
        <v>0.91041159999999999</v>
      </c>
      <c r="BG75" s="7">
        <v>1</v>
      </c>
      <c r="BH75" s="10">
        <v>0.95310519999999999</v>
      </c>
      <c r="BI75" s="7" t="s">
        <v>24</v>
      </c>
      <c r="BJ75" s="10">
        <v>0</v>
      </c>
      <c r="BK75" s="7">
        <v>0.5</v>
      </c>
      <c r="BL75" s="10">
        <v>0.5</v>
      </c>
      <c r="BM75" s="7">
        <v>0</v>
      </c>
      <c r="BN75" s="10">
        <v>0.1569333</v>
      </c>
      <c r="BO75" s="10">
        <v>0.84306669999999995</v>
      </c>
      <c r="BP75" s="7" t="s">
        <v>24</v>
      </c>
      <c r="BQ75" s="7" t="s">
        <v>24</v>
      </c>
      <c r="BR75" s="7" t="s">
        <v>24</v>
      </c>
      <c r="BS75" s="45">
        <v>0.9829</v>
      </c>
      <c r="BT75" s="10">
        <v>0.98581850000000004</v>
      </c>
      <c r="BU75" s="10">
        <v>0.99549920000000003</v>
      </c>
      <c r="BV75" s="10">
        <v>0.99063520000000005</v>
      </c>
      <c r="BW75" s="45">
        <v>0.91039999999999999</v>
      </c>
      <c r="BX75" s="10">
        <v>0.91041159999999999</v>
      </c>
      <c r="BY75" s="10">
        <v>1</v>
      </c>
      <c r="BZ75" s="10">
        <v>0.95310519999999999</v>
      </c>
      <c r="CA75" s="7" t="s">
        <v>24</v>
      </c>
      <c r="CB75" s="10">
        <v>0</v>
      </c>
      <c r="CC75" s="10">
        <v>0.5</v>
      </c>
      <c r="CD75" s="10">
        <v>0.5</v>
      </c>
      <c r="CE75" s="10">
        <v>0</v>
      </c>
      <c r="CF75" s="10">
        <v>0.15746669999999999</v>
      </c>
      <c r="CG75" s="10">
        <v>0.84253330000000004</v>
      </c>
      <c r="CH75" s="7" t="s">
        <v>24</v>
      </c>
      <c r="CI75" s="7" t="s">
        <v>24</v>
      </c>
      <c r="CJ75" s="7" t="s">
        <v>24</v>
      </c>
      <c r="CK75" s="50">
        <v>0.98360000000000003</v>
      </c>
      <c r="CL75" s="10">
        <v>0.9872107</v>
      </c>
      <c r="CM75" s="10">
        <v>0.99488540000000003</v>
      </c>
      <c r="CN75" s="10">
        <v>0.99103319999999995</v>
      </c>
      <c r="CO75" s="7" t="s">
        <v>24</v>
      </c>
      <c r="CP75" s="10">
        <v>0</v>
      </c>
      <c r="CQ75" s="50">
        <v>1</v>
      </c>
      <c r="CR75" s="10">
        <v>0</v>
      </c>
      <c r="CS75" s="10">
        <v>0</v>
      </c>
      <c r="CT75" s="50">
        <v>1</v>
      </c>
      <c r="CU75" s="10">
        <v>0</v>
      </c>
      <c r="CV75" s="7" t="s">
        <v>24</v>
      </c>
      <c r="CW75" s="7" t="s">
        <v>24</v>
      </c>
      <c r="CX75" s="7" t="s">
        <v>24</v>
      </c>
      <c r="CY75" s="45">
        <v>0.9829</v>
      </c>
      <c r="CZ75" s="10">
        <v>0.98542510000000005</v>
      </c>
      <c r="DA75" s="10">
        <v>0.99590829999999997</v>
      </c>
      <c r="DB75" s="10">
        <v>0.99063900000000005</v>
      </c>
      <c r="DC75" s="45">
        <v>0.91120000000000001</v>
      </c>
      <c r="DD75" s="10">
        <v>0.91109040100000005</v>
      </c>
      <c r="DE75" s="10">
        <v>1</v>
      </c>
      <c r="DF75" s="10">
        <v>0.95347703100000003</v>
      </c>
      <c r="DG75" s="7" t="s">
        <v>24</v>
      </c>
      <c r="DH75" s="10">
        <v>0</v>
      </c>
      <c r="DI75" s="10">
        <v>0.5</v>
      </c>
      <c r="DJ75" s="10">
        <v>0.5</v>
      </c>
      <c r="DK75" s="10">
        <v>0</v>
      </c>
      <c r="DL75" s="10">
        <v>0.15579999999999999</v>
      </c>
      <c r="DM75" s="10">
        <v>0.84419999999999995</v>
      </c>
      <c r="DN75" s="7" t="s">
        <v>24</v>
      </c>
      <c r="DO75" s="7" t="s">
        <v>24</v>
      </c>
      <c r="DP75" s="7" t="s">
        <v>24</v>
      </c>
      <c r="DQ75" s="56">
        <v>0.98319999999999996</v>
      </c>
      <c r="DR75" s="10">
        <v>0.98602109999999998</v>
      </c>
      <c r="DS75" s="10">
        <v>0.99570380000000003</v>
      </c>
      <c r="DT75" s="10">
        <v>0.95150120000000005</v>
      </c>
      <c r="DU75" s="7" t="s">
        <v>24</v>
      </c>
      <c r="DV75" s="10">
        <v>0</v>
      </c>
      <c r="DW75" s="50">
        <v>1</v>
      </c>
      <c r="DX75" s="10">
        <v>0</v>
      </c>
      <c r="DY75" s="10">
        <v>0</v>
      </c>
      <c r="DZ75" s="50">
        <v>1</v>
      </c>
      <c r="EA75" s="10">
        <v>0</v>
      </c>
      <c r="EB75" s="7" t="s">
        <v>24</v>
      </c>
      <c r="EC75" s="7" t="s">
        <v>24</v>
      </c>
      <c r="ED75" s="7" t="s">
        <v>24</v>
      </c>
      <c r="EE75" s="45">
        <v>0.97060000000000002</v>
      </c>
      <c r="EF75" s="10">
        <v>0.98904049999999999</v>
      </c>
      <c r="EG75" s="10">
        <v>0.97851880000000002</v>
      </c>
      <c r="EH75" s="10">
        <v>0.9837515</v>
      </c>
      <c r="EI75" s="45">
        <v>0.92679999999999996</v>
      </c>
      <c r="EJ75" s="7"/>
      <c r="EK75" s="7"/>
      <c r="EL75" s="7"/>
      <c r="EM75" s="7" t="s">
        <v>24</v>
      </c>
      <c r="EN75" s="7">
        <v>0</v>
      </c>
      <c r="EO75" s="7">
        <v>0.5</v>
      </c>
      <c r="EP75" s="7">
        <v>0.5</v>
      </c>
      <c r="EQ75" s="7">
        <v>0</v>
      </c>
      <c r="ER75" s="10">
        <v>0.15540000000000001</v>
      </c>
      <c r="ES75" s="10">
        <v>0.84460000000000002</v>
      </c>
      <c r="ET75" s="7" t="s">
        <v>24</v>
      </c>
      <c r="EU75" s="7" t="s">
        <v>24</v>
      </c>
      <c r="EV75" s="7" t="s">
        <v>24</v>
      </c>
      <c r="EW75" s="56">
        <v>0.97499999999999998</v>
      </c>
      <c r="EX75" s="7"/>
      <c r="EY75" s="7"/>
      <c r="EZ75" s="7"/>
      <c r="FA75" s="7" t="s">
        <v>24</v>
      </c>
      <c r="FB75" s="7">
        <v>0</v>
      </c>
      <c r="FC75" s="32">
        <v>1</v>
      </c>
      <c r="FD75" s="7">
        <v>0</v>
      </c>
      <c r="FE75" s="7">
        <v>0</v>
      </c>
      <c r="FF75" s="31">
        <v>1</v>
      </c>
      <c r="FG75" s="7">
        <v>0</v>
      </c>
      <c r="FH75" s="7" t="s">
        <v>24</v>
      </c>
      <c r="FI75" s="7" t="s">
        <v>24</v>
      </c>
      <c r="FJ75" s="7" t="s">
        <v>24</v>
      </c>
    </row>
    <row r="76" spans="2:167" x14ac:dyDescent="0.2">
      <c r="C76" s="6"/>
      <c r="G76" s="14"/>
      <c r="H76" s="7"/>
      <c r="I76" s="7"/>
      <c r="J76" s="7"/>
      <c r="K76" s="1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14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"/>
      <c r="AN76" s="7"/>
      <c r="AO76" s="7"/>
      <c r="AP76" s="1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14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14"/>
      <c r="BT76" s="7"/>
      <c r="BU76" s="7"/>
      <c r="BV76" s="7"/>
      <c r="BW76" s="14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14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14"/>
      <c r="CZ76" s="7"/>
      <c r="DA76" s="7"/>
      <c r="DB76" s="7"/>
      <c r="DC76" s="14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14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14"/>
      <c r="EF76" s="7"/>
      <c r="EG76" s="7"/>
      <c r="EH76" s="7"/>
      <c r="EI76" s="14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14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</row>
    <row r="77" spans="2:167" x14ac:dyDescent="0.2">
      <c r="C77" s="6">
        <v>2</v>
      </c>
      <c r="D77" t="s">
        <v>40</v>
      </c>
      <c r="G77" s="45">
        <v>0.97486229999999996</v>
      </c>
      <c r="H77" s="7"/>
      <c r="I77" s="7"/>
      <c r="J77" s="7"/>
      <c r="K77" s="45">
        <v>0.98501190000000005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45">
        <v>0.97950820000000005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45">
        <v>0.97796930000000004</v>
      </c>
      <c r="AN77" s="7"/>
      <c r="AO77" s="7"/>
      <c r="AP77" s="17"/>
      <c r="AQ77" s="10">
        <v>0.98354660000000005</v>
      </c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10">
        <v>0.97951869999999996</v>
      </c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45">
        <v>0.97773520000000003</v>
      </c>
      <c r="BT77" s="7"/>
      <c r="BU77" s="7"/>
      <c r="BV77" s="7"/>
      <c r="BW77" s="45">
        <v>0.98373239999999995</v>
      </c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10">
        <v>0.98580219999999996</v>
      </c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45">
        <v>0.97940609999999995</v>
      </c>
      <c r="CZ77" s="7"/>
      <c r="DA77" s="7"/>
      <c r="DB77" s="7"/>
      <c r="DC77" s="45">
        <v>0.98354960000000002</v>
      </c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45">
        <v>0.98054280000000005</v>
      </c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45">
        <v>0.96072800000000003</v>
      </c>
      <c r="EF77" s="7"/>
      <c r="EG77" s="7"/>
      <c r="EH77" s="7"/>
      <c r="EI77" s="45">
        <v>0.95118829999999999</v>
      </c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45">
        <v>0.95137110000000003</v>
      </c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</row>
    <row r="78" spans="2:167" x14ac:dyDescent="0.2">
      <c r="C78" s="6">
        <v>2</v>
      </c>
      <c r="D78" t="s">
        <v>41</v>
      </c>
      <c r="G78" s="45">
        <v>0.98156129999999997</v>
      </c>
      <c r="H78" s="7"/>
      <c r="I78" s="7"/>
      <c r="J78" s="7"/>
      <c r="K78" s="45">
        <v>0.98446069999999997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45">
        <v>0.97695849999999995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45">
        <v>0.98012449999999995</v>
      </c>
      <c r="AN78" s="7"/>
      <c r="AO78" s="7"/>
      <c r="AP78" s="17"/>
      <c r="AQ78" s="10">
        <v>0.98519469999999998</v>
      </c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10">
        <v>0.98155740000000002</v>
      </c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45">
        <v>0.97964560000000001</v>
      </c>
      <c r="BT78" s="7"/>
      <c r="BU78" s="7"/>
      <c r="BV78" s="7"/>
      <c r="BW78" s="45">
        <v>0.98574039999999996</v>
      </c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10">
        <v>0.98532889999999995</v>
      </c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45">
        <v>0.97677760000000002</v>
      </c>
      <c r="CZ78" s="7"/>
      <c r="DA78" s="7"/>
      <c r="DB78" s="7"/>
      <c r="DC78" s="45">
        <v>0.98171850000000005</v>
      </c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45">
        <v>0.97950820000000005</v>
      </c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45">
        <v>0.96337079999999997</v>
      </c>
      <c r="EF78" s="7"/>
      <c r="EG78" s="7"/>
      <c r="EH78" s="7"/>
      <c r="EI78" s="45">
        <v>0.95339059999999998</v>
      </c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45">
        <v>0.95704619999999996</v>
      </c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</row>
    <row r="79" spans="2:167" x14ac:dyDescent="0.2">
      <c r="C79" s="6">
        <v>2</v>
      </c>
      <c r="D79" t="s">
        <v>42</v>
      </c>
      <c r="G79" s="45">
        <v>0.97988509999999995</v>
      </c>
      <c r="H79" s="7"/>
      <c r="I79" s="7"/>
      <c r="J79" s="7"/>
      <c r="K79" s="45">
        <v>0.98464629999999997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45">
        <v>0.97950820000000005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45">
        <v>0.97222889999999995</v>
      </c>
      <c r="AN79" s="7"/>
      <c r="AO79" s="7"/>
      <c r="AP79" s="17"/>
      <c r="AQ79" s="10">
        <v>0.98245289999999996</v>
      </c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10">
        <v>0.97899590000000003</v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45">
        <v>0.97820879999999999</v>
      </c>
      <c r="BT79" s="7"/>
      <c r="BU79" s="7"/>
      <c r="BV79" s="7"/>
      <c r="BW79" s="45">
        <v>0.98190460000000002</v>
      </c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10">
        <v>0.98579550000000005</v>
      </c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45">
        <v>0.97629310000000002</v>
      </c>
      <c r="CZ79" s="7"/>
      <c r="DA79" s="7"/>
      <c r="DB79" s="7"/>
      <c r="DC79" s="45">
        <v>0.98464629999999997</v>
      </c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45">
        <v>0.98002049999999996</v>
      </c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45">
        <v>0.95378350000000001</v>
      </c>
      <c r="EF79" s="7"/>
      <c r="EG79" s="7"/>
      <c r="EH79" s="7"/>
      <c r="EI79" s="45">
        <v>0.95558399999999999</v>
      </c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45">
        <v>0.95302500000000001</v>
      </c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</row>
    <row r="80" spans="2:167" x14ac:dyDescent="0.2">
      <c r="C80" s="6">
        <v>2</v>
      </c>
      <c r="D80" t="s">
        <v>49</v>
      </c>
      <c r="G80" s="14">
        <f>AVERAGE(G77:G79)</f>
        <v>0.97876956666666659</v>
      </c>
      <c r="H80" s="7"/>
      <c r="I80" s="7"/>
      <c r="J80" s="7"/>
      <c r="K80" s="66">
        <v>0.98470630000000003</v>
      </c>
      <c r="L80" s="7"/>
      <c r="M80" s="7"/>
      <c r="N80" s="7"/>
      <c r="O80" s="10">
        <v>9.0880000000000002E-2</v>
      </c>
      <c r="P80" s="7">
        <v>0</v>
      </c>
      <c r="Q80" s="32">
        <v>1</v>
      </c>
      <c r="R80" s="7">
        <v>0</v>
      </c>
      <c r="S80" s="7">
        <v>0</v>
      </c>
      <c r="T80" s="32">
        <v>1</v>
      </c>
      <c r="U80" s="7">
        <v>0</v>
      </c>
      <c r="V80" s="10">
        <v>0.1044057</v>
      </c>
      <c r="W80" s="10">
        <v>0.88615809999999995</v>
      </c>
      <c r="X80" s="10">
        <v>9.4361919999999995E-3</v>
      </c>
      <c r="Y80" s="66">
        <f>AVERAGE(Y77:Y79)</f>
        <v>0.97865830000000009</v>
      </c>
      <c r="Z80" s="7"/>
      <c r="AA80" s="7"/>
      <c r="AB80" s="7"/>
      <c r="AC80" s="10">
        <v>0.97060000000000002</v>
      </c>
      <c r="AD80" s="7">
        <v>0</v>
      </c>
      <c r="AE80" s="32">
        <v>1</v>
      </c>
      <c r="AF80" s="7">
        <v>0</v>
      </c>
      <c r="AG80" s="7">
        <v>0</v>
      </c>
      <c r="AH80" s="31">
        <v>1</v>
      </c>
      <c r="AI80" s="7">
        <v>0</v>
      </c>
      <c r="AJ80" s="10">
        <v>4.0952479999999999E-2</v>
      </c>
      <c r="AK80" s="10">
        <v>0.91646269999999996</v>
      </c>
      <c r="AL80" s="10">
        <v>4.2584810000000001E-2</v>
      </c>
      <c r="AM80" s="14">
        <f>AVERAGE(AM77:AM79)</f>
        <v>0.97677423333333324</v>
      </c>
      <c r="AN80" s="7"/>
      <c r="AO80" s="7"/>
      <c r="AP80" s="17"/>
      <c r="AQ80" s="66">
        <f>AVERAGE(AQ77:AQ79)</f>
        <v>0.98373139999999992</v>
      </c>
      <c r="AR80" s="7"/>
      <c r="AS80" s="7"/>
      <c r="AT80" s="7"/>
      <c r="AU80" s="10">
        <v>5.1330000000000001E-2</v>
      </c>
      <c r="AV80" s="7">
        <v>0.25</v>
      </c>
      <c r="AW80" s="7">
        <v>0.75</v>
      </c>
      <c r="AX80" s="7">
        <v>0</v>
      </c>
      <c r="AY80" s="10">
        <v>4.58E-2</v>
      </c>
      <c r="AZ80" s="50">
        <v>0.95420000000000005</v>
      </c>
      <c r="BA80" s="7">
        <v>0</v>
      </c>
      <c r="BB80" s="10">
        <v>0.1246681</v>
      </c>
      <c r="BC80" s="50">
        <v>0.8692105</v>
      </c>
      <c r="BD80" s="50">
        <v>6.1214850000000003E-3</v>
      </c>
      <c r="BE80" s="36">
        <f>AVERAGE(BE77:BE79)</f>
        <v>0.98002400000000012</v>
      </c>
      <c r="BF80" s="7"/>
      <c r="BG80" s="7"/>
      <c r="BH80" s="7"/>
      <c r="BI80" s="10">
        <v>0.69210000000000005</v>
      </c>
      <c r="BJ80" s="7">
        <v>0</v>
      </c>
      <c r="BK80" s="32">
        <v>1</v>
      </c>
      <c r="BL80" s="7">
        <v>0</v>
      </c>
      <c r="BM80" s="7">
        <v>0</v>
      </c>
      <c r="BN80" s="32">
        <v>1</v>
      </c>
      <c r="BO80" s="7">
        <v>0</v>
      </c>
      <c r="BP80" s="10">
        <v>5.4894800000000001E-2</v>
      </c>
      <c r="BQ80" s="10">
        <v>0.90971800000000003</v>
      </c>
      <c r="BR80" s="10">
        <v>3.5387189999999999E-2</v>
      </c>
      <c r="BS80" s="14">
        <f>AVERAGE(BS77:BS79)</f>
        <v>0.97852986666666675</v>
      </c>
      <c r="BT80" s="7"/>
      <c r="BU80" s="7"/>
      <c r="BV80" s="7"/>
      <c r="BW80" s="36">
        <f>AVERAGE(BW77:BW79)</f>
        <v>0.98379246666666675</v>
      </c>
      <c r="BX80" s="7"/>
      <c r="BY80" s="7"/>
      <c r="BZ80" s="7"/>
      <c r="CA80" s="10">
        <v>2.1479999999999999E-2</v>
      </c>
      <c r="CB80" s="7">
        <v>0</v>
      </c>
      <c r="CC80" s="32">
        <v>1</v>
      </c>
      <c r="CD80" s="7">
        <v>0</v>
      </c>
      <c r="CE80" s="7">
        <v>0</v>
      </c>
      <c r="CF80" s="32">
        <v>1</v>
      </c>
      <c r="CG80" s="7">
        <v>0</v>
      </c>
      <c r="CH80" s="10">
        <v>1.7311799999999999E-2</v>
      </c>
      <c r="CI80" s="50">
        <v>0.98093870000000005</v>
      </c>
      <c r="CJ80" s="10">
        <v>1.749467E-3</v>
      </c>
      <c r="CK80" s="66">
        <f>AVERAGE(CK77:CK79)</f>
        <v>0.98564220000000002</v>
      </c>
      <c r="CL80" s="7"/>
      <c r="CM80" s="7"/>
      <c r="CN80" s="7"/>
      <c r="CO80" s="10">
        <v>1.031E-2</v>
      </c>
      <c r="CP80" s="10">
        <v>0</v>
      </c>
      <c r="CQ80" s="50">
        <v>1</v>
      </c>
      <c r="CR80" s="10">
        <v>0</v>
      </c>
      <c r="CS80" s="10">
        <v>0</v>
      </c>
      <c r="CT80" s="50">
        <v>1</v>
      </c>
      <c r="CU80" s="10">
        <v>0</v>
      </c>
      <c r="CV80" s="10">
        <v>3.7631629999999999E-2</v>
      </c>
      <c r="CW80" s="50">
        <v>0.96116670000000004</v>
      </c>
      <c r="CX80" s="10">
        <v>1.201641E-3</v>
      </c>
      <c r="CY80" s="14">
        <f>AVERAGE(CY77:CY79)</f>
        <v>0.97749226666666666</v>
      </c>
      <c r="CZ80" s="7"/>
      <c r="DA80" s="7"/>
      <c r="DB80" s="7"/>
      <c r="DC80" s="66">
        <f>AVERAGE(DC77:DC79)</f>
        <v>0.98330479999999998</v>
      </c>
      <c r="DD80" s="7"/>
      <c r="DE80" s="7"/>
      <c r="DF80" s="7"/>
      <c r="DG80" s="10">
        <v>4.5960000000000001E-2</v>
      </c>
      <c r="DH80" s="7">
        <v>0</v>
      </c>
      <c r="DI80" s="32">
        <v>1</v>
      </c>
      <c r="DJ80" s="7">
        <v>0</v>
      </c>
      <c r="DK80" s="7">
        <v>0</v>
      </c>
      <c r="DL80" s="32">
        <v>1</v>
      </c>
      <c r="DM80" s="7">
        <v>0</v>
      </c>
      <c r="DN80" s="10">
        <v>5.3406910000000002E-2</v>
      </c>
      <c r="DO80" s="67">
        <v>0.94220740000000003</v>
      </c>
      <c r="DP80" s="10">
        <v>4.3856579999999997E-3</v>
      </c>
      <c r="DQ80" s="36">
        <f>AVERAGE(DQ77:DQ79)</f>
        <v>0.98002383333333343</v>
      </c>
      <c r="DR80" s="7"/>
      <c r="DS80" s="7"/>
      <c r="DT80" s="7"/>
      <c r="DU80" s="10">
        <v>7.8509999999999996E-2</v>
      </c>
      <c r="DV80" s="10">
        <v>0</v>
      </c>
      <c r="DW80" s="50">
        <v>1</v>
      </c>
      <c r="DX80" s="10">
        <v>0</v>
      </c>
      <c r="DY80" s="10">
        <v>0</v>
      </c>
      <c r="DZ80" s="50">
        <v>1</v>
      </c>
      <c r="EA80" s="10">
        <v>0</v>
      </c>
      <c r="EB80" s="10">
        <v>6.6679139999999996E-3</v>
      </c>
      <c r="EC80" s="10">
        <v>0.99093290000000001</v>
      </c>
      <c r="ED80" s="10">
        <v>2.3991889999999999E-3</v>
      </c>
      <c r="EE80" s="14">
        <f>AVERAGE(EE77:EE79)</f>
        <v>0.95929410000000004</v>
      </c>
      <c r="EF80" s="7"/>
      <c r="EG80" s="7"/>
      <c r="EH80" s="7"/>
      <c r="EI80" s="66">
        <f>AVERAGE(EI77:EI79)</f>
        <v>0.95338763333333321</v>
      </c>
      <c r="EJ80" s="7"/>
      <c r="EK80" s="7"/>
      <c r="EL80" s="7"/>
      <c r="EM80" s="10">
        <v>0.26519999999999999</v>
      </c>
      <c r="EN80" s="7">
        <v>0</v>
      </c>
      <c r="EO80" s="32">
        <v>1</v>
      </c>
      <c r="EP80" s="7">
        <v>0</v>
      </c>
      <c r="EQ80" s="7">
        <v>0</v>
      </c>
      <c r="ER80" s="32">
        <v>1</v>
      </c>
      <c r="ES80" s="7">
        <v>0</v>
      </c>
      <c r="ET80" s="10">
        <v>3.5094739999999999E-2</v>
      </c>
      <c r="EU80" s="10">
        <v>0.7374482</v>
      </c>
      <c r="EV80" s="10">
        <v>0.2274571</v>
      </c>
      <c r="EW80" s="66">
        <f>AVERAGE(EW77:EW79)</f>
        <v>0.95381410000000011</v>
      </c>
      <c r="EX80" s="7"/>
      <c r="EY80" s="7"/>
      <c r="EZ80" s="7"/>
      <c r="FA80" s="10">
        <v>0.1615</v>
      </c>
      <c r="FB80" s="7">
        <v>0</v>
      </c>
      <c r="FC80" s="32">
        <v>1</v>
      </c>
      <c r="FD80" s="7">
        <v>0</v>
      </c>
      <c r="FE80" s="7">
        <v>0</v>
      </c>
      <c r="FF80" s="32">
        <v>1</v>
      </c>
      <c r="FG80" s="7">
        <v>0</v>
      </c>
      <c r="FH80" s="10">
        <v>1.6755030000000001E-2</v>
      </c>
      <c r="FI80" s="10">
        <v>0.85311530000000002</v>
      </c>
      <c r="FJ80" s="10">
        <v>0.13012969999999999</v>
      </c>
    </row>
    <row r="81" spans="3:166" x14ac:dyDescent="0.2">
      <c r="C81" s="6">
        <v>2</v>
      </c>
      <c r="D81" t="s">
        <v>43</v>
      </c>
      <c r="G81" s="45">
        <v>0.9829</v>
      </c>
      <c r="H81" s="10">
        <v>0.98700239999999995</v>
      </c>
      <c r="I81" s="10">
        <v>0.99427169999999998</v>
      </c>
      <c r="J81" s="10">
        <v>0.9906237</v>
      </c>
      <c r="K81" s="45">
        <v>0.93500000000000005</v>
      </c>
      <c r="L81" s="10">
        <v>0.93335880000000004</v>
      </c>
      <c r="M81" s="10">
        <v>1</v>
      </c>
      <c r="N81" s="10">
        <v>0.96553089999999997</v>
      </c>
      <c r="O81" s="7" t="s">
        <v>24</v>
      </c>
      <c r="P81" s="10">
        <v>0</v>
      </c>
      <c r="Q81" s="10">
        <v>0.5</v>
      </c>
      <c r="R81" s="10">
        <v>0.5</v>
      </c>
      <c r="S81" s="10">
        <v>0</v>
      </c>
      <c r="T81" s="10">
        <v>0.15876670000000001</v>
      </c>
      <c r="U81" s="10">
        <v>0.84123329999999996</v>
      </c>
      <c r="V81" s="7" t="s">
        <v>24</v>
      </c>
      <c r="W81" s="7" t="s">
        <v>24</v>
      </c>
      <c r="X81" s="7" t="s">
        <v>24</v>
      </c>
      <c r="Y81" s="45">
        <v>0.92210000000000003</v>
      </c>
      <c r="Z81" s="10">
        <v>0.92474339999999999</v>
      </c>
      <c r="AA81" s="10">
        <v>0.99549920000000003</v>
      </c>
      <c r="AB81" s="10">
        <v>0.95881769999999999</v>
      </c>
      <c r="AC81" s="7" t="s">
        <v>24</v>
      </c>
      <c r="AD81" s="10">
        <v>0</v>
      </c>
      <c r="AE81" s="10">
        <v>0.5</v>
      </c>
      <c r="AF81" s="10">
        <v>0.5</v>
      </c>
      <c r="AG81" s="10">
        <v>0</v>
      </c>
      <c r="AH81" s="10">
        <v>0.1606667</v>
      </c>
      <c r="AI81" s="10">
        <v>0.83933329999999995</v>
      </c>
      <c r="AJ81" s="7" t="s">
        <v>24</v>
      </c>
      <c r="AK81" s="7" t="s">
        <v>24</v>
      </c>
      <c r="AL81" s="7" t="s">
        <v>24</v>
      </c>
      <c r="AM81" s="45">
        <v>0.98250000000000004</v>
      </c>
      <c r="AN81" s="10">
        <v>0.98463400000000001</v>
      </c>
      <c r="AO81" s="10">
        <v>0.99631749999999997</v>
      </c>
      <c r="AP81" s="10">
        <v>0.99044129999999997</v>
      </c>
      <c r="AQ81" s="10">
        <v>0.92179999999999995</v>
      </c>
      <c r="AR81" s="10">
        <v>0.92179999999999995</v>
      </c>
      <c r="AS81" s="10">
        <v>0.92214660000000004</v>
      </c>
      <c r="AT81" s="10">
        <v>0.99836329999999995</v>
      </c>
      <c r="AU81" s="7" t="s">
        <v>24</v>
      </c>
      <c r="AV81" s="10">
        <v>0</v>
      </c>
      <c r="AW81" s="10">
        <v>0.5</v>
      </c>
      <c r="AX81" s="10">
        <v>0.5</v>
      </c>
      <c r="AY81" s="10">
        <v>0</v>
      </c>
      <c r="AZ81" s="10">
        <v>0.15816669999999999</v>
      </c>
      <c r="BA81" s="10">
        <v>0.84183330000000001</v>
      </c>
      <c r="BB81" s="7" t="s">
        <v>24</v>
      </c>
      <c r="BC81" s="7" t="s">
        <v>24</v>
      </c>
      <c r="BD81" s="7" t="s">
        <v>24</v>
      </c>
      <c r="BE81" s="10">
        <v>0.91320000000000001</v>
      </c>
      <c r="BF81" s="10">
        <v>0.91373503</v>
      </c>
      <c r="BG81" s="10">
        <v>0.99897709000000001</v>
      </c>
      <c r="BH81" s="10">
        <v>0.95445661000000004</v>
      </c>
      <c r="BI81" s="7" t="s">
        <v>24</v>
      </c>
      <c r="BJ81" s="10">
        <v>0</v>
      </c>
      <c r="BK81" s="7">
        <v>0.5</v>
      </c>
      <c r="BL81" s="10">
        <v>0.5</v>
      </c>
      <c r="BM81" s="7">
        <v>0</v>
      </c>
      <c r="BN81" s="10">
        <v>0.1601667</v>
      </c>
      <c r="BO81" s="10">
        <v>0.8398333</v>
      </c>
      <c r="BP81" s="7" t="s">
        <v>24</v>
      </c>
      <c r="BQ81" s="7" t="s">
        <v>24</v>
      </c>
      <c r="BR81" s="7" t="s">
        <v>24</v>
      </c>
      <c r="BS81" s="45">
        <v>0.9829</v>
      </c>
      <c r="BT81" s="10">
        <v>0.98581850000000004</v>
      </c>
      <c r="BU81" s="10">
        <v>0.99549920000000003</v>
      </c>
      <c r="BV81" s="10">
        <v>0.99063520000000005</v>
      </c>
      <c r="BW81" s="45">
        <v>0.92620000000000002</v>
      </c>
      <c r="BX81" s="10">
        <v>0.92764659999999999</v>
      </c>
      <c r="BY81" s="10">
        <v>0.99672669999999997</v>
      </c>
      <c r="BZ81" s="10">
        <v>0.96094670000000004</v>
      </c>
      <c r="CA81" s="7" t="s">
        <v>24</v>
      </c>
      <c r="CB81" s="10">
        <v>0</v>
      </c>
      <c r="CC81" s="10">
        <v>0.5</v>
      </c>
      <c r="CD81" s="10">
        <v>0.5</v>
      </c>
      <c r="CE81" s="10">
        <v>0</v>
      </c>
      <c r="CF81" s="10">
        <v>0.155</v>
      </c>
      <c r="CG81" s="10">
        <v>0.84499999999999997</v>
      </c>
      <c r="CH81" s="7" t="s">
        <v>24</v>
      </c>
      <c r="CI81" s="7" t="s">
        <v>24</v>
      </c>
      <c r="CJ81" s="7" t="s">
        <v>24</v>
      </c>
      <c r="CK81" s="50">
        <v>0.98140000000000005</v>
      </c>
      <c r="CL81" s="10">
        <v>0.98559839999999999</v>
      </c>
      <c r="CM81" s="10">
        <v>0.99406709999999998</v>
      </c>
      <c r="CN81" s="10">
        <v>0.98981459999999999</v>
      </c>
      <c r="CO81" s="7" t="s">
        <v>24</v>
      </c>
      <c r="CP81" s="10">
        <v>0</v>
      </c>
      <c r="CQ81" s="50">
        <v>1</v>
      </c>
      <c r="CR81" s="10">
        <v>0</v>
      </c>
      <c r="CS81" s="10">
        <v>0</v>
      </c>
      <c r="CT81" s="50">
        <v>1</v>
      </c>
      <c r="CU81" s="10">
        <v>0</v>
      </c>
      <c r="CV81" s="7" t="s">
        <v>24</v>
      </c>
      <c r="CW81" s="7" t="s">
        <v>24</v>
      </c>
      <c r="CX81" s="7" t="s">
        <v>24</v>
      </c>
      <c r="CY81" s="45">
        <v>0.9829</v>
      </c>
      <c r="CZ81" s="10">
        <v>0.98542510000000005</v>
      </c>
      <c r="DA81" s="10">
        <v>0.99590829999999997</v>
      </c>
      <c r="DB81" s="10">
        <v>0.99063900000000005</v>
      </c>
      <c r="DC81" s="45">
        <v>0.96199999999999997</v>
      </c>
      <c r="DD81" s="10">
        <v>0.96248029999999996</v>
      </c>
      <c r="DE81" s="10">
        <v>0.99713580000000002</v>
      </c>
      <c r="DF81" s="10">
        <v>0.97950159999999997</v>
      </c>
      <c r="DG81" s="7" t="s">
        <v>24</v>
      </c>
      <c r="DH81" s="10">
        <v>0</v>
      </c>
      <c r="DI81" s="10">
        <v>0.5</v>
      </c>
      <c r="DJ81" s="10">
        <v>0.5</v>
      </c>
      <c r="DK81" s="10">
        <v>0</v>
      </c>
      <c r="DL81" s="10">
        <v>0.15946669999999999</v>
      </c>
      <c r="DM81" s="10">
        <v>0.84053330000000004</v>
      </c>
      <c r="DN81" s="7" t="s">
        <v>24</v>
      </c>
      <c r="DO81" s="7" t="s">
        <v>24</v>
      </c>
      <c r="DP81" s="7" t="s">
        <v>24</v>
      </c>
      <c r="DQ81" s="56">
        <v>0.98099999999999998</v>
      </c>
      <c r="DR81" s="10">
        <v>0.98796899999999999</v>
      </c>
      <c r="DS81" s="10">
        <v>0.9912029</v>
      </c>
      <c r="DT81" s="10">
        <v>0.98958330000000005</v>
      </c>
      <c r="DU81" s="7" t="s">
        <v>24</v>
      </c>
      <c r="DV81" s="10">
        <v>0</v>
      </c>
      <c r="DW81" s="50">
        <v>1</v>
      </c>
      <c r="DX81" s="10">
        <v>0</v>
      </c>
      <c r="DY81" s="10">
        <v>0</v>
      </c>
      <c r="DZ81" s="50">
        <v>1</v>
      </c>
      <c r="EA81" s="10">
        <v>0</v>
      </c>
      <c r="EB81" s="7" t="s">
        <v>24</v>
      </c>
      <c r="EC81" s="7" t="s">
        <v>24</v>
      </c>
      <c r="ED81" s="7" t="s">
        <v>24</v>
      </c>
      <c r="EE81" s="45">
        <v>0.97060000000000002</v>
      </c>
      <c r="EF81" s="10">
        <v>0.98904049999999999</v>
      </c>
      <c r="EG81" s="10">
        <v>0.97851880000000002</v>
      </c>
      <c r="EH81" s="10">
        <v>0.9837515</v>
      </c>
      <c r="EI81" s="45">
        <v>0.95569999999999999</v>
      </c>
      <c r="EJ81" s="10">
        <v>0.98721709999999996</v>
      </c>
      <c r="EK81" s="10">
        <v>0.96378889999999995</v>
      </c>
      <c r="EL81" s="10">
        <v>0.97536230000000002</v>
      </c>
      <c r="EM81" s="7" t="s">
        <v>24</v>
      </c>
      <c r="EN81" s="7">
        <v>0</v>
      </c>
      <c r="EO81" s="7">
        <v>0.5</v>
      </c>
      <c r="EP81" s="7">
        <v>0.5</v>
      </c>
      <c r="EQ81" s="7">
        <v>0</v>
      </c>
      <c r="ER81" s="10">
        <v>0.46016669999999998</v>
      </c>
      <c r="ES81" s="10">
        <v>0.53983329999999996</v>
      </c>
      <c r="ET81" s="7" t="s">
        <v>24</v>
      </c>
      <c r="EU81" s="7" t="s">
        <v>24</v>
      </c>
      <c r="EV81" s="7" t="s">
        <v>24</v>
      </c>
      <c r="EW81" s="45">
        <v>0.95569999999999999</v>
      </c>
      <c r="EX81" s="10">
        <v>0.98721709999999996</v>
      </c>
      <c r="EY81" s="10">
        <v>0.96378889999999995</v>
      </c>
      <c r="EZ81" s="10">
        <v>0.97536230000000002</v>
      </c>
      <c r="FA81" s="7" t="s">
        <v>24</v>
      </c>
      <c r="FB81" s="10">
        <v>0</v>
      </c>
      <c r="FC81" s="10">
        <v>0.5</v>
      </c>
      <c r="FD81" s="10">
        <v>0.5</v>
      </c>
      <c r="FE81" s="10">
        <v>0</v>
      </c>
      <c r="FF81" s="10">
        <v>0.46036670000000002</v>
      </c>
      <c r="FG81" s="10">
        <v>0.53963329999999998</v>
      </c>
      <c r="FH81" s="7" t="s">
        <v>24</v>
      </c>
      <c r="FI81" s="7" t="s">
        <v>24</v>
      </c>
      <c r="FJ81" s="7" t="s">
        <v>24</v>
      </c>
    </row>
    <row r="82" spans="3:166" x14ac:dyDescent="0.2">
      <c r="C82" s="6"/>
      <c r="G82" s="14"/>
      <c r="H82" s="7"/>
      <c r="I82" s="7"/>
      <c r="J82" s="7"/>
      <c r="K82" s="1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14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"/>
      <c r="AN82" s="7"/>
      <c r="AO82" s="7"/>
      <c r="AP82" s="1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14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14"/>
      <c r="BT82" s="7"/>
      <c r="BU82" s="7"/>
      <c r="BV82" s="7"/>
      <c r="BW82" s="14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14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14"/>
      <c r="CZ82" s="7"/>
      <c r="DA82" s="7"/>
      <c r="DB82" s="7"/>
      <c r="DC82" s="14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14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14"/>
      <c r="EF82" s="7"/>
      <c r="EG82" s="7"/>
      <c r="EH82" s="7"/>
      <c r="EI82" s="14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14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</row>
    <row r="83" spans="3:166" x14ac:dyDescent="0.2">
      <c r="C83" s="6">
        <v>3</v>
      </c>
      <c r="D83" t="s">
        <v>40</v>
      </c>
      <c r="G83" s="45">
        <v>0.97486229999999996</v>
      </c>
      <c r="H83" s="7"/>
      <c r="I83" s="7"/>
      <c r="J83" s="7"/>
      <c r="K83" s="45">
        <v>0.92271879999999995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45">
        <v>0.98532200000000003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45">
        <v>0.97796930000000004</v>
      </c>
      <c r="AN83" s="7"/>
      <c r="AO83" s="7"/>
      <c r="AP83" s="17"/>
      <c r="AQ83" s="10">
        <v>0.91627910000000001</v>
      </c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10">
        <v>0.98532200000000003</v>
      </c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45">
        <v>0.97773520000000003</v>
      </c>
      <c r="BT83" s="7"/>
      <c r="BU83" s="7"/>
      <c r="BV83" s="7"/>
      <c r="BW83" s="45">
        <v>0.92186049999999997</v>
      </c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10">
        <v>0.98532889999999995</v>
      </c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45">
        <v>0.97940609999999995</v>
      </c>
      <c r="CZ83" s="7"/>
      <c r="DA83" s="7"/>
      <c r="DB83" s="7"/>
      <c r="DC83" s="45">
        <v>0.91069770000000005</v>
      </c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45">
        <v>0.98768940000000005</v>
      </c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45">
        <v>0.96072800000000003</v>
      </c>
      <c r="EF83" s="7"/>
      <c r="EG83" s="7"/>
      <c r="EH83" s="7"/>
      <c r="EI83" s="45">
        <v>0.86697670000000004</v>
      </c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45">
        <v>0.87906980000000001</v>
      </c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</row>
    <row r="84" spans="3:166" x14ac:dyDescent="0.2">
      <c r="C84" s="6">
        <v>3</v>
      </c>
      <c r="D84" t="s">
        <v>41</v>
      </c>
      <c r="G84" s="45">
        <v>0.98156129999999997</v>
      </c>
      <c r="H84" s="7"/>
      <c r="I84" s="7"/>
      <c r="J84" s="7"/>
      <c r="K84" s="45">
        <v>0.90799260000000004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45">
        <v>0.9848557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45">
        <v>0.98012449999999995</v>
      </c>
      <c r="AN84" s="7"/>
      <c r="AO84" s="7"/>
      <c r="AP84" s="17"/>
      <c r="AQ84" s="10">
        <v>0.92085660000000003</v>
      </c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10">
        <v>0.9848557</v>
      </c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45">
        <v>0.97964560000000001</v>
      </c>
      <c r="BT84" s="7"/>
      <c r="BU84" s="7"/>
      <c r="BV84" s="7"/>
      <c r="BW84" s="45">
        <v>0.89860470000000003</v>
      </c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10">
        <v>0.98532200000000003</v>
      </c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45">
        <v>0.97677760000000002</v>
      </c>
      <c r="CZ84" s="7"/>
      <c r="DA84" s="7"/>
      <c r="DB84" s="7"/>
      <c r="DC84" s="45">
        <v>0.896648</v>
      </c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45">
        <v>0.98580219999999996</v>
      </c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45">
        <v>0.96337079999999997</v>
      </c>
      <c r="EF84" s="7"/>
      <c r="EG84" s="7"/>
      <c r="EH84" s="7"/>
      <c r="EI84" s="45">
        <v>0.87627909999999998</v>
      </c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45">
        <v>0.86139529999999997</v>
      </c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</row>
    <row r="85" spans="3:166" x14ac:dyDescent="0.2">
      <c r="C85" s="6">
        <v>3</v>
      </c>
      <c r="D85" t="s">
        <v>42</v>
      </c>
      <c r="G85" s="45">
        <v>0.97988509999999995</v>
      </c>
      <c r="H85" s="7"/>
      <c r="I85" s="7"/>
      <c r="J85" s="7"/>
      <c r="K85" s="45">
        <v>0.92093020000000003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45">
        <v>0.98201609999999995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45">
        <v>0.97222889999999995</v>
      </c>
      <c r="AN85" s="7"/>
      <c r="AO85" s="7"/>
      <c r="AP85" s="17"/>
      <c r="AQ85" s="10">
        <v>0.92286250000000003</v>
      </c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10">
        <v>0.9848557</v>
      </c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45">
        <v>0.97820879999999999</v>
      </c>
      <c r="BT85" s="7"/>
      <c r="BU85" s="7"/>
      <c r="BV85" s="7"/>
      <c r="BW85" s="45">
        <v>0.91534879999999996</v>
      </c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10">
        <v>0.98580219999999996</v>
      </c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45">
        <v>0.97629310000000002</v>
      </c>
      <c r="CZ85" s="7"/>
      <c r="DA85" s="7"/>
      <c r="DB85" s="7"/>
      <c r="DC85" s="45">
        <v>0.8912639</v>
      </c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45">
        <v>0.98532889999999995</v>
      </c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45">
        <v>0.95378350000000001</v>
      </c>
      <c r="EF85" s="7"/>
      <c r="EG85" s="7"/>
      <c r="EH85" s="7"/>
      <c r="EI85" s="45">
        <v>0.85767439999999995</v>
      </c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45">
        <v>0.86325580000000002</v>
      </c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</row>
    <row r="86" spans="3:166" x14ac:dyDescent="0.2">
      <c r="C86" s="6">
        <v>3</v>
      </c>
      <c r="D86" t="s">
        <v>49</v>
      </c>
      <c r="G86" s="14">
        <f>AVERAGE(G83:G85)</f>
        <v>0.97876956666666659</v>
      </c>
      <c r="H86" s="7"/>
      <c r="I86" s="7"/>
      <c r="J86" s="7"/>
      <c r="K86" s="35">
        <v>0.98470630000000003</v>
      </c>
      <c r="L86" s="7"/>
      <c r="M86" s="7"/>
      <c r="N86" s="7"/>
      <c r="O86" s="10">
        <v>7.4949999999999999E-3</v>
      </c>
      <c r="P86" s="7">
        <v>0</v>
      </c>
      <c r="Q86" s="7">
        <v>0.25</v>
      </c>
      <c r="R86" s="7">
        <v>0.75</v>
      </c>
      <c r="S86" s="7">
        <v>0</v>
      </c>
      <c r="T86" s="10">
        <v>8.3333330000000001E-3</v>
      </c>
      <c r="U86" s="49">
        <v>0.99166670000000001</v>
      </c>
      <c r="V86" s="10">
        <v>0.1044057</v>
      </c>
      <c r="W86" s="10">
        <v>0.88615809999999995</v>
      </c>
      <c r="X86" s="10">
        <v>9.4361919999999995E-3</v>
      </c>
      <c r="Y86" s="36">
        <f>AVERAGE(Y83:Y85)</f>
        <v>0.98406459999999996</v>
      </c>
      <c r="Z86" s="7"/>
      <c r="AA86" s="7"/>
      <c r="AB86" s="7"/>
      <c r="AC86" s="10">
        <v>0.17899999999999999</v>
      </c>
      <c r="AD86" s="7">
        <v>0.25</v>
      </c>
      <c r="AE86" s="7">
        <v>0.75</v>
      </c>
      <c r="AF86" s="7">
        <v>0</v>
      </c>
      <c r="AG86" s="10">
        <v>4.5900000000000003E-2</v>
      </c>
      <c r="AH86" s="50">
        <v>0.95409999999999995</v>
      </c>
      <c r="AI86" s="7">
        <v>0</v>
      </c>
      <c r="AJ86" s="10">
        <v>0.1290559</v>
      </c>
      <c r="AK86" s="10">
        <v>0.85267219999999999</v>
      </c>
      <c r="AL86" s="10">
        <v>1.8271869999999999E-2</v>
      </c>
      <c r="AM86" s="14">
        <f>AVERAGE(AM83:AM85)</f>
        <v>0.97677423333333324</v>
      </c>
      <c r="AN86" s="7"/>
      <c r="AO86" s="7"/>
      <c r="AP86" s="17"/>
      <c r="AQ86" s="14">
        <f>AVERAGE(AQ83:AQ85)</f>
        <v>0.91999940000000002</v>
      </c>
      <c r="AR86" s="7"/>
      <c r="AS86" s="7"/>
      <c r="AT86" s="7"/>
      <c r="AU86" s="10">
        <v>2.7590000000000002E-3</v>
      </c>
      <c r="AV86" s="7">
        <v>0</v>
      </c>
      <c r="AW86" s="7">
        <v>0.25</v>
      </c>
      <c r="AX86" s="7">
        <v>0.75</v>
      </c>
      <c r="AY86" s="7">
        <v>0</v>
      </c>
      <c r="AZ86" s="10">
        <v>8.9999999999999993E-3</v>
      </c>
      <c r="BA86" s="49">
        <v>0.99099999999999999</v>
      </c>
      <c r="BB86" s="10">
        <v>1.3300059999999999E-3</v>
      </c>
      <c r="BC86" s="10">
        <v>1.3693609999999999E-3</v>
      </c>
      <c r="BD86" s="50">
        <v>0.99730059999999998</v>
      </c>
      <c r="BE86" s="36">
        <f>AVERAGE(BE83:BE85)</f>
        <v>0.98501113333333334</v>
      </c>
      <c r="BF86" s="7"/>
      <c r="BG86" s="7"/>
      <c r="BH86" s="7"/>
      <c r="BI86" s="7"/>
      <c r="BJ86" s="7">
        <v>0</v>
      </c>
      <c r="BK86" s="32">
        <v>1</v>
      </c>
      <c r="BL86" s="7">
        <v>0</v>
      </c>
      <c r="BM86" s="7">
        <v>0</v>
      </c>
      <c r="BN86" s="32">
        <v>1</v>
      </c>
      <c r="BO86" s="7">
        <v>0</v>
      </c>
      <c r="BP86" s="10">
        <v>0.11508</v>
      </c>
      <c r="BQ86" s="10">
        <v>0.87596459999999998</v>
      </c>
      <c r="BR86" s="10">
        <v>8.9553219999999999E-3</v>
      </c>
      <c r="BS86" s="14">
        <f>AVERAGE(BS83:BS85)</f>
        <v>0.97852986666666675</v>
      </c>
      <c r="BT86" s="7"/>
      <c r="BU86" s="7"/>
      <c r="BV86" s="7"/>
      <c r="BW86" s="34">
        <f>AVERAGE(BW83:BW85)</f>
        <v>0.91193800000000003</v>
      </c>
      <c r="BX86" s="7"/>
      <c r="BY86" s="7"/>
      <c r="BZ86" s="7"/>
      <c r="CA86" s="10">
        <v>9.9019999999999993E-3</v>
      </c>
      <c r="CB86" s="7">
        <v>0</v>
      </c>
      <c r="CC86" s="7">
        <v>0.25</v>
      </c>
      <c r="CD86" s="7">
        <v>0.75</v>
      </c>
      <c r="CE86" s="7">
        <v>0</v>
      </c>
      <c r="CF86" s="10">
        <v>9.3666670000000004E-3</v>
      </c>
      <c r="CG86" s="49">
        <v>0.99063330000000005</v>
      </c>
      <c r="CH86" s="10">
        <v>4.9893159999999997E-3</v>
      </c>
      <c r="CI86" s="10">
        <v>4.0378200000000001E-3</v>
      </c>
      <c r="CJ86" s="49">
        <v>0.99097290000000005</v>
      </c>
      <c r="CK86" s="66">
        <f>AVERAGE(CK83:CK85)</f>
        <v>0.98548436666666672</v>
      </c>
      <c r="CL86" s="7"/>
      <c r="CM86" s="7"/>
      <c r="CN86" s="7"/>
      <c r="CO86" s="10">
        <v>9.7750000000000007E-3</v>
      </c>
      <c r="CP86" s="7">
        <v>0</v>
      </c>
      <c r="CQ86" s="32">
        <v>1</v>
      </c>
      <c r="CR86" s="7">
        <v>0</v>
      </c>
      <c r="CS86" s="7">
        <v>0</v>
      </c>
      <c r="CT86" s="7">
        <v>1</v>
      </c>
      <c r="CU86" s="7">
        <v>0</v>
      </c>
      <c r="CV86" s="10">
        <v>3.1282799999999999E-2</v>
      </c>
      <c r="CW86" s="50">
        <v>0.96760820000000003</v>
      </c>
      <c r="CX86" s="10">
        <v>1.1089909999999999E-3</v>
      </c>
      <c r="CY86" s="14">
        <f>AVERAGE(CY83:CY85)</f>
        <v>0.97749226666666666</v>
      </c>
      <c r="CZ86" s="7"/>
      <c r="DA86" s="7"/>
      <c r="DB86" s="7"/>
      <c r="DC86" s="66">
        <f>AVERAGE(DC83:DC85)</f>
        <v>0.89953653333333339</v>
      </c>
      <c r="DD86" s="7"/>
      <c r="DE86" s="7"/>
      <c r="DF86" s="7"/>
      <c r="DG86" s="10">
        <v>4.5960000000000001E-2</v>
      </c>
      <c r="DH86" s="7">
        <v>0</v>
      </c>
      <c r="DI86" s="32">
        <v>1</v>
      </c>
      <c r="DJ86" s="7">
        <v>0</v>
      </c>
      <c r="DK86" s="7">
        <v>0</v>
      </c>
      <c r="DL86" s="32">
        <v>1</v>
      </c>
      <c r="DM86" s="7">
        <v>0</v>
      </c>
      <c r="DN86" s="10">
        <v>5.3406910000000002E-2</v>
      </c>
      <c r="DO86" s="67">
        <v>0.94220740000000003</v>
      </c>
      <c r="DP86" s="10">
        <v>4.3856579999999997E-3</v>
      </c>
      <c r="DQ86" s="36">
        <f>AVERAGE(DQ83:DQ85)</f>
        <v>0.98627349999999991</v>
      </c>
      <c r="DR86" s="7"/>
      <c r="DS86" s="7"/>
      <c r="DT86" s="7"/>
      <c r="DU86" s="10">
        <v>7.8509999999999996E-2</v>
      </c>
      <c r="DV86" s="7">
        <v>0</v>
      </c>
      <c r="DW86" s="32">
        <v>1</v>
      </c>
      <c r="DX86" s="7">
        <v>0</v>
      </c>
      <c r="DY86" s="7">
        <v>0</v>
      </c>
      <c r="DZ86" s="32">
        <v>1</v>
      </c>
      <c r="EA86" s="7">
        <v>0</v>
      </c>
      <c r="EB86" s="10">
        <v>6.6679139999999996E-3</v>
      </c>
      <c r="EC86" s="50">
        <v>0.99093290000000001</v>
      </c>
      <c r="ED86" s="10">
        <v>2.3991889999999999E-3</v>
      </c>
      <c r="EE86" s="14">
        <f>AVERAGE(EE83:EE85)</f>
        <v>0.95929410000000004</v>
      </c>
      <c r="EF86" s="7"/>
      <c r="EG86" s="7"/>
      <c r="EH86" s="7"/>
      <c r="EI86" s="34">
        <f>AVERAGE(EI83:EI85)</f>
        <v>0.86697673333333336</v>
      </c>
      <c r="EJ86" s="7"/>
      <c r="EK86" s="7"/>
      <c r="EL86" s="7"/>
      <c r="EM86" s="7" t="s">
        <v>24</v>
      </c>
      <c r="EN86" s="7">
        <v>0</v>
      </c>
      <c r="EO86" s="7">
        <v>0.25</v>
      </c>
      <c r="EP86" s="7">
        <v>0.75</v>
      </c>
      <c r="EQ86" s="7">
        <v>0</v>
      </c>
      <c r="ER86" s="10">
        <v>8.9333329999999999E-3</v>
      </c>
      <c r="ES86" s="49">
        <v>0.99106669999999997</v>
      </c>
      <c r="ET86" s="7" t="s">
        <v>24</v>
      </c>
      <c r="EU86" s="7" t="s">
        <v>24</v>
      </c>
      <c r="EV86" s="7" t="s">
        <v>24</v>
      </c>
      <c r="EW86" s="34">
        <f>AVERAGE(EW83:EW85)</f>
        <v>0.86790696666666667</v>
      </c>
      <c r="EX86" s="7"/>
      <c r="EY86" s="7"/>
      <c r="EZ86" s="7"/>
      <c r="FA86" s="7"/>
      <c r="FB86" s="7">
        <v>0</v>
      </c>
      <c r="FC86" s="7">
        <v>0.25</v>
      </c>
      <c r="FD86" s="7">
        <v>0.75</v>
      </c>
      <c r="FE86" s="7">
        <v>0</v>
      </c>
      <c r="FF86" s="10">
        <v>8.7333329999999994E-3</v>
      </c>
      <c r="FG86" s="49">
        <v>0.99126669999999995</v>
      </c>
      <c r="FH86" s="10">
        <v>2.2279629999999999E-3</v>
      </c>
      <c r="FI86" s="10">
        <v>1.2168540000000001E-3</v>
      </c>
      <c r="FJ86" s="49">
        <v>0.99655519999999997</v>
      </c>
    </row>
    <row r="87" spans="3:166" x14ac:dyDescent="0.2">
      <c r="C87" s="6">
        <v>3</v>
      </c>
      <c r="D87" t="s">
        <v>43</v>
      </c>
      <c r="G87" s="45">
        <v>0.9829</v>
      </c>
      <c r="H87" s="10">
        <v>0.98700239999999995</v>
      </c>
      <c r="I87" s="10">
        <v>0.99427169999999998</v>
      </c>
      <c r="J87" s="10">
        <v>0.9906237</v>
      </c>
      <c r="K87" s="45">
        <v>0.29110000000000003</v>
      </c>
      <c r="L87" s="10">
        <v>0.91743827</v>
      </c>
      <c r="M87" s="10">
        <v>0.24324877</v>
      </c>
      <c r="N87" s="10">
        <v>0.38454074999999999</v>
      </c>
      <c r="O87" s="7" t="s">
        <v>24</v>
      </c>
      <c r="P87" s="10">
        <v>0</v>
      </c>
      <c r="Q87" s="10">
        <v>0.5</v>
      </c>
      <c r="R87" s="10">
        <v>0.5</v>
      </c>
      <c r="S87" s="10">
        <v>0</v>
      </c>
      <c r="T87" s="10">
        <v>0.161</v>
      </c>
      <c r="U87" s="10">
        <v>0.83899999999999997</v>
      </c>
      <c r="V87" s="7" t="s">
        <v>24</v>
      </c>
      <c r="W87" s="7" t="s">
        <v>24</v>
      </c>
      <c r="X87" s="7" t="s">
        <v>24</v>
      </c>
      <c r="Y87" s="56">
        <v>0.97619999999999996</v>
      </c>
      <c r="Z87" s="10">
        <v>0.98080809999999996</v>
      </c>
      <c r="AA87" s="10">
        <v>0.99324880000000004</v>
      </c>
      <c r="AB87" s="10">
        <v>0.98698900000000001</v>
      </c>
      <c r="AC87" s="7" t="s">
        <v>24</v>
      </c>
      <c r="AD87" s="10">
        <v>0</v>
      </c>
      <c r="AE87" s="50">
        <v>1</v>
      </c>
      <c r="AF87" s="10">
        <v>0</v>
      </c>
      <c r="AG87" s="10">
        <v>0</v>
      </c>
      <c r="AH87" s="50">
        <v>1</v>
      </c>
      <c r="AI87" s="10">
        <v>0</v>
      </c>
      <c r="AJ87" s="7" t="s">
        <v>24</v>
      </c>
      <c r="AK87" s="7" t="s">
        <v>24</v>
      </c>
      <c r="AL87" s="7" t="s">
        <v>24</v>
      </c>
      <c r="AM87" s="45">
        <v>0.98250000000000004</v>
      </c>
      <c r="AN87" s="10">
        <v>0.98463400000000001</v>
      </c>
      <c r="AO87" s="10">
        <v>0.99631749999999997</v>
      </c>
      <c r="AP87" s="10">
        <v>0.99044129999999997</v>
      </c>
      <c r="AQ87" s="10">
        <v>0.3014</v>
      </c>
      <c r="AR87" s="10">
        <v>0.87376726000000005</v>
      </c>
      <c r="AS87" s="10">
        <v>0.27189034000000001</v>
      </c>
      <c r="AT87" s="10">
        <v>0.41472928999999997</v>
      </c>
      <c r="AU87" s="7" t="s">
        <v>24</v>
      </c>
      <c r="AV87" s="10">
        <v>0</v>
      </c>
      <c r="AW87" s="10">
        <v>0.5</v>
      </c>
      <c r="AX87" s="10">
        <v>0.5</v>
      </c>
      <c r="AY87" s="10">
        <v>0</v>
      </c>
      <c r="AZ87" s="10">
        <v>0.15870000000000001</v>
      </c>
      <c r="BA87" s="10">
        <v>0.84130000000000005</v>
      </c>
      <c r="BB87" s="7" t="s">
        <v>24</v>
      </c>
      <c r="BC87" s="7" t="s">
        <v>24</v>
      </c>
      <c r="BD87" s="7" t="s">
        <v>24</v>
      </c>
      <c r="BE87" s="10">
        <v>0.91039999999999999</v>
      </c>
      <c r="BF87" s="10">
        <v>0.91041159999999999</v>
      </c>
      <c r="BG87" s="7">
        <v>1</v>
      </c>
      <c r="BH87" s="10">
        <v>0.95310519999999999</v>
      </c>
      <c r="BI87" s="7" t="s">
        <v>24</v>
      </c>
      <c r="BJ87" s="10">
        <v>0</v>
      </c>
      <c r="BK87" s="7">
        <v>0.5</v>
      </c>
      <c r="BL87" s="10">
        <v>0.5</v>
      </c>
      <c r="BM87" s="7">
        <v>0</v>
      </c>
      <c r="BN87" s="10">
        <v>0.15783330000000001</v>
      </c>
      <c r="BO87" s="10">
        <v>0.84216670000000005</v>
      </c>
      <c r="BP87" s="7" t="s">
        <v>24</v>
      </c>
      <c r="BQ87" s="7" t="s">
        <v>24</v>
      </c>
      <c r="BR87" s="7" t="s">
        <v>24</v>
      </c>
      <c r="BS87" s="45">
        <v>0.9829</v>
      </c>
      <c r="BT87" s="10">
        <v>0.98581850000000004</v>
      </c>
      <c r="BU87" s="10">
        <v>0.99549920000000003</v>
      </c>
      <c r="BV87" s="10">
        <v>0.99063520000000005</v>
      </c>
      <c r="BW87" s="45">
        <v>0.86480000000000001</v>
      </c>
      <c r="BX87" s="10">
        <v>0.98171299999999995</v>
      </c>
      <c r="BY87" s="10">
        <v>0.86763500000000005</v>
      </c>
      <c r="BZ87" s="10">
        <v>0.92115550000000002</v>
      </c>
      <c r="CA87" s="7" t="s">
        <v>24</v>
      </c>
      <c r="CB87" s="10">
        <v>0</v>
      </c>
      <c r="CC87" s="10">
        <v>0.5</v>
      </c>
      <c r="CD87" s="10">
        <v>0.5</v>
      </c>
      <c r="CE87" s="10">
        <v>0</v>
      </c>
      <c r="CF87" s="10">
        <v>0.1579333</v>
      </c>
      <c r="CG87" s="10">
        <v>0.84206669999999995</v>
      </c>
      <c r="CH87" s="7" t="s">
        <v>24</v>
      </c>
      <c r="CI87" s="7" t="s">
        <v>24</v>
      </c>
      <c r="CJ87" s="7" t="s">
        <v>24</v>
      </c>
      <c r="CK87" s="50">
        <v>0.98140000000000005</v>
      </c>
      <c r="CL87" s="10">
        <v>0.98757640000000002</v>
      </c>
      <c r="CM87" s="10">
        <v>0.99202129999999999</v>
      </c>
      <c r="CN87" s="10">
        <v>0.98979379999999995</v>
      </c>
      <c r="CO87" s="7" t="s">
        <v>24</v>
      </c>
      <c r="CP87" s="7">
        <v>0</v>
      </c>
      <c r="CQ87" s="32">
        <v>1</v>
      </c>
      <c r="CR87" s="7">
        <v>0</v>
      </c>
      <c r="CS87" s="7">
        <v>0</v>
      </c>
      <c r="CT87" s="7">
        <v>1</v>
      </c>
      <c r="CU87" s="7">
        <v>0</v>
      </c>
      <c r="CV87" s="7" t="s">
        <v>24</v>
      </c>
      <c r="CW87" s="7" t="s">
        <v>24</v>
      </c>
      <c r="CX87" s="7" t="s">
        <v>24</v>
      </c>
      <c r="CY87" s="45">
        <v>0.9829</v>
      </c>
      <c r="CZ87" s="10">
        <v>0.98542510000000005</v>
      </c>
      <c r="DA87" s="10">
        <v>0.99590829999999997</v>
      </c>
      <c r="DB87" s="10">
        <v>0.99063900000000005</v>
      </c>
      <c r="DC87" s="45">
        <v>0.89680000000000004</v>
      </c>
      <c r="DD87" s="10">
        <v>0.9867475</v>
      </c>
      <c r="DE87" s="10">
        <v>0.89873159999999996</v>
      </c>
      <c r="DF87" s="10">
        <v>0.9406852</v>
      </c>
      <c r="DG87" s="7" t="s">
        <v>24</v>
      </c>
      <c r="DH87" s="10">
        <v>0</v>
      </c>
      <c r="DI87" s="10">
        <v>0.5</v>
      </c>
      <c r="DJ87" s="10">
        <v>0.5</v>
      </c>
      <c r="DK87" s="10">
        <v>0</v>
      </c>
      <c r="DL87" s="10">
        <v>0.15926670000000001</v>
      </c>
      <c r="DM87" s="10">
        <v>0.84073330000000002</v>
      </c>
      <c r="DN87" s="7" t="s">
        <v>24</v>
      </c>
      <c r="DO87" s="7" t="s">
        <v>24</v>
      </c>
      <c r="DP87" s="7" t="s">
        <v>24</v>
      </c>
      <c r="DQ87" s="56">
        <v>0.97670000000000001</v>
      </c>
      <c r="DR87" s="10">
        <v>0.98851279999999997</v>
      </c>
      <c r="DS87" s="10">
        <v>0.98588379999999998</v>
      </c>
      <c r="DT87" s="10">
        <v>0.98719659999999998</v>
      </c>
      <c r="DU87" s="7" t="s">
        <v>24</v>
      </c>
      <c r="DV87" s="7">
        <v>0</v>
      </c>
      <c r="DW87" s="32">
        <v>1</v>
      </c>
      <c r="DX87" s="7">
        <v>0</v>
      </c>
      <c r="DY87" s="7">
        <v>0</v>
      </c>
      <c r="DZ87" s="32">
        <v>1</v>
      </c>
      <c r="EA87" s="7">
        <v>0</v>
      </c>
      <c r="EB87" s="7" t="s">
        <v>24</v>
      </c>
      <c r="EC87" s="7" t="s">
        <v>24</v>
      </c>
      <c r="ED87" s="7" t="s">
        <v>24</v>
      </c>
      <c r="EE87" s="45">
        <v>0.97060000000000002</v>
      </c>
      <c r="EF87" s="10">
        <v>0.98904049999999999</v>
      </c>
      <c r="EG87" s="10">
        <v>0.97851880000000002</v>
      </c>
      <c r="EH87" s="10">
        <v>0.9837515</v>
      </c>
      <c r="EI87" s="45">
        <v>0.90110000000000001</v>
      </c>
      <c r="EJ87" s="10">
        <v>0.97931789999999996</v>
      </c>
      <c r="EK87" s="10">
        <v>0.9105974</v>
      </c>
      <c r="EL87" s="10">
        <v>0.94370830000000006</v>
      </c>
      <c r="EM87" s="7" t="s">
        <v>24</v>
      </c>
      <c r="EN87" s="7">
        <v>0</v>
      </c>
      <c r="EO87" s="7">
        <v>0.5</v>
      </c>
      <c r="EP87" s="7">
        <v>0.5</v>
      </c>
      <c r="EQ87" s="7" t="s">
        <v>24</v>
      </c>
      <c r="ER87" s="7" t="s">
        <v>24</v>
      </c>
      <c r="ES87" s="7" t="s">
        <v>24</v>
      </c>
      <c r="ET87" s="7" t="s">
        <v>24</v>
      </c>
      <c r="EU87" s="7" t="s">
        <v>24</v>
      </c>
      <c r="EV87" s="7" t="s">
        <v>24</v>
      </c>
      <c r="EW87" s="45">
        <v>0.90110000000000001</v>
      </c>
      <c r="EX87" s="10">
        <v>0.97931789999999996</v>
      </c>
      <c r="EY87" s="10">
        <v>0.9105974</v>
      </c>
      <c r="EZ87" s="10">
        <v>0.94370830000000006</v>
      </c>
      <c r="FA87" s="7" t="s">
        <v>24</v>
      </c>
      <c r="FB87" s="10">
        <v>0</v>
      </c>
      <c r="FC87" s="10">
        <v>0.5</v>
      </c>
      <c r="FD87" s="10">
        <v>0.5</v>
      </c>
      <c r="FE87" s="10">
        <v>0</v>
      </c>
      <c r="FF87" s="10">
        <v>0.16096669999999999</v>
      </c>
      <c r="FG87" s="10">
        <v>0.83903329999999998</v>
      </c>
      <c r="FH87" s="7" t="s">
        <v>24</v>
      </c>
      <c r="FI87" s="7" t="s">
        <v>24</v>
      </c>
      <c r="FJ87" s="7" t="s">
        <v>24</v>
      </c>
    </row>
    <row r="88" spans="3:166" x14ac:dyDescent="0.2">
      <c r="C88" s="6"/>
      <c r="G88" s="14"/>
      <c r="H88" s="7"/>
      <c r="I88" s="7"/>
      <c r="J88" s="7"/>
      <c r="K88" s="1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14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14"/>
      <c r="AN88" s="7"/>
      <c r="AO88" s="7"/>
      <c r="AP88" s="1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14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14"/>
      <c r="BT88" s="7"/>
      <c r="BU88" s="7"/>
      <c r="BV88" s="7"/>
      <c r="BW88" s="14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14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14"/>
      <c r="CZ88" s="7"/>
      <c r="DA88" s="7"/>
      <c r="DB88" s="7"/>
      <c r="DC88" s="14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14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14"/>
      <c r="EF88" s="7"/>
      <c r="EG88" s="7"/>
      <c r="EH88" s="7"/>
      <c r="EI88" s="14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14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</row>
    <row r="89" spans="3:166" x14ac:dyDescent="0.2">
      <c r="C89" s="6">
        <v>4</v>
      </c>
      <c r="D89" t="s">
        <v>40</v>
      </c>
      <c r="G89" s="45">
        <v>0.97486229999999996</v>
      </c>
      <c r="H89" s="7"/>
      <c r="I89" s="7"/>
      <c r="J89" s="7"/>
      <c r="K89" s="45">
        <v>0.953125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45">
        <v>0.98848029999999998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45">
        <v>0.97796930000000004</v>
      </c>
      <c r="AN89" s="7"/>
      <c r="AO89" s="7"/>
      <c r="AP89" s="17"/>
      <c r="AQ89" s="10">
        <v>0.95822450000000003</v>
      </c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10">
        <v>0.98891839999999998</v>
      </c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45">
        <v>0.97773520000000003</v>
      </c>
      <c r="BT89" s="7"/>
      <c r="BU89" s="7"/>
      <c r="BV89" s="7"/>
      <c r="BW89" s="45">
        <v>0.96083549999999995</v>
      </c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10">
        <v>0.98803189999999996</v>
      </c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45">
        <v>0.97940609999999995</v>
      </c>
      <c r="CZ89" s="7"/>
      <c r="DA89" s="7"/>
      <c r="DB89" s="7"/>
      <c r="DC89" s="45">
        <v>0.96354169999999995</v>
      </c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45">
        <v>0.98848029999999998</v>
      </c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45">
        <v>0.96072800000000003</v>
      </c>
      <c r="EF89" s="7"/>
      <c r="EG89" s="7"/>
      <c r="EH89" s="7"/>
      <c r="EI89" s="45">
        <v>0.90078329999999995</v>
      </c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45">
        <v>0.8984375</v>
      </c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</row>
    <row r="90" spans="3:166" x14ac:dyDescent="0.2">
      <c r="C90" s="6">
        <v>4</v>
      </c>
      <c r="D90" t="s">
        <v>41</v>
      </c>
      <c r="G90" s="45">
        <v>0.98156129999999997</v>
      </c>
      <c r="H90" s="7"/>
      <c r="I90" s="7"/>
      <c r="J90" s="7"/>
      <c r="K90" s="45">
        <v>0.95300260000000003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45">
        <v>0.98714539999999995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45">
        <v>0.98012449999999995</v>
      </c>
      <c r="AN90" s="7"/>
      <c r="AO90" s="7"/>
      <c r="AP90" s="17"/>
      <c r="AQ90" s="10">
        <v>0.95822450000000003</v>
      </c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10">
        <v>0.98848029999999998</v>
      </c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45">
        <v>0.97964560000000001</v>
      </c>
      <c r="BT90" s="7"/>
      <c r="BU90" s="7"/>
      <c r="BV90" s="7"/>
      <c r="BW90" s="45">
        <v>0.96083549999999995</v>
      </c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10">
        <v>0.98803719999999995</v>
      </c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45">
        <v>0.97677760000000002</v>
      </c>
      <c r="CZ90" s="7"/>
      <c r="DA90" s="7"/>
      <c r="DB90" s="7"/>
      <c r="DC90" s="45">
        <v>0.95822450000000003</v>
      </c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45">
        <v>0.98892329999999995</v>
      </c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45">
        <v>0.96337079999999997</v>
      </c>
      <c r="EF90" s="7"/>
      <c r="EG90" s="7"/>
      <c r="EH90" s="7"/>
      <c r="EI90" s="45">
        <v>0.875</v>
      </c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45">
        <v>0.90339429999999998</v>
      </c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</row>
    <row r="91" spans="3:166" x14ac:dyDescent="0.2">
      <c r="C91" s="6">
        <v>1</v>
      </c>
      <c r="D91" t="s">
        <v>42</v>
      </c>
      <c r="G91" s="45">
        <v>0.97988509999999995</v>
      </c>
      <c r="H91" s="7"/>
      <c r="I91" s="7"/>
      <c r="J91" s="7"/>
      <c r="K91" s="45">
        <v>0.94778070000000003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45">
        <v>0.98803719999999995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45">
        <v>0.97222889999999995</v>
      </c>
      <c r="AN91" s="7"/>
      <c r="AO91" s="7"/>
      <c r="AP91" s="17"/>
      <c r="AQ91" s="10">
        <v>0.95833330000000005</v>
      </c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10">
        <v>0.98848029999999998</v>
      </c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45">
        <v>0.97820879999999999</v>
      </c>
      <c r="BT91" s="7"/>
      <c r="BU91" s="7"/>
      <c r="BV91" s="7"/>
      <c r="BW91" s="45">
        <v>0.95833330000000005</v>
      </c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10">
        <v>0.98803719999999995</v>
      </c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45">
        <v>0.97629310000000002</v>
      </c>
      <c r="CZ91" s="7"/>
      <c r="DA91" s="7"/>
      <c r="DB91" s="7"/>
      <c r="DC91" s="45">
        <v>0.95822450000000003</v>
      </c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45">
        <v>0.98803189999999996</v>
      </c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45">
        <v>0.95378350000000001</v>
      </c>
      <c r="EF91" s="7"/>
      <c r="EG91" s="7"/>
      <c r="EH91" s="7"/>
      <c r="EI91" s="45">
        <v>0.90600519999999996</v>
      </c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45">
        <v>0.88772850000000003</v>
      </c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</row>
    <row r="92" spans="3:166" x14ac:dyDescent="0.2">
      <c r="C92" s="6">
        <v>4</v>
      </c>
      <c r="D92" t="s">
        <v>49</v>
      </c>
      <c r="G92" s="14">
        <f>AVERAGE(G89:G91)</f>
        <v>0.97876956666666659</v>
      </c>
      <c r="H92" s="7"/>
      <c r="I92" s="7"/>
      <c r="J92" s="7"/>
      <c r="K92" s="35">
        <v>0.98470630000000003</v>
      </c>
      <c r="L92" s="7"/>
      <c r="M92" s="7"/>
      <c r="N92" s="7"/>
      <c r="O92" s="10">
        <v>3.1569999999999998E-4</v>
      </c>
      <c r="P92" s="7">
        <v>0</v>
      </c>
      <c r="Q92" s="7">
        <v>0.25</v>
      </c>
      <c r="R92" s="7">
        <v>0.75</v>
      </c>
      <c r="S92" s="7">
        <v>0</v>
      </c>
      <c r="T92" s="10">
        <v>9.1666669999999999E-3</v>
      </c>
      <c r="U92" s="49">
        <v>0.99083330000000003</v>
      </c>
      <c r="V92" s="10">
        <v>1.1312860000000001E-4</v>
      </c>
      <c r="W92" s="10">
        <v>4.067578E-4</v>
      </c>
      <c r="X92" s="49">
        <v>0.99948009999999998</v>
      </c>
      <c r="Y92" s="14">
        <f>AVERAGE(Y89:Y91)</f>
        <v>0.9878876333333334</v>
      </c>
      <c r="Z92" s="7"/>
      <c r="AA92" s="7"/>
      <c r="AB92" s="7"/>
      <c r="AC92" s="10">
        <v>3.2919999999999998E-2</v>
      </c>
      <c r="AD92" s="7">
        <v>0.25</v>
      </c>
      <c r="AE92" s="7">
        <v>0.75</v>
      </c>
      <c r="AF92" s="7">
        <v>0</v>
      </c>
      <c r="AG92" s="10">
        <v>0.161</v>
      </c>
      <c r="AH92" s="10">
        <v>0.83899999999999997</v>
      </c>
      <c r="AI92" s="7">
        <v>0</v>
      </c>
      <c r="AJ92" s="10">
        <v>0.34833819999999999</v>
      </c>
      <c r="AK92" s="10">
        <v>0.64649259999999997</v>
      </c>
      <c r="AL92" s="10">
        <v>5.1691899999999997E-3</v>
      </c>
      <c r="AM92" s="14">
        <f>AVERAGE(AM89:AM91)</f>
        <v>0.97677423333333324</v>
      </c>
      <c r="AN92" s="7"/>
      <c r="AO92" s="7"/>
      <c r="AP92" s="17"/>
      <c r="AQ92" s="64">
        <f>AVERAGE(AQ89:AQ91)</f>
        <v>0.95826076666666671</v>
      </c>
      <c r="AR92" s="7"/>
      <c r="AS92" s="7"/>
      <c r="AT92" s="7"/>
      <c r="AU92" s="10">
        <v>1.6279999999999999E-2</v>
      </c>
      <c r="AV92" s="7">
        <v>0</v>
      </c>
      <c r="AW92" s="7">
        <v>0.25</v>
      </c>
      <c r="AX92" s="7">
        <v>0.75</v>
      </c>
      <c r="AY92" s="7">
        <v>0</v>
      </c>
      <c r="AZ92" s="10">
        <v>9.0266669999999993E-2</v>
      </c>
      <c r="BA92" s="59">
        <v>0.90973329999999997</v>
      </c>
      <c r="BB92" s="10">
        <v>4.624029E-3</v>
      </c>
      <c r="BC92" s="10">
        <v>4.0903910000000002E-2</v>
      </c>
      <c r="BD92" s="49">
        <v>0.95447210000000005</v>
      </c>
      <c r="BE92" s="14">
        <f>AVERAGE(BE89:BE91)</f>
        <v>0.98862633333333338</v>
      </c>
      <c r="BF92" s="7"/>
      <c r="BG92" s="7"/>
      <c r="BH92" s="7"/>
      <c r="BI92" s="10">
        <v>3.5709999999999999E-2</v>
      </c>
      <c r="BJ92" s="7">
        <v>0.25</v>
      </c>
      <c r="BK92" s="7">
        <v>0.75</v>
      </c>
      <c r="BL92" s="7">
        <v>0</v>
      </c>
      <c r="BM92" s="10">
        <v>0.33090000000000003</v>
      </c>
      <c r="BN92" s="10">
        <v>0.66910000000000003</v>
      </c>
      <c r="BO92" s="7">
        <v>0</v>
      </c>
      <c r="BP92" s="10">
        <v>0.47711399999999998</v>
      </c>
      <c r="BQ92" s="10">
        <v>0.51680320000000002</v>
      </c>
      <c r="BR92" s="10">
        <v>6.0828360000000003E-3</v>
      </c>
      <c r="BS92" s="14">
        <f>AVERAGE(BS89:BS91)</f>
        <v>0.97852986666666675</v>
      </c>
      <c r="BT92" s="7"/>
      <c r="BU92" s="7"/>
      <c r="BV92" s="7"/>
      <c r="BW92" s="14">
        <f>AVERAGE(BW89:BW91)</f>
        <v>0.96000143333333332</v>
      </c>
      <c r="BX92" s="7"/>
      <c r="BY92" s="7"/>
      <c r="BZ92" s="7"/>
      <c r="CA92" s="10">
        <v>2.2000000000000001E-3</v>
      </c>
      <c r="CB92" s="7">
        <v>0</v>
      </c>
      <c r="CC92" s="7">
        <v>0.25</v>
      </c>
      <c r="CD92" s="7">
        <v>0.75</v>
      </c>
      <c r="CE92" s="7">
        <v>0</v>
      </c>
      <c r="CF92" s="10">
        <v>0.1686667</v>
      </c>
      <c r="CG92" s="10">
        <v>0.83133330000000005</v>
      </c>
      <c r="CH92" s="10">
        <v>6.1955739999999999E-4</v>
      </c>
      <c r="CI92" s="10">
        <v>6.1845529999999998E-3</v>
      </c>
      <c r="CJ92" s="68">
        <v>0.99319590000000002</v>
      </c>
      <c r="CK92" s="14">
        <f>AVERAGE(CK89:CK91)</f>
        <v>0.98803543333333332</v>
      </c>
      <c r="CL92" s="7"/>
      <c r="CM92" s="7"/>
      <c r="CN92" s="7"/>
      <c r="CO92" s="10">
        <v>3.6159999999999999E-3</v>
      </c>
      <c r="CP92" s="7">
        <v>0.25</v>
      </c>
      <c r="CQ92" s="7">
        <v>0.75</v>
      </c>
      <c r="CR92" s="7">
        <v>0</v>
      </c>
      <c r="CS92" s="10">
        <v>0.15746669999999999</v>
      </c>
      <c r="CT92" s="10">
        <v>0.84253330000000004</v>
      </c>
      <c r="CU92" s="7">
        <v>0</v>
      </c>
      <c r="CV92" s="10">
        <v>0.2664532</v>
      </c>
      <c r="CW92" s="10">
        <v>0.73297219999999996</v>
      </c>
      <c r="CX92" s="10">
        <v>5.7461060000000002E-4</v>
      </c>
      <c r="CY92" s="14">
        <f>AVERAGE(CY89:CY91)</f>
        <v>0.97749226666666666</v>
      </c>
      <c r="CZ92" s="7"/>
      <c r="DA92" s="7"/>
      <c r="DB92" s="7"/>
      <c r="DC92" s="35">
        <f>AVERAGE(DC89:DC91)</f>
        <v>0.95999690000000004</v>
      </c>
      <c r="DD92" s="7"/>
      <c r="DE92" s="7"/>
      <c r="DF92" s="7"/>
      <c r="DG92" s="10">
        <v>2.2290000000000001E-3</v>
      </c>
      <c r="DH92" s="7">
        <v>0</v>
      </c>
      <c r="DI92" s="7">
        <v>0.25</v>
      </c>
      <c r="DJ92" s="7">
        <v>0.75</v>
      </c>
      <c r="DK92" s="7">
        <v>0</v>
      </c>
      <c r="DL92" s="10">
        <v>0.16456670000000001</v>
      </c>
      <c r="DM92" s="10">
        <v>0.83543330000000005</v>
      </c>
      <c r="DN92" s="10">
        <v>6.0254160000000005E-4</v>
      </c>
      <c r="DO92" s="10">
        <v>7.3275459999999999E-3</v>
      </c>
      <c r="DP92" s="49">
        <v>0.99206989999999995</v>
      </c>
      <c r="DQ92" s="14">
        <f>AVERAGE(DQ89:DQ91)</f>
        <v>0.98847849999999993</v>
      </c>
      <c r="DR92" s="7"/>
      <c r="DS92" s="7"/>
      <c r="DT92" s="7"/>
      <c r="DU92" s="10">
        <v>7.6E-3</v>
      </c>
      <c r="DV92" s="7">
        <v>0.5</v>
      </c>
      <c r="DW92" s="7">
        <v>0.5</v>
      </c>
      <c r="DX92" s="7">
        <v>0</v>
      </c>
      <c r="DY92" s="10">
        <v>0.69683329999999999</v>
      </c>
      <c r="DZ92" s="10">
        <v>0.30316670000000001</v>
      </c>
      <c r="EA92" s="7">
        <v>0</v>
      </c>
      <c r="EB92" s="10">
        <v>0.76560810000000001</v>
      </c>
      <c r="EC92" s="10">
        <v>0.23299339999999999</v>
      </c>
      <c r="ED92" s="10">
        <v>1.3985499999999999E-3</v>
      </c>
      <c r="EE92" s="14">
        <f>AVERAGE(EE89:EE91)</f>
        <v>0.95929410000000004</v>
      </c>
      <c r="EF92" s="7"/>
      <c r="EG92" s="7"/>
      <c r="EH92" s="7"/>
      <c r="EI92" s="14">
        <f>AVERAGE(EI89:EI91)</f>
        <v>0.89392950000000004</v>
      </c>
      <c r="EJ92" s="7"/>
      <c r="EK92" s="7"/>
      <c r="EL92" s="7"/>
      <c r="EM92" s="7" t="s">
        <v>24</v>
      </c>
      <c r="EN92" s="7" t="s">
        <v>24</v>
      </c>
      <c r="EO92" s="7" t="s">
        <v>24</v>
      </c>
      <c r="EP92" s="7" t="s">
        <v>24</v>
      </c>
      <c r="EQ92" s="7" t="s">
        <v>24</v>
      </c>
      <c r="ER92" s="7" t="s">
        <v>24</v>
      </c>
      <c r="ES92" s="7" t="s">
        <v>24</v>
      </c>
      <c r="ET92" s="7" t="s">
        <v>24</v>
      </c>
      <c r="EU92" s="7" t="s">
        <v>24</v>
      </c>
      <c r="EV92" s="7" t="s">
        <v>24</v>
      </c>
      <c r="EW92" s="35">
        <f>AVERAGE(EW89:EW91)</f>
        <v>0.89652010000000004</v>
      </c>
      <c r="EX92" s="7"/>
      <c r="EY92" s="7"/>
      <c r="EZ92" s="7"/>
      <c r="FA92" s="10">
        <v>7.9520000000000003E-4</v>
      </c>
      <c r="FB92" s="7">
        <v>0</v>
      </c>
      <c r="FC92" s="7">
        <v>0.25</v>
      </c>
      <c r="FD92" s="7">
        <v>0.75</v>
      </c>
      <c r="FE92" s="7">
        <v>0</v>
      </c>
      <c r="FF92" s="10">
        <v>9.4333330000000003E-3</v>
      </c>
      <c r="FG92" s="49">
        <v>0.99056670000000002</v>
      </c>
      <c r="FH92" s="10">
        <v>3.9447450000000003E-4</v>
      </c>
      <c r="FI92" s="10">
        <v>3.548472E-4</v>
      </c>
      <c r="FJ92" s="49">
        <v>0.99925070000000005</v>
      </c>
    </row>
    <row r="93" spans="3:166" x14ac:dyDescent="0.2">
      <c r="C93" s="6">
        <v>4</v>
      </c>
      <c r="D93" t="s">
        <v>43</v>
      </c>
      <c r="G93" s="45">
        <v>0.9829</v>
      </c>
      <c r="H93" s="10">
        <v>0.98700239999999995</v>
      </c>
      <c r="I93" s="10">
        <v>0.99427169999999998</v>
      </c>
      <c r="J93" s="10">
        <v>0.9906237</v>
      </c>
      <c r="K93" s="45">
        <v>9.74E-2</v>
      </c>
      <c r="L93" s="10">
        <v>1</v>
      </c>
      <c r="M93" s="10">
        <v>8.5924710000000008E-3</v>
      </c>
      <c r="N93" s="10">
        <v>1.7038540000000001E-2</v>
      </c>
      <c r="O93" s="7" t="s">
        <v>24</v>
      </c>
      <c r="P93" s="10">
        <v>0</v>
      </c>
      <c r="Q93" s="10">
        <v>0.5</v>
      </c>
      <c r="R93" s="10">
        <v>0.5</v>
      </c>
      <c r="S93" s="10">
        <v>0</v>
      </c>
      <c r="T93" s="10">
        <v>0.1583667</v>
      </c>
      <c r="U93" s="10">
        <v>0.84163330000000003</v>
      </c>
      <c r="V93" s="7" t="s">
        <v>24</v>
      </c>
      <c r="W93" s="7" t="s">
        <v>24</v>
      </c>
      <c r="X93" s="7" t="s">
        <v>24</v>
      </c>
      <c r="Y93" s="45">
        <v>0.90759999999999996</v>
      </c>
      <c r="Z93" s="10">
        <v>0.91717325000000005</v>
      </c>
      <c r="AA93" s="10">
        <v>0.98772504000000005</v>
      </c>
      <c r="AB93" s="10">
        <v>0.95114262999999999</v>
      </c>
      <c r="AC93" s="7" t="s">
        <v>1</v>
      </c>
      <c r="AD93" s="10">
        <v>0</v>
      </c>
      <c r="AE93" s="10">
        <v>0.5</v>
      </c>
      <c r="AF93" s="10">
        <v>0.5</v>
      </c>
      <c r="AG93" s="10">
        <v>0</v>
      </c>
      <c r="AH93" s="10">
        <v>0.15913330000000001</v>
      </c>
      <c r="AI93" s="10">
        <v>0.84086669999999997</v>
      </c>
      <c r="AJ93" s="7" t="s">
        <v>24</v>
      </c>
      <c r="AK93" s="7" t="s">
        <v>24</v>
      </c>
      <c r="AL93" s="7" t="s">
        <v>24</v>
      </c>
      <c r="AM93" s="45">
        <v>0.98250000000000004</v>
      </c>
      <c r="AN93" s="10">
        <v>0.98463400000000001</v>
      </c>
      <c r="AO93" s="10">
        <v>0.99631749999999997</v>
      </c>
      <c r="AP93" s="10">
        <v>0.99044129999999997</v>
      </c>
      <c r="AQ93" s="10">
        <v>0.09</v>
      </c>
      <c r="AR93" s="10">
        <v>1</v>
      </c>
      <c r="AS93" s="10">
        <v>4.0916530000000001E-4</v>
      </c>
      <c r="AT93" s="10">
        <v>8.1799590000000005E-4</v>
      </c>
      <c r="AU93" s="7" t="s">
        <v>24</v>
      </c>
      <c r="AV93" s="10">
        <v>0</v>
      </c>
      <c r="AW93" s="10">
        <v>0.5</v>
      </c>
      <c r="AX93" s="10">
        <v>0.5</v>
      </c>
      <c r="AY93" s="10">
        <v>0</v>
      </c>
      <c r="AZ93" s="10">
        <v>0.15670000000000001</v>
      </c>
      <c r="BA93" s="10">
        <v>0.84330000000000005</v>
      </c>
      <c r="BB93" s="7" t="s">
        <v>24</v>
      </c>
      <c r="BC93" s="7" t="s">
        <v>24</v>
      </c>
      <c r="BD93" s="7" t="s">
        <v>24</v>
      </c>
      <c r="BE93" s="10">
        <v>0.91190000000000004</v>
      </c>
      <c r="BF93" s="10">
        <v>0.91177019000000004</v>
      </c>
      <c r="BG93" s="7">
        <v>1</v>
      </c>
      <c r="BH93" s="10">
        <v>0.95384915999999997</v>
      </c>
      <c r="BI93" s="7" t="s">
        <v>24</v>
      </c>
      <c r="BJ93" s="10">
        <v>0</v>
      </c>
      <c r="BK93" s="7">
        <v>0.5</v>
      </c>
      <c r="BL93" s="10">
        <v>0.5</v>
      </c>
      <c r="BM93" s="7">
        <v>0</v>
      </c>
      <c r="BN93" s="10">
        <v>0.15529999999999999</v>
      </c>
      <c r="BO93" s="10">
        <v>0.84470000000000001</v>
      </c>
      <c r="BP93" s="7" t="s">
        <v>24</v>
      </c>
      <c r="BQ93" s="7" t="s">
        <v>24</v>
      </c>
      <c r="BR93" s="7" t="s">
        <v>24</v>
      </c>
      <c r="BS93" s="45">
        <v>0.9829</v>
      </c>
      <c r="BT93" s="10">
        <v>0.98581850000000004</v>
      </c>
      <c r="BU93" s="10">
        <v>0.99549920000000003</v>
      </c>
      <c r="BV93" s="10">
        <v>0.99063520000000005</v>
      </c>
      <c r="BW93" s="45">
        <v>8.9599999999999999E-2</v>
      </c>
      <c r="BX93" s="7" t="s">
        <v>24</v>
      </c>
      <c r="BY93" s="7">
        <v>1</v>
      </c>
      <c r="BZ93" s="7" t="s">
        <v>24</v>
      </c>
      <c r="CA93" s="7" t="s">
        <v>24</v>
      </c>
      <c r="CB93" s="10">
        <v>0</v>
      </c>
      <c r="CC93" s="10">
        <v>0.5</v>
      </c>
      <c r="CD93" s="10">
        <v>0.5</v>
      </c>
      <c r="CE93" s="10">
        <v>0</v>
      </c>
      <c r="CF93" s="10">
        <v>0.16006670000000001</v>
      </c>
      <c r="CG93" s="10">
        <v>0.83993329999999999</v>
      </c>
      <c r="CH93" s="7" t="s">
        <v>24</v>
      </c>
      <c r="CI93" s="7" t="s">
        <v>24</v>
      </c>
      <c r="CJ93" s="7" t="s">
        <v>24</v>
      </c>
      <c r="CK93" s="10">
        <v>0.91039999999999999</v>
      </c>
      <c r="CL93" s="10">
        <v>0.91041159999999999</v>
      </c>
      <c r="CM93" s="7">
        <v>1</v>
      </c>
      <c r="CN93" s="10">
        <v>0.95310519999999999</v>
      </c>
      <c r="CO93" s="7" t="s">
        <v>24</v>
      </c>
      <c r="CP93" s="7">
        <v>0</v>
      </c>
      <c r="CQ93" s="7">
        <v>0.5</v>
      </c>
      <c r="CR93" s="7">
        <v>0.5</v>
      </c>
      <c r="CS93" s="7">
        <v>0</v>
      </c>
      <c r="CT93" s="10">
        <v>0.1575</v>
      </c>
      <c r="CU93" s="10">
        <v>0.84250000000000003</v>
      </c>
      <c r="CV93" s="7" t="s">
        <v>24</v>
      </c>
      <c r="CW93" s="7" t="s">
        <v>24</v>
      </c>
      <c r="CX93" s="7" t="s">
        <v>24</v>
      </c>
      <c r="CY93" s="45">
        <v>0.9829</v>
      </c>
      <c r="CZ93" s="10">
        <v>0.98542510000000005</v>
      </c>
      <c r="DA93" s="10">
        <v>0.99590829999999997</v>
      </c>
      <c r="DB93" s="10">
        <v>0.99063900000000005</v>
      </c>
      <c r="DC93" s="45">
        <v>0.57089999999999996</v>
      </c>
      <c r="DD93" s="10">
        <v>0.99464010000000003</v>
      </c>
      <c r="DE93" s="10">
        <v>0.53150569999999997</v>
      </c>
      <c r="DF93" s="10">
        <v>0.69279999999999997</v>
      </c>
      <c r="DG93" s="7" t="s">
        <v>24</v>
      </c>
      <c r="DH93" s="10">
        <v>0</v>
      </c>
      <c r="DI93" s="10">
        <v>0.5</v>
      </c>
      <c r="DJ93" s="10">
        <v>0.5</v>
      </c>
      <c r="DK93" s="7">
        <v>0</v>
      </c>
      <c r="DL93" s="10">
        <v>0.1603667</v>
      </c>
      <c r="DM93" s="10">
        <v>0.83963330000000003</v>
      </c>
      <c r="DN93" s="7" t="s">
        <v>24</v>
      </c>
      <c r="DO93" s="7" t="s">
        <v>24</v>
      </c>
      <c r="DP93" s="7" t="s">
        <v>24</v>
      </c>
      <c r="DQ93" s="45">
        <v>0.97489999999999999</v>
      </c>
      <c r="DR93" s="10">
        <v>0.98909239999999998</v>
      </c>
      <c r="DS93" s="10">
        <v>0.98322419999999999</v>
      </c>
      <c r="DT93" s="10">
        <v>0.98614959999999996</v>
      </c>
      <c r="DU93" s="7" t="s">
        <v>24</v>
      </c>
      <c r="DV93" s="7">
        <v>0.5</v>
      </c>
      <c r="DW93" s="7">
        <v>0.5</v>
      </c>
      <c r="DX93" s="7">
        <v>0</v>
      </c>
      <c r="DY93" s="10">
        <v>0</v>
      </c>
      <c r="DZ93" s="10">
        <v>1</v>
      </c>
      <c r="EA93" s="10">
        <v>0</v>
      </c>
      <c r="EB93" s="65" t="s">
        <v>24</v>
      </c>
      <c r="EC93" s="65" t="s">
        <v>24</v>
      </c>
      <c r="ED93" s="65" t="s">
        <v>24</v>
      </c>
      <c r="EE93" s="45">
        <v>0.97060000000000002</v>
      </c>
      <c r="EF93" s="10">
        <v>0.98904049999999999</v>
      </c>
      <c r="EG93" s="10">
        <v>0.97851880000000002</v>
      </c>
      <c r="EH93" s="10">
        <v>0.9837515</v>
      </c>
      <c r="EI93" s="45">
        <v>0.75</v>
      </c>
      <c r="EJ93" s="10">
        <v>0.98601970000000005</v>
      </c>
      <c r="EK93" s="10">
        <v>0.73588379999999998</v>
      </c>
      <c r="EL93" s="10">
        <v>0.84278350000000002</v>
      </c>
      <c r="EM93" s="7" t="s">
        <v>24</v>
      </c>
      <c r="EN93" s="7" t="s">
        <v>24</v>
      </c>
      <c r="EO93" s="7" t="s">
        <v>24</v>
      </c>
      <c r="EP93" s="7" t="s">
        <v>24</v>
      </c>
      <c r="EQ93" s="7" t="s">
        <v>24</v>
      </c>
      <c r="ER93" s="7" t="s">
        <v>24</v>
      </c>
      <c r="ES93" s="7" t="s">
        <v>24</v>
      </c>
      <c r="ET93" s="7" t="s">
        <v>24</v>
      </c>
      <c r="EU93" s="7" t="s">
        <v>24</v>
      </c>
      <c r="EV93" s="7" t="s">
        <v>24</v>
      </c>
      <c r="EW93" s="45">
        <v>0.75</v>
      </c>
      <c r="EX93" s="10">
        <v>0.98601970000000005</v>
      </c>
      <c r="EY93" s="10">
        <v>0.73588379999999998</v>
      </c>
      <c r="EZ93" s="10">
        <v>0.84278350000000002</v>
      </c>
      <c r="FA93" s="7" t="s">
        <v>24</v>
      </c>
      <c r="FB93" s="10">
        <v>0</v>
      </c>
      <c r="FC93" s="10">
        <v>0.5</v>
      </c>
      <c r="FD93" s="10">
        <v>0.5</v>
      </c>
      <c r="FE93" s="10">
        <v>0</v>
      </c>
      <c r="FF93" s="10">
        <v>0.1569333</v>
      </c>
      <c r="FG93" s="10">
        <v>0.84306669999999995</v>
      </c>
      <c r="FH93" s="7" t="s">
        <v>24</v>
      </c>
      <c r="FI93" s="7" t="s">
        <v>24</v>
      </c>
      <c r="FJ93" s="7" t="s">
        <v>24</v>
      </c>
    </row>
    <row r="94" spans="3:166" x14ac:dyDescent="0.2">
      <c r="C94" s="6"/>
      <c r="G94" s="14"/>
      <c r="H94" s="7"/>
      <c r="I94" s="7"/>
      <c r="J94" s="7"/>
      <c r="K94" s="1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14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14"/>
      <c r="AN94" s="7"/>
      <c r="AO94" s="7"/>
      <c r="AP94" s="1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14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14"/>
      <c r="BT94" s="7"/>
      <c r="BU94" s="7"/>
      <c r="BV94" s="7"/>
      <c r="BW94" s="14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14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14"/>
      <c r="CZ94" s="7"/>
      <c r="DA94" s="7"/>
      <c r="DB94" s="7"/>
      <c r="DC94" s="14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14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14"/>
      <c r="EF94" s="7"/>
      <c r="EG94" s="7"/>
      <c r="EH94" s="7"/>
      <c r="EI94" s="14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14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</row>
    <row r="95" spans="3:166" x14ac:dyDescent="0.2">
      <c r="C95" s="6">
        <v>5</v>
      </c>
      <c r="D95" t="s">
        <v>40</v>
      </c>
      <c r="G95" s="45">
        <v>0.97486229999999996</v>
      </c>
      <c r="H95" s="7"/>
      <c r="I95" s="7"/>
      <c r="J95" s="7"/>
      <c r="K95" s="14">
        <v>1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45">
        <v>0.98845930000000004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45">
        <v>0.97796930000000004</v>
      </c>
      <c r="AN95" s="7"/>
      <c r="AO95" s="7"/>
      <c r="AP95" s="17"/>
      <c r="AQ95" s="10">
        <v>1</v>
      </c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10">
        <v>0.98904899999999996</v>
      </c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45">
        <v>0.97773520000000003</v>
      </c>
      <c r="BT95" s="7"/>
      <c r="BU95" s="7"/>
      <c r="BV95" s="7"/>
      <c r="BW95" s="14">
        <v>1</v>
      </c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10">
        <v>0.98904270000000005</v>
      </c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45">
        <v>0.97940609999999995</v>
      </c>
      <c r="CZ95" s="7"/>
      <c r="DA95" s="7"/>
      <c r="DB95" s="7"/>
      <c r="DC95" s="45">
        <v>1</v>
      </c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45">
        <v>0.98904899999999996</v>
      </c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45">
        <v>0.96072800000000003</v>
      </c>
      <c r="EF95" s="7"/>
      <c r="EG95" s="7"/>
      <c r="EH95" s="7"/>
      <c r="EI95" s="14" t="s">
        <v>24</v>
      </c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14" t="s">
        <v>24</v>
      </c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</row>
    <row r="96" spans="3:166" x14ac:dyDescent="0.2">
      <c r="C96" s="6">
        <v>5</v>
      </c>
      <c r="D96" t="s">
        <v>41</v>
      </c>
      <c r="G96" s="45">
        <v>0.98156129999999997</v>
      </c>
      <c r="H96" s="7"/>
      <c r="I96" s="7"/>
      <c r="J96" s="7"/>
      <c r="K96" s="14" t="s">
        <v>24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45">
        <v>0.98904899999999996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45">
        <v>0.98012449999999995</v>
      </c>
      <c r="AN96" s="7"/>
      <c r="AO96" s="7"/>
      <c r="AP96" s="17"/>
      <c r="AQ96" s="7">
        <v>1</v>
      </c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10">
        <v>0.98904270000000005</v>
      </c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45">
        <v>0.97964560000000001</v>
      </c>
      <c r="BT96" s="7"/>
      <c r="BU96" s="7"/>
      <c r="BV96" s="7"/>
      <c r="BW96" s="45">
        <v>4.7169810000000003E-3</v>
      </c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10">
        <v>0.98904270000000005</v>
      </c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45">
        <v>0.97677760000000002</v>
      </c>
      <c r="CZ96" s="7"/>
      <c r="DA96" s="7"/>
      <c r="DB96" s="7"/>
      <c r="DC96" s="45">
        <v>0.99526066400000002</v>
      </c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45">
        <v>0.98904270000000005</v>
      </c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45">
        <v>0.96337079999999997</v>
      </c>
      <c r="EF96" s="7"/>
      <c r="EG96" s="7"/>
      <c r="EH96" s="7"/>
      <c r="EI96" s="14" t="s">
        <v>24</v>
      </c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14" t="s">
        <v>24</v>
      </c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</row>
    <row r="97" spans="3:166" x14ac:dyDescent="0.2">
      <c r="C97" s="6">
        <v>5</v>
      </c>
      <c r="D97" t="s">
        <v>42</v>
      </c>
      <c r="G97" s="45">
        <v>0.97988509999999995</v>
      </c>
      <c r="H97" s="7"/>
      <c r="I97" s="7"/>
      <c r="J97" s="7"/>
      <c r="K97" s="45">
        <v>0.9952607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45">
        <v>0.98904270000000005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45">
        <v>0.97222889999999995</v>
      </c>
      <c r="AN97" s="7"/>
      <c r="AO97" s="7"/>
      <c r="AP97" s="17"/>
      <c r="AQ97" s="7" t="s">
        <v>24</v>
      </c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10">
        <v>0.98961339999999998</v>
      </c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45">
        <v>0.97820879999999999</v>
      </c>
      <c r="BT97" s="7"/>
      <c r="BU97" s="7"/>
      <c r="BV97" s="7"/>
      <c r="BW97" s="14">
        <v>1</v>
      </c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10">
        <v>0.98961940000000004</v>
      </c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45">
        <v>0.97629310000000002</v>
      </c>
      <c r="CZ97" s="7"/>
      <c r="DA97" s="7"/>
      <c r="DB97" s="7"/>
      <c r="DC97" s="45">
        <v>4.7169810000000003E-3</v>
      </c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45">
        <v>0.98903640000000004</v>
      </c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45">
        <v>0.95378350000000001</v>
      </c>
      <c r="EF97" s="7"/>
      <c r="EG97" s="7"/>
      <c r="EH97" s="7"/>
      <c r="EI97" s="14" t="s">
        <v>24</v>
      </c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14" t="s">
        <v>24</v>
      </c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</row>
    <row r="98" spans="3:166" x14ac:dyDescent="0.2">
      <c r="C98" s="6">
        <v>5</v>
      </c>
      <c r="D98" t="s">
        <v>49</v>
      </c>
      <c r="G98" s="14">
        <f>AVERAGE(G95:G97)</f>
        <v>0.97876956666666659</v>
      </c>
      <c r="H98" s="7"/>
      <c r="I98" s="7"/>
      <c r="J98" s="7"/>
      <c r="K98" s="37">
        <v>0.98470630000000003</v>
      </c>
      <c r="L98" s="7"/>
      <c r="M98" s="7"/>
      <c r="N98" s="7"/>
      <c r="O98" s="10">
        <v>5.7509999999999999E-2</v>
      </c>
      <c r="P98" s="7" t="s">
        <v>24</v>
      </c>
      <c r="Q98" s="7" t="s">
        <v>24</v>
      </c>
      <c r="R98" s="7" t="s">
        <v>24</v>
      </c>
      <c r="S98" s="7" t="s">
        <v>24</v>
      </c>
      <c r="T98" s="7" t="s">
        <v>24</v>
      </c>
      <c r="U98" s="7" t="s">
        <v>24</v>
      </c>
      <c r="V98" s="7" t="s">
        <v>24</v>
      </c>
      <c r="W98" s="7" t="s">
        <v>24</v>
      </c>
      <c r="X98" s="7" t="s">
        <v>24</v>
      </c>
      <c r="Y98" s="14">
        <f>AVERAGE(Y95:Y97)</f>
        <v>0.98885033333333328</v>
      </c>
      <c r="Z98" s="7"/>
      <c r="AA98" s="7"/>
      <c r="AB98" s="7"/>
      <c r="AC98" s="10">
        <v>3.993E-2</v>
      </c>
      <c r="AD98" s="7">
        <v>0.25</v>
      </c>
      <c r="AE98" s="7">
        <v>0.75</v>
      </c>
      <c r="AF98" s="7">
        <v>0</v>
      </c>
      <c r="AG98" s="10">
        <v>0.32640000000000002</v>
      </c>
      <c r="AH98" s="10">
        <v>0.67359999999999998</v>
      </c>
      <c r="AI98" s="7">
        <v>0</v>
      </c>
      <c r="AJ98" s="10">
        <v>0.51190199999999997</v>
      </c>
      <c r="AK98" s="10">
        <v>0.4811146</v>
      </c>
      <c r="AL98" s="10">
        <v>6.9833940000000004E-3</v>
      </c>
      <c r="AM98" s="14">
        <f>AVERAGE(AM95:AM97)</f>
        <v>0.97677423333333324</v>
      </c>
      <c r="AN98" s="7"/>
      <c r="AO98" s="7"/>
      <c r="AP98" s="17"/>
      <c r="AQ98" s="14">
        <f>AVERAGE(AQ95:AQ97)</f>
        <v>1</v>
      </c>
      <c r="AR98" s="7"/>
      <c r="AS98" s="7"/>
      <c r="AT98" s="7"/>
      <c r="AU98" s="10">
        <v>7.306E-2</v>
      </c>
      <c r="AV98" s="7" t="s">
        <v>24</v>
      </c>
      <c r="AW98" s="7" t="s">
        <v>24</v>
      </c>
      <c r="AX98" s="7" t="s">
        <v>24</v>
      </c>
      <c r="AY98" s="7" t="s">
        <v>24</v>
      </c>
      <c r="AZ98" s="7" t="s">
        <v>24</v>
      </c>
      <c r="BA98" s="7" t="s">
        <v>24</v>
      </c>
      <c r="BB98" s="7" t="s">
        <v>24</v>
      </c>
      <c r="BC98" s="7" t="s">
        <v>24</v>
      </c>
      <c r="BD98" s="7" t="s">
        <v>24</v>
      </c>
      <c r="BE98" s="14">
        <f>AVERAGE(BE95:BE97)</f>
        <v>0.98923503333333329</v>
      </c>
      <c r="BF98" s="7"/>
      <c r="BG98" s="7"/>
      <c r="BH98" s="7"/>
      <c r="BI98" s="10">
        <v>3.3550000000000003E-2</v>
      </c>
      <c r="BJ98" s="7">
        <v>0.25</v>
      </c>
      <c r="BK98" s="7">
        <v>0.75</v>
      </c>
      <c r="BL98" s="7">
        <v>0</v>
      </c>
      <c r="BM98" s="10">
        <v>0.32786670000000001</v>
      </c>
      <c r="BN98" s="10">
        <v>0.67213330000000004</v>
      </c>
      <c r="BO98" s="7">
        <v>0</v>
      </c>
      <c r="BP98" s="10">
        <v>0.57170960000000004</v>
      </c>
      <c r="BQ98" s="10">
        <v>0.42224440000000002</v>
      </c>
      <c r="BR98" s="10">
        <v>6.0460419999999997E-3</v>
      </c>
      <c r="BS98" s="14">
        <f>AVERAGE(BS95:BS97)</f>
        <v>0.97852986666666675</v>
      </c>
      <c r="BT98" s="7"/>
      <c r="BU98" s="7"/>
      <c r="BV98" s="7"/>
      <c r="BW98" s="14">
        <f>AVERAGE(BW95:BW97)</f>
        <v>0.66823899366666673</v>
      </c>
      <c r="BX98" s="7"/>
      <c r="BY98" s="7"/>
      <c r="BZ98" s="7"/>
      <c r="CA98" s="10">
        <v>0.44900000000000001</v>
      </c>
      <c r="CB98" s="7">
        <v>0.5</v>
      </c>
      <c r="CC98" s="7">
        <v>0.25</v>
      </c>
      <c r="CD98" s="7">
        <v>0.25</v>
      </c>
      <c r="CE98" s="10">
        <v>0.53763329999999998</v>
      </c>
      <c r="CF98" s="10">
        <v>1.5966669999999999E-2</v>
      </c>
      <c r="CG98" s="10">
        <v>0.44640000000000002</v>
      </c>
      <c r="CH98" s="10">
        <v>0.2458591</v>
      </c>
      <c r="CI98" s="10">
        <v>1.20559E-2</v>
      </c>
      <c r="CJ98" s="10">
        <v>0.74208499999999999</v>
      </c>
      <c r="CK98" s="14">
        <f>AVERAGE(CK95:CK97)</f>
        <v>0.98923493333333334</v>
      </c>
      <c r="CL98" s="7"/>
      <c r="CM98" s="7"/>
      <c r="CN98" s="7"/>
      <c r="CO98" s="10">
        <v>3.7190000000000001E-3</v>
      </c>
      <c r="CP98" s="7">
        <v>0.5</v>
      </c>
      <c r="CQ98" s="7">
        <v>0.5</v>
      </c>
      <c r="CR98" s="7">
        <v>0</v>
      </c>
      <c r="CS98" s="10">
        <v>0.69813329999999996</v>
      </c>
      <c r="CT98" s="10">
        <v>0.30186669999999999</v>
      </c>
      <c r="CU98" s="7">
        <v>0</v>
      </c>
      <c r="CV98" s="10">
        <v>0.77527579999999996</v>
      </c>
      <c r="CW98" s="10">
        <v>0.22405910000000001</v>
      </c>
      <c r="CX98" s="10">
        <v>6.6513939999999995E-4</v>
      </c>
      <c r="CY98" s="14">
        <f>AVERAGE(CY95:CY97)</f>
        <v>0.97749226666666666</v>
      </c>
      <c r="CZ98" s="7"/>
      <c r="DA98" s="7"/>
      <c r="DB98" s="7"/>
      <c r="DC98" s="14">
        <f>AVERAGE(DC95:DC97)</f>
        <v>0.66665921500000003</v>
      </c>
      <c r="DD98" s="7"/>
      <c r="DE98" s="7"/>
      <c r="DF98" s="7"/>
      <c r="DG98" s="10">
        <v>0.4461</v>
      </c>
      <c r="DH98" s="7">
        <v>0.5</v>
      </c>
      <c r="DI98" s="7">
        <v>0.25</v>
      </c>
      <c r="DJ98" s="7">
        <v>0.25</v>
      </c>
      <c r="DK98" s="10">
        <v>0.46853329999999999</v>
      </c>
      <c r="DL98" s="10">
        <v>6.0766670000000002E-2</v>
      </c>
      <c r="DM98" s="10">
        <v>0.47070000000000001</v>
      </c>
      <c r="DN98" s="10">
        <v>0.2444317</v>
      </c>
      <c r="DO98" s="10">
        <v>1.205846E-2</v>
      </c>
      <c r="DP98" s="10">
        <v>0.74350989999999995</v>
      </c>
      <c r="DQ98" s="14">
        <f>AVERAGE(DQ95:DQ97)</f>
        <v>0.98904270000000005</v>
      </c>
      <c r="DR98" s="7"/>
      <c r="DS98" s="7"/>
      <c r="DT98" s="7"/>
      <c r="DU98" s="10">
        <v>6.8900000000000003E-3</v>
      </c>
      <c r="DV98" s="7">
        <v>0.5</v>
      </c>
      <c r="DW98" s="7">
        <v>0.5</v>
      </c>
      <c r="DX98" s="7">
        <v>0</v>
      </c>
      <c r="DY98" s="10">
        <v>0.69540000000000002</v>
      </c>
      <c r="DZ98" s="10">
        <v>0.30459999999999998</v>
      </c>
      <c r="EA98" s="7">
        <v>0</v>
      </c>
      <c r="EB98" s="10">
        <v>0.85090379999999999</v>
      </c>
      <c r="EC98" s="10">
        <v>0.14776829999999999</v>
      </c>
      <c r="ED98" s="10">
        <v>1.3278649999999999E-3</v>
      </c>
      <c r="EE98" s="14">
        <f>AVERAGE(EE95:EE97)</f>
        <v>0.95929410000000004</v>
      </c>
      <c r="EF98" s="7"/>
      <c r="EG98" s="7"/>
      <c r="EH98" s="7"/>
      <c r="EI98" s="14" t="s">
        <v>24</v>
      </c>
      <c r="EJ98" s="7"/>
      <c r="EK98" s="7"/>
      <c r="EL98" s="7"/>
      <c r="EM98" s="7" t="s">
        <v>24</v>
      </c>
      <c r="EN98" s="7" t="s">
        <v>24</v>
      </c>
      <c r="EO98" s="7" t="s">
        <v>24</v>
      </c>
      <c r="EP98" s="7" t="s">
        <v>24</v>
      </c>
      <c r="EQ98" s="7" t="s">
        <v>24</v>
      </c>
      <c r="ER98" s="7" t="s">
        <v>24</v>
      </c>
      <c r="ES98" s="7" t="s">
        <v>24</v>
      </c>
      <c r="ET98" s="7" t="s">
        <v>24</v>
      </c>
      <c r="EU98" s="7" t="s">
        <v>24</v>
      </c>
      <c r="EV98" s="7" t="s">
        <v>24</v>
      </c>
      <c r="EW98" s="14" t="s">
        <v>24</v>
      </c>
      <c r="EX98" s="7"/>
      <c r="EY98" s="7"/>
      <c r="EZ98" s="7"/>
      <c r="FA98" s="7" t="s">
        <v>24</v>
      </c>
      <c r="FB98" s="7" t="s">
        <v>24</v>
      </c>
      <c r="FC98" s="7" t="s">
        <v>24</v>
      </c>
      <c r="FD98" s="7" t="s">
        <v>24</v>
      </c>
      <c r="FE98" s="7" t="s">
        <v>24</v>
      </c>
      <c r="FF98" s="7" t="s">
        <v>24</v>
      </c>
      <c r="FG98" s="7" t="s">
        <v>24</v>
      </c>
      <c r="FH98" s="7" t="s">
        <v>24</v>
      </c>
      <c r="FI98" s="7" t="s">
        <v>24</v>
      </c>
      <c r="FJ98" s="7" t="s">
        <v>24</v>
      </c>
    </row>
    <row r="99" spans="3:166" x14ac:dyDescent="0.2">
      <c r="C99" s="6">
        <v>5</v>
      </c>
      <c r="D99" t="s">
        <v>43</v>
      </c>
      <c r="G99" s="45">
        <v>0.9829</v>
      </c>
      <c r="H99" s="10">
        <v>0.98700239999999995</v>
      </c>
      <c r="I99" s="10">
        <v>0.99427169999999998</v>
      </c>
      <c r="J99" s="10">
        <v>0.9906237</v>
      </c>
      <c r="K99" s="45">
        <v>9.0499999999999997E-2</v>
      </c>
      <c r="L99" s="10">
        <v>1</v>
      </c>
      <c r="M99" s="10">
        <v>1.0229133E-3</v>
      </c>
      <c r="N99" s="10">
        <v>2.0437359E-3</v>
      </c>
      <c r="O99" s="7" t="s">
        <v>24</v>
      </c>
      <c r="P99" s="10">
        <v>0</v>
      </c>
      <c r="Q99" s="10">
        <v>0.5</v>
      </c>
      <c r="R99" s="10">
        <v>0.5</v>
      </c>
      <c r="S99" s="10">
        <v>0</v>
      </c>
      <c r="T99" s="10">
        <v>0.158</v>
      </c>
      <c r="U99" s="10">
        <v>0.84199999999999997</v>
      </c>
      <c r="V99" s="7" t="s">
        <v>24</v>
      </c>
      <c r="W99" s="7" t="s">
        <v>24</v>
      </c>
      <c r="X99" s="7" t="s">
        <v>24</v>
      </c>
      <c r="Y99" s="45">
        <v>0.97150000000000003</v>
      </c>
      <c r="Z99" s="10">
        <v>0.97587939999999995</v>
      </c>
      <c r="AA99" s="10">
        <v>0.99324880000000004</v>
      </c>
      <c r="AB99" s="10">
        <v>0.98448749999999996</v>
      </c>
      <c r="AC99" s="7" t="s">
        <v>24</v>
      </c>
      <c r="AD99" s="10">
        <v>0</v>
      </c>
      <c r="AE99" s="10">
        <v>0.5</v>
      </c>
      <c r="AF99" s="10">
        <v>0.5</v>
      </c>
      <c r="AG99" s="7">
        <v>0</v>
      </c>
      <c r="AH99" s="10">
        <v>0.4605667</v>
      </c>
      <c r="AI99" s="10">
        <v>0.5394333</v>
      </c>
      <c r="AJ99" s="7" t="s">
        <v>24</v>
      </c>
      <c r="AK99" s="7" t="s">
        <v>24</v>
      </c>
      <c r="AL99" s="7" t="s">
        <v>24</v>
      </c>
      <c r="AM99" s="45">
        <v>0.98250000000000004</v>
      </c>
      <c r="AN99" s="10">
        <v>0.98463400000000001</v>
      </c>
      <c r="AO99" s="10">
        <v>0.99631749999999997</v>
      </c>
      <c r="AP99" s="10">
        <v>0.99044129999999997</v>
      </c>
      <c r="AQ99" s="10">
        <v>8.9599999999999999E-2</v>
      </c>
      <c r="AR99" s="7" t="s">
        <v>24</v>
      </c>
      <c r="AS99" s="10">
        <v>0</v>
      </c>
      <c r="AT99" s="7" t="s">
        <v>24</v>
      </c>
      <c r="AU99" s="7" t="s">
        <v>24</v>
      </c>
      <c r="AV99" s="10">
        <v>0</v>
      </c>
      <c r="AW99" s="10">
        <v>0.5</v>
      </c>
      <c r="AX99" s="10">
        <v>0.5</v>
      </c>
      <c r="AY99" s="10">
        <v>0</v>
      </c>
      <c r="AZ99" s="10">
        <v>0.1607333</v>
      </c>
      <c r="BA99" s="10">
        <v>0.83926670000000003</v>
      </c>
      <c r="BB99" s="7" t="s">
        <v>24</v>
      </c>
      <c r="BC99" s="7" t="s">
        <v>24</v>
      </c>
      <c r="BD99" s="7" t="s">
        <v>24</v>
      </c>
      <c r="BE99" s="10">
        <v>0.91039999999999999</v>
      </c>
      <c r="BF99" s="10">
        <v>0.91041159999999999</v>
      </c>
      <c r="BG99" s="7">
        <v>1</v>
      </c>
      <c r="BH99" s="10">
        <v>0.95310519999999999</v>
      </c>
      <c r="BI99" s="7" t="s">
        <v>24</v>
      </c>
      <c r="BJ99" s="10">
        <v>0</v>
      </c>
      <c r="BK99" s="7">
        <v>0.5</v>
      </c>
      <c r="BL99" s="10">
        <v>0.5</v>
      </c>
      <c r="BM99" s="7">
        <v>0</v>
      </c>
      <c r="BN99" s="10">
        <v>0.1599333</v>
      </c>
      <c r="BO99" s="10">
        <v>0.84006670000000006</v>
      </c>
      <c r="BP99" s="7" t="s">
        <v>24</v>
      </c>
      <c r="BQ99" s="7" t="s">
        <v>24</v>
      </c>
      <c r="BR99" s="7" t="s">
        <v>24</v>
      </c>
      <c r="BS99" s="45">
        <v>0.9829</v>
      </c>
      <c r="BT99" s="10">
        <v>0.98581850000000004</v>
      </c>
      <c r="BU99" s="10">
        <v>0.99549920000000003</v>
      </c>
      <c r="BV99" s="10">
        <v>0.99063520000000005</v>
      </c>
      <c r="BW99" s="45">
        <v>8.9599999999999999E-2</v>
      </c>
      <c r="BX99" s="7" t="s">
        <v>24</v>
      </c>
      <c r="BY99" s="7">
        <v>0</v>
      </c>
      <c r="BZ99" s="7" t="s">
        <v>24</v>
      </c>
      <c r="CA99" s="7" t="s">
        <v>24</v>
      </c>
      <c r="CB99" s="10">
        <v>0</v>
      </c>
      <c r="CC99" s="10">
        <v>0.5</v>
      </c>
      <c r="CD99" s="10">
        <v>0.5</v>
      </c>
      <c r="CE99" s="10">
        <v>0</v>
      </c>
      <c r="CF99" s="10">
        <v>0.16439999999999999</v>
      </c>
      <c r="CG99" s="10">
        <v>0.83560000000000001</v>
      </c>
      <c r="CH99" s="7" t="s">
        <v>24</v>
      </c>
      <c r="CI99" s="7" t="s">
        <v>24</v>
      </c>
      <c r="CJ99" s="7" t="s">
        <v>24</v>
      </c>
      <c r="CK99" s="10">
        <v>0.96</v>
      </c>
      <c r="CL99" s="10">
        <v>0.96075719999999998</v>
      </c>
      <c r="CM99" s="10">
        <v>0.99672669999999997</v>
      </c>
      <c r="CN99" s="10">
        <v>0.97841149999999999</v>
      </c>
      <c r="CO99" s="7" t="s">
        <v>24</v>
      </c>
      <c r="CP99" s="7">
        <v>0</v>
      </c>
      <c r="CQ99" s="7">
        <v>0.5</v>
      </c>
      <c r="CR99" s="7">
        <v>0.5</v>
      </c>
      <c r="CS99" s="7">
        <v>0</v>
      </c>
      <c r="CT99" s="10">
        <v>0.1607333</v>
      </c>
      <c r="CU99" s="10">
        <v>0.83926670000000003</v>
      </c>
      <c r="CV99" s="7" t="s">
        <v>24</v>
      </c>
      <c r="CW99" s="7" t="s">
        <v>24</v>
      </c>
      <c r="CX99" s="7" t="s">
        <v>24</v>
      </c>
      <c r="CY99" s="45">
        <v>0.9829</v>
      </c>
      <c r="CZ99" s="10">
        <v>0.98542510000000005</v>
      </c>
      <c r="DA99" s="10">
        <v>0.99590829999999997</v>
      </c>
      <c r="DB99" s="10">
        <v>0.99063900000000005</v>
      </c>
      <c r="DC99" s="45">
        <v>8.9800000000000005E-2</v>
      </c>
      <c r="DD99" s="10">
        <v>1</v>
      </c>
      <c r="DE99" s="10">
        <v>2.045827E-4</v>
      </c>
      <c r="DF99" s="10">
        <v>4.0908159999999998E-4</v>
      </c>
      <c r="DG99" s="7" t="s">
        <v>24</v>
      </c>
      <c r="DH99" s="10">
        <v>0</v>
      </c>
      <c r="DI99" s="10">
        <v>0.5</v>
      </c>
      <c r="DJ99" s="10">
        <v>0.5</v>
      </c>
      <c r="DK99" s="10">
        <v>0</v>
      </c>
      <c r="DL99" s="10">
        <v>0.1602333</v>
      </c>
      <c r="DM99" s="10">
        <v>0.83976669999999998</v>
      </c>
      <c r="DN99" s="7" t="s">
        <v>24</v>
      </c>
      <c r="DO99" s="7" t="s">
        <v>24</v>
      </c>
      <c r="DP99" s="7" t="s">
        <v>24</v>
      </c>
      <c r="DQ99" s="45">
        <v>0.95920000000000005</v>
      </c>
      <c r="DR99" s="10">
        <v>0.99013229999999997</v>
      </c>
      <c r="DS99" s="10">
        <v>0.9648118</v>
      </c>
      <c r="DT99" s="10">
        <v>0.97730810000000001</v>
      </c>
      <c r="DU99" s="7" t="s">
        <v>24</v>
      </c>
      <c r="DV99" s="10">
        <v>0</v>
      </c>
      <c r="DW99" s="7">
        <v>0.5</v>
      </c>
      <c r="DX99" s="7">
        <v>0.5</v>
      </c>
      <c r="DY99" s="7">
        <v>0</v>
      </c>
      <c r="DZ99" s="10">
        <v>0.15906670000000001</v>
      </c>
      <c r="EA99" s="10">
        <v>0.84093329999999999</v>
      </c>
      <c r="EB99" s="65" t="s">
        <v>24</v>
      </c>
      <c r="EC99" s="65" t="s">
        <v>24</v>
      </c>
      <c r="ED99" s="65" t="s">
        <v>24</v>
      </c>
      <c r="EE99" s="45">
        <v>0.97060000000000002</v>
      </c>
      <c r="EF99" s="10">
        <v>0.98904049999999999</v>
      </c>
      <c r="EG99" s="10">
        <v>0.97851880000000002</v>
      </c>
      <c r="EH99" s="10">
        <v>0.9837515</v>
      </c>
      <c r="EI99" s="14" t="s">
        <v>24</v>
      </c>
      <c r="EJ99" s="7" t="s">
        <v>24</v>
      </c>
      <c r="EK99" s="7" t="s">
        <v>24</v>
      </c>
      <c r="EL99" s="7" t="s">
        <v>24</v>
      </c>
      <c r="EM99" s="7" t="s">
        <v>24</v>
      </c>
      <c r="EN99" s="7" t="s">
        <v>24</v>
      </c>
      <c r="EO99" s="7" t="s">
        <v>24</v>
      </c>
      <c r="EP99" s="7" t="s">
        <v>24</v>
      </c>
      <c r="EQ99" s="7" t="s">
        <v>24</v>
      </c>
      <c r="ER99" s="7" t="s">
        <v>24</v>
      </c>
      <c r="ES99" s="7" t="s">
        <v>24</v>
      </c>
      <c r="ET99" s="7" t="s">
        <v>24</v>
      </c>
      <c r="EU99" s="7" t="s">
        <v>24</v>
      </c>
      <c r="EV99" s="7" t="s">
        <v>24</v>
      </c>
      <c r="EW99" s="14" t="s">
        <v>24</v>
      </c>
      <c r="EX99" s="7" t="s">
        <v>24</v>
      </c>
      <c r="EY99" s="7" t="s">
        <v>24</v>
      </c>
      <c r="EZ99" s="7" t="s">
        <v>24</v>
      </c>
      <c r="FA99" s="7" t="s">
        <v>24</v>
      </c>
      <c r="FB99" s="7" t="s">
        <v>24</v>
      </c>
      <c r="FC99" s="7" t="s">
        <v>24</v>
      </c>
      <c r="FD99" s="7" t="s">
        <v>24</v>
      </c>
      <c r="FE99" s="7" t="s">
        <v>24</v>
      </c>
      <c r="FF99" s="7" t="s">
        <v>24</v>
      </c>
      <c r="FG99" s="7" t="s">
        <v>24</v>
      </c>
      <c r="FH99" s="7" t="s">
        <v>24</v>
      </c>
      <c r="FI99" s="7" t="s">
        <v>24</v>
      </c>
      <c r="FJ99" s="7" t="s">
        <v>24</v>
      </c>
    </row>
  </sheetData>
  <mergeCells count="14">
    <mergeCell ref="G1:J1"/>
    <mergeCell ref="Y1:AB1"/>
    <mergeCell ref="Y2:AB2"/>
    <mergeCell ref="K1:X1"/>
    <mergeCell ref="K2:X2"/>
    <mergeCell ref="G2:J2"/>
    <mergeCell ref="EE1:EH1"/>
    <mergeCell ref="EE2:EH2"/>
    <mergeCell ref="BS1:BV1"/>
    <mergeCell ref="CY1:DB1"/>
    <mergeCell ref="AM1:AP1"/>
    <mergeCell ref="BS2:BV2"/>
    <mergeCell ref="CY2:DB2"/>
    <mergeCell ref="AM2:AP2"/>
  </mergeCells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5F9D-E67C-F341-A216-BA4C6DC20048}">
  <dimension ref="A1:FK114"/>
  <sheetViews>
    <sheetView zoomScale="110" zoomScaleNormal="110" workbookViewId="0">
      <pane xSplit="4" ySplit="3" topLeftCell="EU34" activePane="bottomRight" state="frozen"/>
      <selection pane="topRight" activeCell="E1" sqref="E1"/>
      <selection pane="bottomLeft" activeCell="A4" sqref="A4"/>
      <selection pane="bottomRight" activeCell="EX60" sqref="EX60:EZ60"/>
    </sheetView>
  </sheetViews>
  <sheetFormatPr baseColWidth="10" defaultColWidth="11" defaultRowHeight="16" x14ac:dyDescent="0.2"/>
  <cols>
    <col min="2" max="2" width="31.83203125" customWidth="1"/>
    <col min="7" max="7" width="10.83203125" style="11"/>
    <col min="11" max="11" width="10.83203125" style="11"/>
    <col min="25" max="25" width="10.83203125" style="11"/>
    <col min="39" max="39" width="10.83203125" style="11"/>
    <col min="40" max="41" width="10.83203125"/>
    <col min="42" max="42" width="10.83203125" style="15"/>
    <col min="43" max="43" width="13.33203125" customWidth="1"/>
    <col min="57" max="57" width="13.33203125" style="11" customWidth="1"/>
    <col min="71" max="71" width="10.83203125" style="11"/>
    <col min="75" max="75" width="10.83203125" style="11"/>
    <col min="89" max="89" width="13.5" style="11" customWidth="1"/>
    <col min="103" max="103" width="10.83203125" style="11"/>
    <col min="104" max="106" width="10.83203125"/>
    <col min="107" max="107" width="10.83203125" style="11"/>
    <col min="108" max="119" width="10.83203125"/>
    <col min="121" max="121" width="13.5" style="11" customWidth="1"/>
    <col min="135" max="135" width="10.83203125" style="11"/>
    <col min="139" max="139" width="10.83203125" style="11"/>
    <col min="153" max="153" width="10.83203125" style="11"/>
    <col min="167" max="167" width="10.83203125" style="11"/>
  </cols>
  <sheetData>
    <row r="1" spans="2:166" x14ac:dyDescent="0.2">
      <c r="G1" s="219" t="s">
        <v>14</v>
      </c>
      <c r="H1" s="219"/>
      <c r="I1" s="219"/>
      <c r="J1" s="219"/>
      <c r="K1" s="219" t="s">
        <v>51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 t="s">
        <v>59</v>
      </c>
      <c r="Z1" s="219"/>
      <c r="AA1" s="219"/>
      <c r="AB1" s="219"/>
      <c r="AC1" s="6"/>
      <c r="AE1" s="6"/>
      <c r="AF1" s="6"/>
      <c r="AH1" s="6"/>
      <c r="AI1" s="6"/>
      <c r="AK1" s="6"/>
      <c r="AL1" s="6"/>
      <c r="AM1" s="218" t="s">
        <v>14</v>
      </c>
      <c r="AN1" s="219"/>
      <c r="AO1" s="219"/>
      <c r="AP1" s="220"/>
      <c r="AQ1" t="s">
        <v>62</v>
      </c>
      <c r="BE1" s="11" t="s">
        <v>61</v>
      </c>
      <c r="BS1" s="219" t="s">
        <v>14</v>
      </c>
      <c r="BT1" s="219"/>
      <c r="BU1" s="219"/>
      <c r="BV1" s="219"/>
      <c r="BW1" s="11" t="s">
        <v>63</v>
      </c>
      <c r="CA1" s="6"/>
      <c r="CB1" s="6"/>
      <c r="CC1" s="6"/>
      <c r="CD1" s="6"/>
      <c r="CE1" s="6"/>
      <c r="CF1" s="6"/>
      <c r="CG1" s="6"/>
      <c r="CH1" s="6"/>
      <c r="CI1" s="6"/>
      <c r="CJ1" s="6"/>
      <c r="CK1" s="11" t="s">
        <v>64</v>
      </c>
      <c r="CO1" s="6"/>
      <c r="CP1" s="6"/>
      <c r="CQ1" s="6"/>
      <c r="CR1" s="6"/>
      <c r="CS1" s="6"/>
      <c r="CT1" s="6"/>
      <c r="CU1" s="6"/>
      <c r="CV1" s="6"/>
      <c r="CW1" s="6"/>
      <c r="CX1" s="6"/>
      <c r="CY1" s="219" t="s">
        <v>14</v>
      </c>
      <c r="CZ1" s="219"/>
      <c r="DA1" s="219"/>
      <c r="DB1" s="220"/>
      <c r="DC1" s="11" t="s">
        <v>63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11" t="s">
        <v>64</v>
      </c>
      <c r="DU1" s="6"/>
      <c r="DV1" s="6"/>
      <c r="DW1" s="6"/>
      <c r="DX1" s="6"/>
      <c r="DY1" s="6"/>
      <c r="DZ1" s="6"/>
      <c r="EA1" s="6"/>
      <c r="EB1" s="6"/>
      <c r="EC1" s="6"/>
      <c r="ED1" s="6"/>
      <c r="EE1" s="218" t="s">
        <v>14</v>
      </c>
      <c r="EF1" s="219"/>
      <c r="EG1" s="219"/>
      <c r="EH1" s="220"/>
      <c r="EI1" s="11" t="s">
        <v>63</v>
      </c>
      <c r="EM1" s="6"/>
      <c r="EN1" s="6"/>
      <c r="EO1" s="6"/>
      <c r="EP1" s="6"/>
      <c r="EQ1" s="6"/>
      <c r="ER1" s="6"/>
      <c r="ES1" s="6"/>
      <c r="ET1" s="6"/>
      <c r="EU1" s="6"/>
      <c r="EV1" s="6"/>
      <c r="EW1" s="11" t="s">
        <v>64</v>
      </c>
      <c r="FA1" s="6"/>
      <c r="FB1" s="6"/>
      <c r="FC1" s="6"/>
      <c r="FD1" s="6"/>
      <c r="FE1" s="6"/>
      <c r="FF1" s="6"/>
      <c r="FG1" s="6"/>
      <c r="FH1" s="6"/>
      <c r="FI1" s="6"/>
      <c r="FJ1" s="6"/>
    </row>
    <row r="2" spans="2:166" x14ac:dyDescent="0.2">
      <c r="G2" s="219" t="s">
        <v>45</v>
      </c>
      <c r="H2" s="219"/>
      <c r="I2" s="219"/>
      <c r="J2" s="219"/>
      <c r="K2" s="219" t="s">
        <v>45</v>
      </c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 t="s">
        <v>45</v>
      </c>
      <c r="Z2" s="219"/>
      <c r="AA2" s="219"/>
      <c r="AB2" s="219"/>
      <c r="AC2" s="6"/>
      <c r="AE2" s="6"/>
      <c r="AF2" s="6"/>
      <c r="AH2" s="6"/>
      <c r="AI2" s="6"/>
      <c r="AK2" s="6"/>
      <c r="AL2" s="6"/>
      <c r="AM2" s="218" t="s">
        <v>46</v>
      </c>
      <c r="AN2" s="219"/>
      <c r="AO2" s="219"/>
      <c r="AP2" s="220"/>
      <c r="AQ2" t="s">
        <v>46</v>
      </c>
      <c r="BE2" s="11" t="s">
        <v>46</v>
      </c>
      <c r="BS2" s="219" t="s">
        <v>50</v>
      </c>
      <c r="BT2" s="219"/>
      <c r="BU2" s="219"/>
      <c r="BV2" s="219"/>
      <c r="BW2" s="18" t="s">
        <v>50</v>
      </c>
      <c r="CA2" s="6"/>
      <c r="CB2" s="6"/>
      <c r="CC2" s="6"/>
      <c r="CD2" s="6"/>
      <c r="CE2" s="6"/>
      <c r="CF2" s="6"/>
      <c r="CG2" s="6"/>
      <c r="CH2" s="6"/>
      <c r="CI2" s="6"/>
      <c r="CJ2" s="6"/>
      <c r="CK2" s="18" t="s">
        <v>50</v>
      </c>
      <c r="CO2" s="6"/>
      <c r="CP2" s="6"/>
      <c r="CQ2" s="6"/>
      <c r="CR2" s="6"/>
      <c r="CS2" s="6"/>
      <c r="CT2" s="6"/>
      <c r="CU2" s="6"/>
      <c r="CV2" s="6"/>
      <c r="CW2" s="6"/>
      <c r="CX2" s="6"/>
      <c r="CY2" s="219" t="s">
        <v>47</v>
      </c>
      <c r="CZ2" s="219"/>
      <c r="DA2" s="219"/>
      <c r="DB2" s="220"/>
      <c r="DC2" s="18" t="s">
        <v>47</v>
      </c>
      <c r="DG2" s="6"/>
      <c r="DH2" s="6"/>
      <c r="DI2" s="6"/>
      <c r="DJ2" s="6"/>
      <c r="DK2" s="6"/>
      <c r="DL2" s="6"/>
      <c r="DM2" s="6"/>
      <c r="DN2" s="6"/>
      <c r="DO2" s="6"/>
      <c r="DP2" s="6"/>
      <c r="DQ2" s="18" t="s">
        <v>47</v>
      </c>
      <c r="DU2" s="6"/>
      <c r="DV2" s="6"/>
      <c r="DW2" s="6"/>
      <c r="DX2" s="6"/>
      <c r="DY2" s="6"/>
      <c r="DZ2" s="6"/>
      <c r="EA2" s="6"/>
      <c r="EB2" s="6"/>
      <c r="EC2" s="6"/>
      <c r="ED2" s="6"/>
      <c r="EE2" s="218" t="s">
        <v>65</v>
      </c>
      <c r="EF2" s="219"/>
      <c r="EG2" s="219"/>
      <c r="EH2" s="220"/>
      <c r="EI2" s="18" t="s">
        <v>48</v>
      </c>
      <c r="EM2" s="6"/>
      <c r="EN2" s="6"/>
      <c r="EO2" s="6"/>
      <c r="EP2" s="6"/>
      <c r="EQ2" s="6"/>
      <c r="ER2" s="6"/>
      <c r="ES2" s="6"/>
      <c r="ET2" s="6"/>
      <c r="EU2" s="6"/>
      <c r="EV2" s="6"/>
      <c r="EW2" s="18" t="s">
        <v>48</v>
      </c>
      <c r="FA2" s="6"/>
      <c r="FB2" s="6"/>
      <c r="FC2" s="6"/>
      <c r="FD2" s="6"/>
      <c r="FE2" s="6"/>
      <c r="FF2" s="6"/>
      <c r="FG2" s="6"/>
      <c r="FH2" s="6"/>
      <c r="FI2" s="6"/>
      <c r="FJ2" s="6"/>
    </row>
    <row r="3" spans="2:166" x14ac:dyDescent="0.2">
      <c r="B3" s="2" t="s">
        <v>0</v>
      </c>
      <c r="C3" t="s">
        <v>44</v>
      </c>
      <c r="D3" t="s">
        <v>39</v>
      </c>
      <c r="E3" s="1" t="s">
        <v>1</v>
      </c>
      <c r="F3" s="1" t="s">
        <v>2</v>
      </c>
      <c r="G3" s="11" t="s">
        <v>35</v>
      </c>
      <c r="H3" t="s">
        <v>36</v>
      </c>
      <c r="I3" t="s">
        <v>37</v>
      </c>
      <c r="J3" t="s">
        <v>38</v>
      </c>
      <c r="K3" s="11" t="s">
        <v>35</v>
      </c>
      <c r="L3" t="s">
        <v>36</v>
      </c>
      <c r="M3" t="s">
        <v>37</v>
      </c>
      <c r="N3" t="s">
        <v>38</v>
      </c>
      <c r="O3" s="6" t="s">
        <v>58</v>
      </c>
      <c r="P3" s="6" t="s">
        <v>52</v>
      </c>
      <c r="Q3" s="6"/>
      <c r="R3" s="6"/>
      <c r="S3" s="6" t="s">
        <v>53</v>
      </c>
      <c r="T3" s="6"/>
      <c r="U3" s="6"/>
      <c r="V3" s="6" t="s">
        <v>54</v>
      </c>
      <c r="W3" s="6"/>
      <c r="X3" s="6"/>
      <c r="Y3" s="11" t="s">
        <v>35</v>
      </c>
      <c r="Z3" t="s">
        <v>36</v>
      </c>
      <c r="AA3" t="s">
        <v>37</v>
      </c>
      <c r="AB3" t="s">
        <v>38</v>
      </c>
      <c r="AC3" s="6" t="s">
        <v>58</v>
      </c>
      <c r="AD3" s="6" t="s">
        <v>52</v>
      </c>
      <c r="AE3" s="6"/>
      <c r="AF3" s="6"/>
      <c r="AG3" s="6" t="s">
        <v>53</v>
      </c>
      <c r="AH3" s="6"/>
      <c r="AI3" s="6"/>
      <c r="AJ3" s="6" t="s">
        <v>54</v>
      </c>
      <c r="AK3" s="6"/>
      <c r="AL3" s="6"/>
      <c r="AM3" s="11" t="s">
        <v>35</v>
      </c>
      <c r="AN3" t="s">
        <v>36</v>
      </c>
      <c r="AO3" t="s">
        <v>37</v>
      </c>
      <c r="AP3" s="15" t="s">
        <v>38</v>
      </c>
      <c r="AQ3" t="s">
        <v>35</v>
      </c>
      <c r="AR3" t="s">
        <v>36</v>
      </c>
      <c r="AS3" t="s">
        <v>37</v>
      </c>
      <c r="AT3" t="s">
        <v>38</v>
      </c>
      <c r="AU3" s="6" t="s">
        <v>58</v>
      </c>
      <c r="AV3" s="6" t="s">
        <v>52</v>
      </c>
      <c r="AW3" s="6"/>
      <c r="AX3" s="6"/>
      <c r="AY3" s="6" t="s">
        <v>53</v>
      </c>
      <c r="AZ3" s="6"/>
      <c r="BA3" s="6"/>
      <c r="BB3" s="6" t="s">
        <v>54</v>
      </c>
      <c r="BC3" s="6"/>
      <c r="BD3" s="6"/>
      <c r="BE3" s="11" t="s">
        <v>35</v>
      </c>
      <c r="BF3" t="s">
        <v>36</v>
      </c>
      <c r="BG3" t="s">
        <v>37</v>
      </c>
      <c r="BH3" t="s">
        <v>38</v>
      </c>
      <c r="BI3" s="6" t="s">
        <v>58</v>
      </c>
      <c r="BJ3" s="6" t="s">
        <v>52</v>
      </c>
      <c r="BK3" s="6"/>
      <c r="BL3" s="6"/>
      <c r="BM3" s="6" t="s">
        <v>53</v>
      </c>
      <c r="BN3" s="6"/>
      <c r="BO3" s="6"/>
      <c r="BP3" s="6" t="s">
        <v>54</v>
      </c>
      <c r="BQ3" s="6"/>
      <c r="BR3" s="6"/>
      <c r="BS3" s="11" t="s">
        <v>35</v>
      </c>
      <c r="BT3" t="s">
        <v>36</v>
      </c>
      <c r="BU3" t="s">
        <v>37</v>
      </c>
      <c r="BV3" t="s">
        <v>38</v>
      </c>
      <c r="BW3" s="11" t="s">
        <v>35</v>
      </c>
      <c r="BX3" t="s">
        <v>36</v>
      </c>
      <c r="BY3" t="s">
        <v>37</v>
      </c>
      <c r="BZ3" t="s">
        <v>38</v>
      </c>
      <c r="CA3" s="6" t="s">
        <v>58</v>
      </c>
      <c r="CB3" s="6" t="s">
        <v>52</v>
      </c>
      <c r="CC3" s="6"/>
      <c r="CD3" s="6"/>
      <c r="CE3" s="6" t="s">
        <v>53</v>
      </c>
      <c r="CF3" s="6"/>
      <c r="CG3" s="6"/>
      <c r="CH3" s="6" t="s">
        <v>54</v>
      </c>
      <c r="CI3" s="6"/>
      <c r="CJ3" s="6"/>
      <c r="CK3" s="11" t="s">
        <v>35</v>
      </c>
      <c r="CL3" t="s">
        <v>36</v>
      </c>
      <c r="CM3" t="s">
        <v>37</v>
      </c>
      <c r="CN3" t="s">
        <v>38</v>
      </c>
      <c r="CO3" s="6" t="s">
        <v>58</v>
      </c>
      <c r="CP3" s="6" t="s">
        <v>52</v>
      </c>
      <c r="CQ3" s="6"/>
      <c r="CR3" s="6"/>
      <c r="CS3" s="6" t="s">
        <v>53</v>
      </c>
      <c r="CT3" s="6"/>
      <c r="CU3" s="6"/>
      <c r="CV3" s="6" t="s">
        <v>54</v>
      </c>
      <c r="CW3" s="6"/>
      <c r="CX3" s="6"/>
      <c r="CY3" s="11" t="s">
        <v>35</v>
      </c>
      <c r="CZ3" t="s">
        <v>36</v>
      </c>
      <c r="DA3" t="s">
        <v>37</v>
      </c>
      <c r="DB3" t="s">
        <v>38</v>
      </c>
      <c r="DC3" s="11" t="s">
        <v>35</v>
      </c>
      <c r="DD3" t="s">
        <v>36</v>
      </c>
      <c r="DE3" t="s">
        <v>37</v>
      </c>
      <c r="DF3" t="s">
        <v>38</v>
      </c>
      <c r="DG3" s="6" t="s">
        <v>58</v>
      </c>
      <c r="DH3" s="6" t="s">
        <v>52</v>
      </c>
      <c r="DI3" s="6"/>
      <c r="DJ3" s="6"/>
      <c r="DK3" s="6" t="s">
        <v>53</v>
      </c>
      <c r="DL3" s="6"/>
      <c r="DM3" s="6"/>
      <c r="DN3" s="6" t="s">
        <v>54</v>
      </c>
      <c r="DO3" s="6"/>
      <c r="DP3" s="6"/>
      <c r="DQ3" s="11" t="s">
        <v>35</v>
      </c>
      <c r="DR3" t="s">
        <v>36</v>
      </c>
      <c r="DS3" t="s">
        <v>37</v>
      </c>
      <c r="DT3" t="s">
        <v>38</v>
      </c>
      <c r="DU3" s="6" t="s">
        <v>58</v>
      </c>
      <c r="DV3" s="6" t="s">
        <v>52</v>
      </c>
      <c r="DW3" s="6"/>
      <c r="DX3" s="6"/>
      <c r="DY3" s="6" t="s">
        <v>53</v>
      </c>
      <c r="DZ3" s="6"/>
      <c r="EA3" s="6"/>
      <c r="EB3" s="6" t="s">
        <v>54</v>
      </c>
      <c r="EC3" s="6"/>
      <c r="ED3" s="6"/>
      <c r="EE3" s="11" t="s">
        <v>35</v>
      </c>
      <c r="EF3" t="s">
        <v>36</v>
      </c>
      <c r="EG3" t="s">
        <v>37</v>
      </c>
      <c r="EH3" t="s">
        <v>38</v>
      </c>
      <c r="EI3" s="11" t="s">
        <v>35</v>
      </c>
      <c r="EJ3" t="s">
        <v>36</v>
      </c>
      <c r="EK3" t="s">
        <v>37</v>
      </c>
      <c r="EL3" t="s">
        <v>38</v>
      </c>
      <c r="EM3" s="6" t="s">
        <v>58</v>
      </c>
      <c r="EN3" s="6" t="s">
        <v>52</v>
      </c>
      <c r="EO3" s="6"/>
      <c r="EP3" s="6"/>
      <c r="EQ3" s="6" t="s">
        <v>53</v>
      </c>
      <c r="ER3" s="6"/>
      <c r="ES3" s="6"/>
      <c r="ET3" s="6" t="s">
        <v>54</v>
      </c>
      <c r="EU3" s="6"/>
      <c r="EV3" s="6"/>
      <c r="EW3" s="11" t="s">
        <v>35</v>
      </c>
      <c r="EX3" t="s">
        <v>36</v>
      </c>
      <c r="EY3" t="s">
        <v>37</v>
      </c>
      <c r="EZ3" t="s">
        <v>38</v>
      </c>
      <c r="FA3" s="6" t="s">
        <v>58</v>
      </c>
      <c r="FB3" s="6" t="s">
        <v>52</v>
      </c>
      <c r="FC3" s="6"/>
      <c r="FD3" s="6"/>
      <c r="FE3" s="6" t="s">
        <v>53</v>
      </c>
      <c r="FF3" s="6"/>
      <c r="FG3" s="6"/>
      <c r="FH3" s="6" t="s">
        <v>54</v>
      </c>
      <c r="FI3" s="6"/>
      <c r="FJ3" s="6"/>
    </row>
    <row r="4" spans="2:166" x14ac:dyDescent="0.2">
      <c r="B4" s="3" t="s">
        <v>7</v>
      </c>
      <c r="E4" s="3">
        <v>48842</v>
      </c>
      <c r="F4" s="3">
        <v>15</v>
      </c>
      <c r="G4" s="14"/>
      <c r="H4" s="7"/>
      <c r="I4" s="7"/>
      <c r="J4" s="7"/>
      <c r="K4" s="14"/>
      <c r="L4" s="7"/>
      <c r="M4" s="7"/>
      <c r="N4" s="7"/>
      <c r="O4" s="7"/>
      <c r="P4" s="80" t="s">
        <v>55</v>
      </c>
      <c r="Q4" s="80" t="s">
        <v>56</v>
      </c>
      <c r="R4" s="80" t="s">
        <v>57</v>
      </c>
      <c r="S4" s="80" t="s">
        <v>55</v>
      </c>
      <c r="T4" s="80" t="s">
        <v>56</v>
      </c>
      <c r="U4" s="80" t="s">
        <v>57</v>
      </c>
      <c r="V4" s="80" t="s">
        <v>55</v>
      </c>
      <c r="W4" s="80" t="s">
        <v>56</v>
      </c>
      <c r="X4" s="80" t="s">
        <v>57</v>
      </c>
      <c r="Y4" s="14"/>
      <c r="Z4" s="7"/>
      <c r="AA4" s="7"/>
      <c r="AB4" s="7"/>
      <c r="AC4" s="7"/>
      <c r="AD4" s="80" t="s">
        <v>55</v>
      </c>
      <c r="AE4" s="80" t="s">
        <v>56</v>
      </c>
      <c r="AF4" s="80" t="s">
        <v>57</v>
      </c>
      <c r="AG4" s="80" t="s">
        <v>55</v>
      </c>
      <c r="AH4" s="80" t="s">
        <v>56</v>
      </c>
      <c r="AI4" s="80" t="s">
        <v>57</v>
      </c>
      <c r="AJ4" s="80" t="s">
        <v>55</v>
      </c>
      <c r="AK4" s="80" t="s">
        <v>56</v>
      </c>
      <c r="AL4" s="80" t="s">
        <v>57</v>
      </c>
      <c r="AM4" s="14"/>
      <c r="AN4" s="7"/>
      <c r="AO4" s="7"/>
      <c r="AP4" s="17"/>
      <c r="AQ4" s="7"/>
      <c r="AR4" s="7"/>
      <c r="AS4" s="7"/>
      <c r="AT4" s="7"/>
      <c r="AU4" s="7"/>
      <c r="AV4" s="80" t="s">
        <v>55</v>
      </c>
      <c r="AW4" s="80" t="s">
        <v>56</v>
      </c>
      <c r="AX4" s="80" t="s">
        <v>57</v>
      </c>
      <c r="AY4" s="80" t="s">
        <v>55</v>
      </c>
      <c r="AZ4" s="80" t="s">
        <v>56</v>
      </c>
      <c r="BA4" s="80" t="s">
        <v>57</v>
      </c>
      <c r="BB4" s="80" t="s">
        <v>55</v>
      </c>
      <c r="BC4" s="80" t="s">
        <v>56</v>
      </c>
      <c r="BD4" s="80" t="s">
        <v>57</v>
      </c>
      <c r="BE4" s="14"/>
      <c r="BF4" s="7"/>
      <c r="BG4" s="7"/>
      <c r="BH4" s="7"/>
      <c r="BI4" s="7"/>
      <c r="BJ4" s="80" t="s">
        <v>55</v>
      </c>
      <c r="BK4" s="80" t="s">
        <v>56</v>
      </c>
      <c r="BL4" s="80" t="s">
        <v>57</v>
      </c>
      <c r="BM4" s="80" t="s">
        <v>55</v>
      </c>
      <c r="BN4" s="80" t="s">
        <v>56</v>
      </c>
      <c r="BO4" s="80" t="s">
        <v>57</v>
      </c>
      <c r="BP4" s="80" t="s">
        <v>55</v>
      </c>
      <c r="BQ4" s="80" t="s">
        <v>56</v>
      </c>
      <c r="BR4" s="80" t="s">
        <v>57</v>
      </c>
      <c r="BS4" s="14"/>
      <c r="BT4" s="7"/>
      <c r="BU4" s="7"/>
      <c r="BV4" s="7"/>
      <c r="BW4" s="14"/>
      <c r="BX4" s="7"/>
      <c r="BY4" s="7"/>
      <c r="BZ4" s="7"/>
      <c r="CA4" s="7"/>
      <c r="CB4" s="80" t="s">
        <v>55</v>
      </c>
      <c r="CC4" s="80" t="s">
        <v>56</v>
      </c>
      <c r="CD4" s="80" t="s">
        <v>57</v>
      </c>
      <c r="CE4" s="80" t="s">
        <v>55</v>
      </c>
      <c r="CF4" s="80" t="s">
        <v>56</v>
      </c>
      <c r="CG4" s="80" t="s">
        <v>57</v>
      </c>
      <c r="CH4" s="80" t="s">
        <v>55</v>
      </c>
      <c r="CI4" s="80" t="s">
        <v>56</v>
      </c>
      <c r="CJ4" s="80" t="s">
        <v>57</v>
      </c>
      <c r="CK4" s="14"/>
      <c r="CL4" s="7"/>
      <c r="CM4" s="7"/>
      <c r="CN4" s="7"/>
      <c r="CO4" s="7"/>
      <c r="CP4" s="80" t="s">
        <v>55</v>
      </c>
      <c r="CQ4" s="80" t="s">
        <v>56</v>
      </c>
      <c r="CR4" s="80" t="s">
        <v>57</v>
      </c>
      <c r="CS4" s="80" t="s">
        <v>55</v>
      </c>
      <c r="CT4" s="80" t="s">
        <v>56</v>
      </c>
      <c r="CU4" s="80" t="s">
        <v>57</v>
      </c>
      <c r="CV4" s="80" t="s">
        <v>55</v>
      </c>
      <c r="CW4" s="80" t="s">
        <v>56</v>
      </c>
      <c r="CX4" s="80" t="s">
        <v>57</v>
      </c>
      <c r="CY4" s="14"/>
      <c r="CZ4" s="7"/>
      <c r="DA4" s="7"/>
      <c r="DB4" s="7"/>
      <c r="DC4" s="14"/>
      <c r="DD4" s="7"/>
      <c r="DE4" s="7"/>
      <c r="DF4" s="7"/>
      <c r="DG4" s="7"/>
      <c r="DH4" s="80" t="s">
        <v>55</v>
      </c>
      <c r="DI4" s="80" t="s">
        <v>56</v>
      </c>
      <c r="DJ4" s="80" t="s">
        <v>57</v>
      </c>
      <c r="DK4" s="80" t="s">
        <v>55</v>
      </c>
      <c r="DL4" s="80" t="s">
        <v>56</v>
      </c>
      <c r="DM4" s="80" t="s">
        <v>57</v>
      </c>
      <c r="DN4" s="80" t="s">
        <v>55</v>
      </c>
      <c r="DO4" s="80" t="s">
        <v>56</v>
      </c>
      <c r="DP4" s="80" t="s">
        <v>57</v>
      </c>
      <c r="DQ4" s="14"/>
      <c r="DR4" s="7"/>
      <c r="DS4" s="7"/>
      <c r="DT4" s="7"/>
      <c r="DU4" s="7"/>
      <c r="DV4" s="80" t="s">
        <v>55</v>
      </c>
      <c r="DW4" s="80" t="s">
        <v>56</v>
      </c>
      <c r="DX4" s="80" t="s">
        <v>57</v>
      </c>
      <c r="DY4" s="80" t="s">
        <v>55</v>
      </c>
      <c r="DZ4" s="80" t="s">
        <v>56</v>
      </c>
      <c r="EA4" s="80" t="s">
        <v>57</v>
      </c>
      <c r="EB4" s="80" t="s">
        <v>55</v>
      </c>
      <c r="EC4" s="80" t="s">
        <v>56</v>
      </c>
      <c r="ED4" s="80" t="s">
        <v>57</v>
      </c>
      <c r="EE4" s="14"/>
      <c r="EF4" s="7"/>
      <c r="EG4" s="7"/>
      <c r="EH4" s="7"/>
      <c r="EI4" s="14"/>
      <c r="EJ4" s="7"/>
      <c r="EK4" s="7"/>
      <c r="EL4" s="7"/>
      <c r="EM4" s="7"/>
      <c r="EN4" s="80" t="s">
        <v>55</v>
      </c>
      <c r="EO4" s="80" t="s">
        <v>56</v>
      </c>
      <c r="EP4" s="80" t="s">
        <v>57</v>
      </c>
      <c r="EQ4" s="80" t="s">
        <v>55</v>
      </c>
      <c r="ER4" s="80" t="s">
        <v>56</v>
      </c>
      <c r="ES4" s="80" t="s">
        <v>57</v>
      </c>
      <c r="ET4" s="80" t="s">
        <v>55</v>
      </c>
      <c r="EU4" s="80" t="s">
        <v>56</v>
      </c>
      <c r="EV4" s="80" t="s">
        <v>57</v>
      </c>
      <c r="EW4" s="14"/>
      <c r="EX4" s="7"/>
      <c r="EY4" s="7"/>
      <c r="EZ4" s="7"/>
      <c r="FA4" s="7"/>
      <c r="FB4" s="80" t="s">
        <v>55</v>
      </c>
      <c r="FC4" s="80" t="s">
        <v>56</v>
      </c>
      <c r="FD4" s="80" t="s">
        <v>57</v>
      </c>
      <c r="FE4" s="80" t="s">
        <v>55</v>
      </c>
      <c r="FF4" s="80" t="s">
        <v>56</v>
      </c>
      <c r="FG4" s="80" t="s">
        <v>57</v>
      </c>
      <c r="FH4" s="80" t="s">
        <v>55</v>
      </c>
      <c r="FI4" s="80" t="s">
        <v>56</v>
      </c>
      <c r="FJ4" s="80" t="s">
        <v>57</v>
      </c>
    </row>
    <row r="5" spans="2:166" x14ac:dyDescent="0.2">
      <c r="B5" s="3"/>
      <c r="C5" s="6">
        <v>1</v>
      </c>
      <c r="D5" t="s">
        <v>40</v>
      </c>
      <c r="E5" s="3"/>
      <c r="F5" s="3"/>
      <c r="G5" s="45">
        <v>0.86363040000000002</v>
      </c>
      <c r="H5" s="7"/>
      <c r="I5" s="7"/>
      <c r="J5" s="7"/>
      <c r="K5" s="45">
        <v>0.89300409999999997</v>
      </c>
      <c r="L5" s="8"/>
      <c r="M5" s="8"/>
      <c r="N5" s="8"/>
      <c r="O5" s="8"/>
      <c r="P5" s="7"/>
      <c r="Q5" s="7"/>
      <c r="R5" s="7"/>
      <c r="S5" s="7"/>
      <c r="T5" s="7"/>
      <c r="U5" s="7"/>
      <c r="V5" s="7"/>
      <c r="W5" s="7"/>
      <c r="X5" s="7"/>
      <c r="Y5" s="45">
        <v>0.8598112</v>
      </c>
      <c r="Z5" s="8"/>
      <c r="AA5" s="8"/>
      <c r="AB5" s="8"/>
      <c r="AC5" s="8"/>
      <c r="AD5" s="7"/>
      <c r="AE5" s="7"/>
      <c r="AF5" s="7"/>
      <c r="AG5" s="7"/>
      <c r="AH5" s="7"/>
      <c r="AI5" s="7"/>
      <c r="AJ5" s="7"/>
      <c r="AK5" s="7"/>
      <c r="AL5" s="7"/>
      <c r="AM5" s="10">
        <v>0.82427269999999997</v>
      </c>
      <c r="AN5" s="8"/>
      <c r="AO5" s="8"/>
      <c r="AP5" s="16"/>
      <c r="AQ5" s="10">
        <v>0.71130249999999995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0">
        <v>0.81816390000000006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10">
        <v>0.80139510000000003</v>
      </c>
      <c r="BT5" s="7"/>
      <c r="BU5" s="7"/>
      <c r="BV5" s="7"/>
      <c r="BW5" s="10">
        <v>0.90393409999999996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53">
        <v>0.80577940000000003</v>
      </c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10">
        <v>0.84969729999999999</v>
      </c>
      <c r="CZ5" s="7"/>
      <c r="DA5" s="7"/>
      <c r="DB5" s="7"/>
      <c r="DC5" s="10">
        <v>0.78692269999999997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10">
        <v>0.85944560000000003</v>
      </c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53">
        <v>0.75914709999999996</v>
      </c>
      <c r="EF5" s="7"/>
      <c r="EG5" s="7"/>
      <c r="EH5" s="7"/>
      <c r="EI5" s="10">
        <v>0.89478500000000005</v>
      </c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10">
        <v>0.74459299999999995</v>
      </c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</row>
    <row r="6" spans="2:166" x14ac:dyDescent="0.2">
      <c r="B6" s="3"/>
      <c r="C6" s="6">
        <v>1</v>
      </c>
      <c r="D6" t="s">
        <v>41</v>
      </c>
      <c r="E6" s="3"/>
      <c r="F6" s="3"/>
      <c r="G6" s="45">
        <v>0.85759410000000003</v>
      </c>
      <c r="H6" s="7"/>
      <c r="I6" s="7"/>
      <c r="J6" s="7"/>
      <c r="K6" s="45">
        <v>0.9012346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45">
        <v>0.86595909999999998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0">
        <v>0.82350619999999997</v>
      </c>
      <c r="AN6" s="7"/>
      <c r="AO6" s="7"/>
      <c r="AP6" s="17"/>
      <c r="AQ6" s="10">
        <v>0.70241169999999997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0">
        <v>0.81324949999999996</v>
      </c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10">
        <v>0.85009210000000002</v>
      </c>
      <c r="BT6" s="7"/>
      <c r="BU6" s="7"/>
      <c r="BV6" s="7"/>
      <c r="BW6" s="10">
        <v>0.90397810000000001</v>
      </c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53">
        <v>0.82206060000000003</v>
      </c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10">
        <v>0.84822960000000003</v>
      </c>
      <c r="CZ6" s="7"/>
      <c r="DA6" s="7"/>
      <c r="DB6" s="7"/>
      <c r="DC6" s="10">
        <v>0.85864589999999996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10">
        <v>0.85764839999999998</v>
      </c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53">
        <v>0.77359480000000003</v>
      </c>
      <c r="EF6" s="7"/>
      <c r="EG6" s="7"/>
      <c r="EH6" s="7"/>
      <c r="EI6" s="10">
        <v>0.89483310000000005</v>
      </c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10">
        <v>0.75825469999999995</v>
      </c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</row>
    <row r="7" spans="2:166" x14ac:dyDescent="0.2">
      <c r="B7" s="3"/>
      <c r="C7" s="6">
        <v>1</v>
      </c>
      <c r="D7" t="s">
        <v>42</v>
      </c>
      <c r="E7" s="3"/>
      <c r="F7" s="3"/>
      <c r="G7" s="45">
        <v>0.85048699999999999</v>
      </c>
      <c r="H7" s="7"/>
      <c r="I7" s="7"/>
      <c r="J7" s="7"/>
      <c r="K7" s="45">
        <v>0.90347670000000002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45">
        <v>0.85548559999999996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0">
        <v>0.82232170000000004</v>
      </c>
      <c r="AN7" s="7"/>
      <c r="AO7" s="7"/>
      <c r="AP7" s="17"/>
      <c r="AQ7" s="10">
        <v>0.70478039999999997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10">
        <v>0.81616200000000005</v>
      </c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10">
        <v>0.80795050000000002</v>
      </c>
      <c r="BT7" s="7"/>
      <c r="BU7" s="7"/>
      <c r="BV7" s="7"/>
      <c r="BW7" s="10">
        <v>0.89483310000000005</v>
      </c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53">
        <v>0.8472577</v>
      </c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10">
        <v>0.85535669999999997</v>
      </c>
      <c r="CZ7" s="7"/>
      <c r="DA7" s="7"/>
      <c r="DB7" s="7"/>
      <c r="DC7" s="10">
        <v>0.89208960000000004</v>
      </c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10">
        <v>0.85728329999999997</v>
      </c>
      <c r="DR7" s="7"/>
      <c r="DS7" s="7"/>
      <c r="DT7" s="7"/>
      <c r="DU7" s="10"/>
      <c r="DV7" s="7"/>
      <c r="DW7" s="7"/>
      <c r="DX7" s="7"/>
      <c r="DY7" s="7"/>
      <c r="DZ7" s="7"/>
      <c r="EA7" s="7"/>
      <c r="EB7" s="7"/>
      <c r="EC7" s="7"/>
      <c r="ED7" s="7"/>
      <c r="EE7" s="53">
        <v>0.761911</v>
      </c>
      <c r="EF7" s="7"/>
      <c r="EG7" s="7"/>
      <c r="EH7" s="7"/>
      <c r="EI7" s="10">
        <v>0.89483310000000005</v>
      </c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10">
        <v>0.74911519999999998</v>
      </c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</row>
    <row r="8" spans="2:166" x14ac:dyDescent="0.2">
      <c r="B8" s="3"/>
      <c r="C8" s="6">
        <v>1</v>
      </c>
      <c r="D8" t="s">
        <v>60</v>
      </c>
      <c r="E8" s="3"/>
      <c r="F8" s="3"/>
      <c r="G8" s="44">
        <f>AVERAGE(G5:G7)</f>
        <v>0.85723716666666672</v>
      </c>
      <c r="H8" s="7"/>
      <c r="I8" s="7"/>
      <c r="J8" s="7"/>
      <c r="K8" s="29">
        <f>AVERAGE(K5:K7)</f>
        <v>0.89923846666666662</v>
      </c>
      <c r="L8" s="8"/>
      <c r="M8" s="8"/>
      <c r="N8" s="8"/>
      <c r="O8" s="7">
        <v>2.29E-2</v>
      </c>
      <c r="P8" s="7">
        <v>0.75</v>
      </c>
      <c r="Q8" s="7">
        <v>0.25</v>
      </c>
      <c r="R8" s="7">
        <v>0</v>
      </c>
      <c r="S8" s="72">
        <v>0.99153329999999995</v>
      </c>
      <c r="T8" s="10">
        <v>8.4666670000000006E-3</v>
      </c>
      <c r="U8" s="7">
        <v>0</v>
      </c>
      <c r="V8" s="28">
        <v>0.97480579999999994</v>
      </c>
      <c r="W8" s="10">
        <v>1.518858E-2</v>
      </c>
      <c r="X8" s="10">
        <v>1.000558E-2</v>
      </c>
      <c r="Y8" s="43">
        <f>AVERAGE(Y5:Y7)</f>
        <v>0.86041863333333335</v>
      </c>
      <c r="Z8" s="8"/>
      <c r="AA8" s="8"/>
      <c r="AB8" s="8"/>
      <c r="AC8" s="10">
        <v>0.65720000000000001</v>
      </c>
      <c r="AD8" s="7">
        <v>0.25</v>
      </c>
      <c r="AE8" s="32">
        <v>0.75</v>
      </c>
      <c r="AF8" s="7">
        <v>0</v>
      </c>
      <c r="AG8" s="7">
        <v>4.7166670000000001E-2</v>
      </c>
      <c r="AH8" s="32">
        <v>0.95283329999999999</v>
      </c>
      <c r="AI8" s="7">
        <v>0</v>
      </c>
      <c r="AJ8" s="10">
        <v>0.21961849999999999</v>
      </c>
      <c r="AK8" s="10">
        <v>0.67774040000000002</v>
      </c>
      <c r="AL8" s="10">
        <v>0.1026411</v>
      </c>
      <c r="AM8" s="13">
        <f>AVERAGE(AM5:AM7)</f>
        <v>0.82336686666666681</v>
      </c>
      <c r="AN8" s="8"/>
      <c r="AO8" s="8"/>
      <c r="AP8" s="16"/>
      <c r="AQ8" s="42">
        <f>AVERAGE(AQ5:AQ7)</f>
        <v>0.70616486666666667</v>
      </c>
      <c r="AR8" s="7"/>
      <c r="AS8" s="8"/>
      <c r="AT8" s="7"/>
      <c r="AU8" s="10">
        <v>4.0230000000000002E-4</v>
      </c>
      <c r="AV8" s="7">
        <v>0</v>
      </c>
      <c r="AW8" s="7">
        <v>0.25</v>
      </c>
      <c r="AX8" s="7">
        <v>0.75</v>
      </c>
      <c r="AY8" s="7">
        <v>0</v>
      </c>
      <c r="AZ8" s="10">
        <v>8.6E-3</v>
      </c>
      <c r="BA8" s="49">
        <v>0.99139999999999995</v>
      </c>
      <c r="BB8" s="10">
        <v>2.2765200000000001E-4</v>
      </c>
      <c r="BC8" s="10">
        <v>9.2777569999999995E-5</v>
      </c>
      <c r="BD8" s="49">
        <v>0.9996796</v>
      </c>
      <c r="BE8" s="88">
        <f>AVERAGE(BE5:BE7)</f>
        <v>0.81585846666666662</v>
      </c>
      <c r="BF8" s="7"/>
      <c r="BG8" s="8"/>
      <c r="BH8" s="7"/>
      <c r="BI8" s="10">
        <v>3.1899999999999998E-2</v>
      </c>
      <c r="BJ8" s="7">
        <v>0</v>
      </c>
      <c r="BK8" s="32">
        <v>0.75</v>
      </c>
      <c r="BL8" s="7">
        <v>0.25</v>
      </c>
      <c r="BM8" s="7">
        <v>0</v>
      </c>
      <c r="BN8" s="50">
        <v>0.95276669999999997</v>
      </c>
      <c r="BO8" s="10">
        <v>4.7233329999999997E-2</v>
      </c>
      <c r="BP8" s="10">
        <v>4.0572760000000003E-3</v>
      </c>
      <c r="BQ8" s="10">
        <v>0.86746469999999998</v>
      </c>
      <c r="BR8" s="10">
        <v>0.12847800000000001</v>
      </c>
      <c r="BS8" s="42">
        <f>AVERAGE(BS5:BS7)</f>
        <v>0.81981256666666669</v>
      </c>
      <c r="BT8" s="7"/>
      <c r="BU8" s="7"/>
      <c r="BV8" s="7"/>
      <c r="BW8" s="29">
        <f>AVERAGE(BW5:BW7)</f>
        <v>0.90091510000000008</v>
      </c>
      <c r="BX8" s="7"/>
      <c r="BY8" s="7"/>
      <c r="BZ8" s="7"/>
      <c r="CA8" s="10">
        <v>2.9870000000000001E-2</v>
      </c>
      <c r="CB8" s="7">
        <v>0.75</v>
      </c>
      <c r="CC8" s="7">
        <v>0.25</v>
      </c>
      <c r="CD8" s="7">
        <v>0</v>
      </c>
      <c r="CE8" s="28">
        <v>0.99060000000000004</v>
      </c>
      <c r="CF8" s="10">
        <v>9.4000000000000004E-3</v>
      </c>
      <c r="CG8" s="7">
        <v>0</v>
      </c>
      <c r="CH8" s="28">
        <v>0.97490969999999999</v>
      </c>
      <c r="CI8" s="10">
        <v>9.350311E-3</v>
      </c>
      <c r="CJ8" s="10">
        <v>1.574002E-2</v>
      </c>
      <c r="CK8" s="44">
        <f>AVERAGE(CK5:CK7)</f>
        <v>0.82503256666666669</v>
      </c>
      <c r="CL8" s="7"/>
      <c r="CM8" s="7"/>
      <c r="CN8" s="7"/>
      <c r="CO8" s="10">
        <v>0.56889999999999996</v>
      </c>
      <c r="CP8" s="7">
        <v>0.25</v>
      </c>
      <c r="CQ8" s="7">
        <v>0.75</v>
      </c>
      <c r="CR8" s="7">
        <v>0</v>
      </c>
      <c r="CS8" s="10">
        <v>9.1233330000000001E-2</v>
      </c>
      <c r="CT8" s="10">
        <v>0.90876670000000004</v>
      </c>
      <c r="CU8" s="10">
        <v>0</v>
      </c>
      <c r="CV8" s="10">
        <v>0.32283509999999999</v>
      </c>
      <c r="CW8" s="10">
        <v>0.5621235</v>
      </c>
      <c r="CX8" s="10">
        <v>0.1150414</v>
      </c>
      <c r="CY8" s="42">
        <f>AVERAGE(CY5:CY7)</f>
        <v>0.8510945333333334</v>
      </c>
      <c r="CZ8" s="7"/>
      <c r="DA8" s="7"/>
      <c r="DB8" s="7"/>
      <c r="DC8" s="44">
        <f>AVERAGE(DC5:DC7)</f>
        <v>0.84588606666666666</v>
      </c>
      <c r="DD8" s="7"/>
      <c r="DE8" s="7"/>
      <c r="DF8" s="7"/>
      <c r="DG8" s="10">
        <v>0.87719999999999998</v>
      </c>
      <c r="DH8" s="7">
        <v>0.5</v>
      </c>
      <c r="DI8" s="7">
        <v>0.25</v>
      </c>
      <c r="DJ8" s="7">
        <v>0.25</v>
      </c>
      <c r="DK8" s="10">
        <v>0.46489999999999998</v>
      </c>
      <c r="DL8" s="10">
        <v>6.2866669999999999E-2</v>
      </c>
      <c r="DM8" s="10">
        <v>0.47223330000000002</v>
      </c>
      <c r="DN8" s="10">
        <v>0.35070950000000001</v>
      </c>
      <c r="DO8" s="10">
        <v>0.1983366</v>
      </c>
      <c r="DP8" s="10">
        <v>0.45095390000000002</v>
      </c>
      <c r="DQ8" s="43">
        <f>AVERAGE(DQ5:DQ7)</f>
        <v>0.85812576666666673</v>
      </c>
      <c r="DR8" s="7"/>
      <c r="DS8" s="7"/>
      <c r="DT8" s="7"/>
      <c r="DU8" s="10">
        <v>0.1105</v>
      </c>
      <c r="DV8" s="7">
        <v>0</v>
      </c>
      <c r="DW8" s="31">
        <v>1</v>
      </c>
      <c r="DX8" s="7">
        <v>0</v>
      </c>
      <c r="DY8" s="10">
        <v>0</v>
      </c>
      <c r="DZ8" s="50">
        <v>1</v>
      </c>
      <c r="EA8" s="10">
        <v>0</v>
      </c>
      <c r="EB8" s="10">
        <v>0.21005750000000001</v>
      </c>
      <c r="EC8" s="10">
        <v>0.7755917</v>
      </c>
      <c r="ED8" s="10">
        <v>1.435083E-2</v>
      </c>
      <c r="EE8" s="44">
        <f>AVERAGE(EE5:EE7)</f>
        <v>0.76488429999999996</v>
      </c>
      <c r="EF8" s="7"/>
      <c r="EG8" s="7"/>
      <c r="EH8" s="7"/>
      <c r="EI8" s="29">
        <f>AVERAGE(EI5:EI7)</f>
        <v>0.89481706666666672</v>
      </c>
      <c r="EJ8" s="7"/>
      <c r="EK8" s="7"/>
      <c r="EL8" s="7"/>
      <c r="EM8" s="10">
        <v>1.1540000000000001E-3</v>
      </c>
      <c r="EN8" s="10">
        <v>0.75</v>
      </c>
      <c r="EO8" s="10">
        <v>0.25</v>
      </c>
      <c r="EP8" s="10">
        <v>0</v>
      </c>
      <c r="EQ8" s="28">
        <v>0.99096669999999998</v>
      </c>
      <c r="ER8" s="10">
        <v>9.0333329999999993E-3</v>
      </c>
      <c r="ES8" s="7">
        <v>0</v>
      </c>
      <c r="ET8" s="10">
        <v>0.99909809999999999</v>
      </c>
      <c r="EU8" s="10">
        <v>2.3892290000000001E-4</v>
      </c>
      <c r="EV8" s="10">
        <v>6.630265E-4</v>
      </c>
      <c r="EW8" s="42">
        <f>AVERAGE(EW5:EW7)</f>
        <v>0.75065429999999989</v>
      </c>
      <c r="EX8" s="7"/>
      <c r="EY8" s="7"/>
      <c r="EZ8" s="7"/>
      <c r="FA8" s="10">
        <v>2.7820000000000002E-3</v>
      </c>
      <c r="FB8" s="7">
        <v>0</v>
      </c>
      <c r="FC8" s="7">
        <v>0.25</v>
      </c>
      <c r="FD8" s="7">
        <v>0.75</v>
      </c>
      <c r="FE8" s="7">
        <v>0</v>
      </c>
      <c r="FF8" s="10">
        <v>0.1689667</v>
      </c>
      <c r="FG8" s="49">
        <v>0.83103329999999997</v>
      </c>
      <c r="FH8" s="10">
        <v>6.4116399999999995E-4</v>
      </c>
      <c r="FI8" s="10">
        <v>1.9191099999999999E-2</v>
      </c>
      <c r="FJ8" s="68">
        <v>0.98016769999999998</v>
      </c>
    </row>
    <row r="9" spans="2:166" x14ac:dyDescent="0.2">
      <c r="B9" s="3"/>
      <c r="C9" s="6">
        <v>1</v>
      </c>
      <c r="D9" t="s">
        <v>43</v>
      </c>
      <c r="E9" s="3"/>
      <c r="F9" s="3"/>
      <c r="G9" s="45">
        <v>0.8589</v>
      </c>
      <c r="H9" s="10">
        <v>0.8860614</v>
      </c>
      <c r="I9" s="10">
        <v>0.93433120000000003</v>
      </c>
      <c r="J9" s="10">
        <v>0.90955629999999998</v>
      </c>
      <c r="K9" s="45">
        <v>0.27389999999999998</v>
      </c>
      <c r="L9" s="10">
        <v>0.97640117999999998</v>
      </c>
      <c r="M9" s="10">
        <v>4.4633230000000003E-2</v>
      </c>
      <c r="N9" s="10">
        <v>8.5364280000000001E-2</v>
      </c>
      <c r="O9" s="7" t="s">
        <v>24</v>
      </c>
      <c r="P9" s="7">
        <v>0</v>
      </c>
      <c r="Q9" s="7">
        <v>0.5</v>
      </c>
      <c r="R9" s="7">
        <v>0.5</v>
      </c>
      <c r="S9" s="7">
        <v>0</v>
      </c>
      <c r="T9" s="10">
        <v>0.15603330000000001</v>
      </c>
      <c r="U9" s="10">
        <v>0.84396669999999996</v>
      </c>
      <c r="V9" s="7" t="s">
        <v>24</v>
      </c>
      <c r="W9" s="7" t="s">
        <v>24</v>
      </c>
      <c r="X9" s="7" t="s">
        <v>24</v>
      </c>
      <c r="Y9" s="45">
        <v>0.92390000000000005</v>
      </c>
      <c r="Z9" s="10">
        <v>0.92825049999999998</v>
      </c>
      <c r="AA9" s="10">
        <v>0.97518879999999997</v>
      </c>
      <c r="AB9" s="10">
        <v>0.95114089999999996</v>
      </c>
      <c r="AC9" s="7" t="s">
        <v>24</v>
      </c>
      <c r="AD9" s="7">
        <v>0.5</v>
      </c>
      <c r="AE9" s="7">
        <v>0.5</v>
      </c>
      <c r="AF9" s="7">
        <v>0</v>
      </c>
      <c r="AG9" s="10">
        <v>0.84023329999999996</v>
      </c>
      <c r="AH9" s="10">
        <v>0.15976670000000001</v>
      </c>
      <c r="AI9" s="7">
        <v>0</v>
      </c>
      <c r="AJ9" s="7" t="s">
        <v>24</v>
      </c>
      <c r="AK9" s="7" t="s">
        <v>24</v>
      </c>
      <c r="AL9" s="7" t="s">
        <v>24</v>
      </c>
      <c r="AM9" s="10">
        <v>0.82699999999999996</v>
      </c>
      <c r="AN9" s="10">
        <v>0.85102990000000001</v>
      </c>
      <c r="AO9" s="10">
        <v>0.93594929999999998</v>
      </c>
      <c r="AP9" s="10">
        <v>0.89147189999999998</v>
      </c>
      <c r="AQ9" s="10">
        <v>0.37740000000000001</v>
      </c>
      <c r="AR9" s="10">
        <v>0.80235719999999999</v>
      </c>
      <c r="AS9" s="10">
        <v>0.2386731</v>
      </c>
      <c r="AT9" s="10">
        <v>0.36790689999999998</v>
      </c>
      <c r="AU9" s="7" t="s">
        <v>24</v>
      </c>
      <c r="AV9" s="7">
        <v>0</v>
      </c>
      <c r="AW9" s="7">
        <v>0.5</v>
      </c>
      <c r="AX9" s="7">
        <v>0.5</v>
      </c>
      <c r="AY9" s="7">
        <v>0</v>
      </c>
      <c r="AZ9" s="10">
        <v>0.16239999999999999</v>
      </c>
      <c r="BA9" s="10">
        <v>0.83760000000000001</v>
      </c>
      <c r="BB9" s="7" t="s">
        <v>24</v>
      </c>
      <c r="BC9" s="7" t="s">
        <v>24</v>
      </c>
      <c r="BD9" s="7" t="s">
        <v>24</v>
      </c>
      <c r="BE9" s="10">
        <v>0.86040000000000005</v>
      </c>
      <c r="BF9" s="10">
        <v>0.8817815</v>
      </c>
      <c r="BG9" s="10">
        <v>0.94242179999999998</v>
      </c>
      <c r="BH9" s="10">
        <v>0.91109370000000001</v>
      </c>
      <c r="BI9" s="7" t="s">
        <v>24</v>
      </c>
      <c r="BJ9" s="7">
        <v>0.5</v>
      </c>
      <c r="BK9" s="7">
        <v>0.5</v>
      </c>
      <c r="BL9" s="7">
        <v>0</v>
      </c>
      <c r="BM9" s="10">
        <v>0.83960000000000001</v>
      </c>
      <c r="BN9" s="10">
        <v>0.16039999999999999</v>
      </c>
      <c r="BO9" s="7">
        <v>0</v>
      </c>
      <c r="BP9" s="7" t="s">
        <v>24</v>
      </c>
      <c r="BQ9" s="7" t="s">
        <v>24</v>
      </c>
      <c r="BR9" s="7" t="s">
        <v>24</v>
      </c>
      <c r="BS9" s="10">
        <v>0.80510000000000004</v>
      </c>
      <c r="BT9" s="10">
        <v>0.82809520000000003</v>
      </c>
      <c r="BU9" s="10">
        <v>0.93797200000000003</v>
      </c>
      <c r="BV9" s="10">
        <v>0.87961560000000005</v>
      </c>
      <c r="BW9" s="10">
        <v>0.24079999999999999</v>
      </c>
      <c r="BX9" s="7" t="s">
        <v>24</v>
      </c>
      <c r="BY9" s="7">
        <v>1</v>
      </c>
      <c r="BZ9" s="7" t="s">
        <v>24</v>
      </c>
      <c r="CA9" s="7" t="s">
        <v>24</v>
      </c>
      <c r="CB9" s="7">
        <v>0</v>
      </c>
      <c r="CC9" s="7">
        <v>0.5</v>
      </c>
      <c r="CD9" s="7">
        <v>0.5</v>
      </c>
      <c r="CE9" s="7">
        <v>0</v>
      </c>
      <c r="CF9" s="10">
        <v>0.15976670000000001</v>
      </c>
      <c r="CG9" s="10">
        <v>0.84023329999999996</v>
      </c>
      <c r="CH9" s="7" t="s">
        <v>24</v>
      </c>
      <c r="CI9" s="7" t="s">
        <v>24</v>
      </c>
      <c r="CJ9" s="7" t="s">
        <v>24</v>
      </c>
      <c r="CK9" s="53">
        <v>0.79869999999999997</v>
      </c>
      <c r="CL9" s="10">
        <v>0.81178490000000003</v>
      </c>
      <c r="CM9" s="10">
        <v>0.95671519999999999</v>
      </c>
      <c r="CN9" s="10">
        <v>0.87831150000000002</v>
      </c>
      <c r="CO9" s="7" t="s">
        <v>24</v>
      </c>
      <c r="CP9" s="7">
        <v>0</v>
      </c>
      <c r="CQ9" s="7">
        <v>1</v>
      </c>
      <c r="CR9" s="7">
        <v>0</v>
      </c>
      <c r="CS9" s="7">
        <v>0</v>
      </c>
      <c r="CT9" s="10">
        <v>1</v>
      </c>
      <c r="CU9" s="10">
        <v>0</v>
      </c>
      <c r="CV9" s="7" t="s">
        <v>24</v>
      </c>
      <c r="CW9" s="7" t="s">
        <v>24</v>
      </c>
      <c r="CX9" s="7" t="s">
        <v>24</v>
      </c>
      <c r="CY9" s="10">
        <v>0.85329999999999995</v>
      </c>
      <c r="CZ9" s="10">
        <v>0.88045280000000004</v>
      </c>
      <c r="DA9" s="10">
        <v>0.93352210000000002</v>
      </c>
      <c r="DB9" s="10">
        <v>0.90621110000000005</v>
      </c>
      <c r="DC9" s="10">
        <v>0.24360000000000001</v>
      </c>
      <c r="DD9" s="10">
        <v>0.66666666699999999</v>
      </c>
      <c r="DE9" s="10">
        <v>7.2815529999999996E-3</v>
      </c>
      <c r="DF9" s="10">
        <v>1.4405762000000001E-2</v>
      </c>
      <c r="DG9" s="7" t="s">
        <v>24</v>
      </c>
      <c r="DH9" s="7">
        <v>0</v>
      </c>
      <c r="DI9" s="7">
        <v>0.5</v>
      </c>
      <c r="DJ9" s="7">
        <v>0.5</v>
      </c>
      <c r="DK9" s="7">
        <v>0</v>
      </c>
      <c r="DL9" s="10">
        <v>0.16146669999999999</v>
      </c>
      <c r="DM9" s="10">
        <v>0.83853330000000004</v>
      </c>
      <c r="DN9" s="7" t="s">
        <v>24</v>
      </c>
      <c r="DO9" s="7" t="s">
        <v>24</v>
      </c>
      <c r="DP9" s="7" t="s">
        <v>24</v>
      </c>
      <c r="DQ9" s="50">
        <v>0.85189999999999999</v>
      </c>
      <c r="DR9" s="10">
        <v>0.87441979999999997</v>
      </c>
      <c r="DS9" s="10">
        <v>0.93985980000000002</v>
      </c>
      <c r="DT9" s="10">
        <v>0.90595959999999998</v>
      </c>
      <c r="DU9" s="7" t="s">
        <v>24</v>
      </c>
      <c r="DV9" s="7">
        <v>0</v>
      </c>
      <c r="DW9" s="31">
        <v>1</v>
      </c>
      <c r="DX9" s="7">
        <v>0</v>
      </c>
      <c r="DY9" s="10">
        <v>0</v>
      </c>
      <c r="DZ9" s="50">
        <v>1</v>
      </c>
      <c r="EA9" s="10">
        <v>0</v>
      </c>
      <c r="EB9" s="7" t="s">
        <v>24</v>
      </c>
      <c r="EC9" s="7" t="s">
        <v>24</v>
      </c>
      <c r="ED9" s="7" t="s">
        <v>24</v>
      </c>
      <c r="EE9" s="53">
        <v>0.77280000000000004</v>
      </c>
      <c r="EF9" s="10">
        <v>0.76969381999999997</v>
      </c>
      <c r="EG9" s="10">
        <v>1</v>
      </c>
      <c r="EH9" s="10">
        <v>0.86986101000000005</v>
      </c>
      <c r="EI9" s="10">
        <v>0.24079999999999999</v>
      </c>
      <c r="EJ9" s="10"/>
      <c r="EK9" s="10"/>
      <c r="EL9" s="10"/>
      <c r="EM9" s="7" t="s">
        <v>24</v>
      </c>
      <c r="EN9" s="7">
        <v>0</v>
      </c>
      <c r="EO9" s="7">
        <v>0.5</v>
      </c>
      <c r="EP9" s="7">
        <v>0.5</v>
      </c>
      <c r="EQ9" s="7">
        <v>0</v>
      </c>
      <c r="ER9" s="10">
        <v>0.1584333</v>
      </c>
      <c r="ES9" s="10">
        <v>0.8415667</v>
      </c>
      <c r="ET9" s="7" t="s">
        <v>24</v>
      </c>
      <c r="EU9" s="7" t="s">
        <v>24</v>
      </c>
      <c r="EV9" s="7" t="s">
        <v>24</v>
      </c>
      <c r="EW9" s="50">
        <v>0.7631</v>
      </c>
      <c r="EX9" s="7"/>
      <c r="EY9" s="7"/>
      <c r="EZ9" s="7"/>
      <c r="FA9" s="7" t="s">
        <v>24</v>
      </c>
      <c r="FB9" s="7">
        <v>0</v>
      </c>
      <c r="FC9" s="31">
        <v>1</v>
      </c>
      <c r="FD9" s="7">
        <v>0</v>
      </c>
      <c r="FE9" s="7">
        <v>0</v>
      </c>
      <c r="FF9" s="31">
        <v>1</v>
      </c>
      <c r="FG9" s="7">
        <v>0</v>
      </c>
      <c r="FH9" s="7" t="s">
        <v>24</v>
      </c>
      <c r="FI9" s="7" t="s">
        <v>24</v>
      </c>
      <c r="FJ9" s="7" t="s">
        <v>24</v>
      </c>
    </row>
    <row r="10" spans="2:166" x14ac:dyDescent="0.2">
      <c r="B10" s="3"/>
      <c r="C10" s="6"/>
      <c r="E10" s="3"/>
      <c r="F10" s="3"/>
      <c r="G10" s="14"/>
      <c r="H10" s="7"/>
      <c r="I10" s="7"/>
      <c r="J10" s="7"/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4"/>
      <c r="AN10" s="7"/>
      <c r="AO10" s="7"/>
      <c r="AP10" s="1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14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4"/>
      <c r="BT10" s="7"/>
      <c r="BU10" s="7"/>
      <c r="BV10" s="7"/>
      <c r="BW10" s="14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14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14"/>
      <c r="CZ10" s="7"/>
      <c r="DA10" s="7"/>
      <c r="DB10" s="7"/>
      <c r="DC10" s="14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14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14"/>
      <c r="EF10" s="7"/>
      <c r="EG10" s="7"/>
      <c r="EH10" s="7"/>
      <c r="EI10" s="14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14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</row>
    <row r="11" spans="2:166" x14ac:dyDescent="0.2">
      <c r="B11" s="3"/>
      <c r="C11" s="6">
        <v>2</v>
      </c>
      <c r="D11" t="s">
        <v>40</v>
      </c>
      <c r="E11" s="3"/>
      <c r="F11" s="3"/>
      <c r="G11" s="45">
        <v>0.86363040000000002</v>
      </c>
      <c r="H11" s="7"/>
      <c r="I11" s="7"/>
      <c r="J11" s="7"/>
      <c r="K11" s="45">
        <v>0.750915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45">
        <v>0.84755590000000003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0">
        <v>0.82427269999999997</v>
      </c>
      <c r="AN11" s="8"/>
      <c r="AO11" s="8"/>
      <c r="AP11" s="16"/>
      <c r="AQ11" s="10">
        <v>0.71419339999999998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10">
        <v>0.80629790000000001</v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10">
        <v>0.80139510000000003</v>
      </c>
      <c r="BT11" s="7"/>
      <c r="BU11" s="7"/>
      <c r="BV11" s="7"/>
      <c r="BW11" s="10">
        <v>0.60236809999999996</v>
      </c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53">
        <v>0.82157389999999997</v>
      </c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10">
        <v>0.84969729999999999</v>
      </c>
      <c r="CZ11" s="7"/>
      <c r="DA11" s="7"/>
      <c r="DB11" s="7"/>
      <c r="DC11" s="10">
        <v>0.74440139999999999</v>
      </c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10">
        <v>0.83409279999999997</v>
      </c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53">
        <v>0.75914709999999996</v>
      </c>
      <c r="EF11" s="7"/>
      <c r="EG11" s="7"/>
      <c r="EH11" s="7"/>
      <c r="EI11" s="10">
        <v>0.51948329999999998</v>
      </c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10">
        <v>0.52077499999999999</v>
      </c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</row>
    <row r="12" spans="2:166" x14ac:dyDescent="0.2">
      <c r="B12" s="3"/>
      <c r="C12" s="6">
        <v>2</v>
      </c>
      <c r="D12" t="s">
        <v>41</v>
      </c>
      <c r="E12" s="3"/>
      <c r="F12" s="3"/>
      <c r="G12" s="45">
        <v>0.85759410000000003</v>
      </c>
      <c r="H12" s="7"/>
      <c r="I12" s="7"/>
      <c r="J12" s="7"/>
      <c r="K12" s="45">
        <v>0.74590869999999998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5">
        <v>0.84628130000000001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10">
        <v>0.82350619999999997</v>
      </c>
      <c r="AN12" s="7"/>
      <c r="AO12" s="7"/>
      <c r="AP12" s="17"/>
      <c r="AQ12" s="10">
        <v>0.70742729999999998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10">
        <v>0.81064840000000005</v>
      </c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10">
        <v>0.85009210000000002</v>
      </c>
      <c r="BT12" s="7"/>
      <c r="BU12" s="7"/>
      <c r="BV12" s="7"/>
      <c r="BW12" s="10">
        <v>0.69616710000000004</v>
      </c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53">
        <v>0.82767979999999997</v>
      </c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10">
        <v>0.84822960000000003</v>
      </c>
      <c r="CZ12" s="7"/>
      <c r="DA12" s="7"/>
      <c r="DB12" s="7"/>
      <c r="DC12" s="10">
        <v>0.7405813</v>
      </c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10">
        <v>0.84027350000000001</v>
      </c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53">
        <v>0.77359480000000003</v>
      </c>
      <c r="EF12" s="7"/>
      <c r="EG12" s="7"/>
      <c r="EH12" s="7"/>
      <c r="EI12" s="10">
        <v>0.52174849999999995</v>
      </c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10">
        <v>0.52691650000000001</v>
      </c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</row>
    <row r="13" spans="2:166" x14ac:dyDescent="0.2">
      <c r="B13" s="3"/>
      <c r="C13" s="6">
        <v>2</v>
      </c>
      <c r="D13" t="s">
        <v>42</v>
      </c>
      <c r="E13" s="3"/>
      <c r="F13" s="3"/>
      <c r="G13" s="45">
        <v>0.85048699999999999</v>
      </c>
      <c r="H13" s="7"/>
      <c r="I13" s="7"/>
      <c r="J13" s="7"/>
      <c r="K13" s="45">
        <v>0.75086129999999995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45">
        <v>0.83882330000000005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0">
        <v>0.82232170000000004</v>
      </c>
      <c r="AN13" s="7"/>
      <c r="AO13" s="7"/>
      <c r="AP13" s="17"/>
      <c r="AQ13" s="10">
        <v>0.7063509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10">
        <v>0.80033140000000003</v>
      </c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10">
        <v>0.80795050000000002</v>
      </c>
      <c r="BT13" s="7"/>
      <c r="BU13" s="7"/>
      <c r="BV13" s="7"/>
      <c r="BW13" s="10">
        <v>0.7353575</v>
      </c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53">
        <v>0.8256445</v>
      </c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10">
        <v>0.85535669999999997</v>
      </c>
      <c r="CZ13" s="7"/>
      <c r="DA13" s="7"/>
      <c r="DB13" s="7"/>
      <c r="DC13" s="10">
        <v>0.74031009999999997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10">
        <v>0.83923760000000003</v>
      </c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53">
        <v>0.761911</v>
      </c>
      <c r="EF13" s="7"/>
      <c r="EG13" s="7"/>
      <c r="EH13" s="7"/>
      <c r="EI13" s="10">
        <v>0.5075366</v>
      </c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10">
        <v>0.52174849999999995</v>
      </c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</row>
    <row r="14" spans="2:166" x14ac:dyDescent="0.2">
      <c r="B14" s="3"/>
      <c r="C14" s="6">
        <v>2</v>
      </c>
      <c r="D14" t="s">
        <v>49</v>
      </c>
      <c r="E14" s="3"/>
      <c r="F14" s="3"/>
      <c r="G14" s="44">
        <f>AVERAGE(G11:G13)</f>
        <v>0.85723716666666672</v>
      </c>
      <c r="H14" s="7"/>
      <c r="I14" s="7"/>
      <c r="J14" s="7"/>
      <c r="K14" s="42">
        <f>AVERAGE(K11:K13)</f>
        <v>0.74922833333333327</v>
      </c>
      <c r="L14" s="7"/>
      <c r="M14" s="7"/>
      <c r="N14" s="7"/>
      <c r="O14" s="10">
        <v>5.0750000000000003E-4</v>
      </c>
      <c r="P14" s="7">
        <v>0</v>
      </c>
      <c r="Q14" s="7">
        <v>0.25</v>
      </c>
      <c r="R14" s="7">
        <v>0.75</v>
      </c>
      <c r="S14" s="7">
        <v>0</v>
      </c>
      <c r="T14" s="10">
        <v>9.0666670000000005E-3</v>
      </c>
      <c r="U14" s="49">
        <v>0.99093330000000002</v>
      </c>
      <c r="V14" s="10">
        <v>2.8339149999999998E-4</v>
      </c>
      <c r="W14" s="10">
        <v>1.2730350000000001E-4</v>
      </c>
      <c r="X14" s="49">
        <v>0.99958930000000001</v>
      </c>
      <c r="Y14" s="13">
        <f>AVERAGE(Y11:Y13)</f>
        <v>0.84422016666666666</v>
      </c>
      <c r="Z14" s="7"/>
      <c r="AA14" s="7"/>
      <c r="AB14" s="7"/>
      <c r="AC14" s="10">
        <v>0.10059999999999999</v>
      </c>
      <c r="AD14" s="7">
        <v>0</v>
      </c>
      <c r="AE14" s="7">
        <v>0.5</v>
      </c>
      <c r="AF14" s="7">
        <v>0.5</v>
      </c>
      <c r="AG14" s="7">
        <v>0</v>
      </c>
      <c r="AH14" s="10">
        <v>0.30323329999999998</v>
      </c>
      <c r="AI14" s="10">
        <v>0.69676669999999996</v>
      </c>
      <c r="AJ14" s="10">
        <v>2.343112E-2</v>
      </c>
      <c r="AK14" s="10">
        <v>0.28572449999999999</v>
      </c>
      <c r="AL14" s="10">
        <v>0.69084429999999997</v>
      </c>
      <c r="AM14" s="13">
        <f>AVERAGE(AM11:AM13)</f>
        <v>0.82336686666666681</v>
      </c>
      <c r="AN14" s="8"/>
      <c r="AO14" s="8"/>
      <c r="AP14" s="16"/>
      <c r="AQ14" s="42">
        <f>AVERAGE(AQ11:AQ13)</f>
        <v>0.70932386666666669</v>
      </c>
      <c r="AR14" s="7"/>
      <c r="AS14" s="7"/>
      <c r="AT14" s="7"/>
      <c r="AU14" s="10">
        <v>3.0190000000000002E-4</v>
      </c>
      <c r="AV14" s="7">
        <v>0</v>
      </c>
      <c r="AW14" s="7">
        <v>0.25</v>
      </c>
      <c r="AX14" s="7">
        <v>0.75</v>
      </c>
      <c r="AY14" s="7">
        <v>0</v>
      </c>
      <c r="AZ14" s="10">
        <v>8.2666670000000001E-3</v>
      </c>
      <c r="BA14" s="49">
        <v>0.99173330000000004</v>
      </c>
      <c r="BB14" s="10">
        <v>1.701296E-4</v>
      </c>
      <c r="BC14" s="10">
        <v>7.1642000000000003E-5</v>
      </c>
      <c r="BD14" s="79">
        <v>0.99975820000000004</v>
      </c>
      <c r="BE14" s="44">
        <f>AVERAGE(BE11:BE13)</f>
        <v>0.80575923333333332</v>
      </c>
      <c r="BF14" s="7"/>
      <c r="BG14" s="7"/>
      <c r="BH14" s="7"/>
      <c r="BI14" s="10">
        <v>2.179E-2</v>
      </c>
      <c r="BJ14" s="7">
        <v>0</v>
      </c>
      <c r="BK14" s="7">
        <v>0.25</v>
      </c>
      <c r="BL14" s="7">
        <v>0.75</v>
      </c>
      <c r="BM14" s="7">
        <v>0</v>
      </c>
      <c r="BN14" s="10">
        <v>9.01E-2</v>
      </c>
      <c r="BO14" s="10">
        <v>0.90990000000000004</v>
      </c>
      <c r="BP14" s="10">
        <v>5.9990240000000004E-3</v>
      </c>
      <c r="BQ14" s="10">
        <v>5.9101609999999999E-2</v>
      </c>
      <c r="BR14" s="10">
        <v>0.93489940000000005</v>
      </c>
      <c r="BS14" s="42">
        <f>AVERAGE(BS11:BS13)</f>
        <v>0.81981256666666669</v>
      </c>
      <c r="BT14" s="7"/>
      <c r="BU14" s="7"/>
      <c r="BV14" s="7"/>
      <c r="BW14" s="42">
        <f>AVERAGE(BW11:BW13)</f>
        <v>0.67796423333333333</v>
      </c>
      <c r="BX14" s="7"/>
      <c r="BY14" s="7"/>
      <c r="BZ14" s="7"/>
      <c r="CA14" s="10">
        <v>4.727E-2</v>
      </c>
      <c r="CB14" s="7">
        <v>0</v>
      </c>
      <c r="CC14" s="7">
        <v>0.25</v>
      </c>
      <c r="CD14" s="7">
        <v>0.75</v>
      </c>
      <c r="CE14" s="7">
        <v>0</v>
      </c>
      <c r="CF14" s="10">
        <v>9.6666670000000003E-3</v>
      </c>
      <c r="CG14" s="49">
        <v>0.99033329999999997</v>
      </c>
      <c r="CH14" s="10">
        <v>2.7188629999999998E-2</v>
      </c>
      <c r="CI14" s="10">
        <v>7.9578449999999998E-3</v>
      </c>
      <c r="CJ14" s="49">
        <v>0.96485350000000003</v>
      </c>
      <c r="CK14" s="44">
        <f>AVERAGE(CK11:CK13)</f>
        <v>0.82496606666666672</v>
      </c>
      <c r="CL14" s="7"/>
      <c r="CM14" s="7"/>
      <c r="CN14" s="7"/>
      <c r="CO14" s="10">
        <v>0.74470000000000003</v>
      </c>
      <c r="CP14" s="7">
        <v>0.5</v>
      </c>
      <c r="CQ14" s="7">
        <v>0.25</v>
      </c>
      <c r="CR14" s="7">
        <v>0.25</v>
      </c>
      <c r="CS14" s="10">
        <v>0.48946669999999998</v>
      </c>
      <c r="CT14" s="10">
        <v>0.3753667</v>
      </c>
      <c r="CU14" s="10">
        <v>0.1351667</v>
      </c>
      <c r="CV14" s="10">
        <v>0.39488390000000001</v>
      </c>
      <c r="CW14" s="10">
        <v>0.38409870000000002</v>
      </c>
      <c r="CX14" s="10">
        <v>0.22101750000000001</v>
      </c>
      <c r="CY14" s="42">
        <f>AVERAGE(CY11:CY13)</f>
        <v>0.8510945333333334</v>
      </c>
      <c r="CZ14" s="7"/>
      <c r="DA14" s="7"/>
      <c r="DB14" s="7"/>
      <c r="DC14" s="42">
        <f>AVERAGE(DC11:DC13)</f>
        <v>0.74176426666666673</v>
      </c>
      <c r="DD14" s="7"/>
      <c r="DE14" s="7"/>
      <c r="DF14" s="7"/>
      <c r="DG14" s="10">
        <v>7.2119999999999997E-4</v>
      </c>
      <c r="DH14" s="7">
        <v>0</v>
      </c>
      <c r="DI14" s="7">
        <v>0.25</v>
      </c>
      <c r="DJ14" s="7">
        <v>0.75</v>
      </c>
      <c r="DK14" s="7">
        <v>0</v>
      </c>
      <c r="DL14" s="10">
        <v>9.1999999999999998E-3</v>
      </c>
      <c r="DM14" s="49">
        <v>0.99080000000000001</v>
      </c>
      <c r="DN14" s="10">
        <v>4.0355680000000001E-4</v>
      </c>
      <c r="DO14" s="10">
        <v>1.7855949999999999E-4</v>
      </c>
      <c r="DP14" s="49">
        <v>0.99941789999999997</v>
      </c>
      <c r="DQ14" s="44">
        <f>AVERAGE(DQ11:DQ13)</f>
        <v>0.83786796666666674</v>
      </c>
      <c r="DR14" s="7"/>
      <c r="DS14" s="7"/>
      <c r="DT14" s="7"/>
      <c r="DU14" s="10">
        <v>3.7589999999999998E-2</v>
      </c>
      <c r="DV14" s="7">
        <v>0</v>
      </c>
      <c r="DW14" s="7">
        <v>0.5</v>
      </c>
      <c r="DX14" s="7">
        <v>0.5</v>
      </c>
      <c r="DY14" s="7">
        <v>0</v>
      </c>
      <c r="DZ14" s="10">
        <v>0.30693330000000002</v>
      </c>
      <c r="EA14" s="10">
        <v>0.69306670000000004</v>
      </c>
      <c r="EB14" s="10">
        <v>8.3928360000000007E-3</v>
      </c>
      <c r="EC14" s="10">
        <v>0.1919669</v>
      </c>
      <c r="ED14" s="10">
        <v>0.79964029999999997</v>
      </c>
      <c r="EE14" s="44">
        <f>AVERAGE(EE11:EE13)</f>
        <v>0.76488429999999996</v>
      </c>
      <c r="EF14" s="7"/>
      <c r="EG14" s="7"/>
      <c r="EH14" s="7"/>
      <c r="EI14" s="42">
        <f>AVERAGE(EI11:EI13)</f>
        <v>0.5162561333333332</v>
      </c>
      <c r="EJ14" s="7"/>
      <c r="EK14" s="7"/>
      <c r="EL14" s="7"/>
      <c r="EM14" s="10">
        <v>3.3340000000000003E-4</v>
      </c>
      <c r="EN14" s="7">
        <v>0</v>
      </c>
      <c r="EO14" s="7">
        <v>0.25</v>
      </c>
      <c r="EP14" s="7">
        <v>0.75</v>
      </c>
      <c r="EQ14" s="7">
        <v>0</v>
      </c>
      <c r="ER14" s="10">
        <v>9.7333330000000003E-3</v>
      </c>
      <c r="ES14" s="49">
        <v>0.99026670000000006</v>
      </c>
      <c r="ET14" s="10">
        <v>2.054151E-4</v>
      </c>
      <c r="EU14" s="10">
        <v>3.5849639999999999E-5</v>
      </c>
      <c r="EV14" s="10">
        <v>0.9997587</v>
      </c>
      <c r="EW14" s="42">
        <f>AVERAGE(EW11:EW13)</f>
        <v>0.52314666666666665</v>
      </c>
      <c r="EX14" s="7"/>
      <c r="EY14" s="7"/>
      <c r="EZ14" s="7"/>
      <c r="FA14" s="49">
        <v>1.0900000000000001E-4</v>
      </c>
      <c r="FB14" s="7">
        <v>0</v>
      </c>
      <c r="FC14" s="7">
        <v>0.25</v>
      </c>
      <c r="FD14" s="7">
        <v>0.75</v>
      </c>
      <c r="FE14" s="7">
        <v>0</v>
      </c>
      <c r="FF14" s="10">
        <v>1.0200000000000001E-2</v>
      </c>
      <c r="FG14" s="49">
        <v>0.98980000000000001</v>
      </c>
      <c r="FH14" s="10">
        <v>6.6996110000000001E-5</v>
      </c>
      <c r="FI14" s="10">
        <v>1.206029E-5</v>
      </c>
      <c r="FJ14" s="49">
        <v>0.9999209</v>
      </c>
    </row>
    <row r="15" spans="2:166" x14ac:dyDescent="0.2">
      <c r="B15" s="3"/>
      <c r="C15" s="6">
        <v>2</v>
      </c>
      <c r="D15" t="s">
        <v>43</v>
      </c>
      <c r="E15" s="3"/>
      <c r="F15" s="3"/>
      <c r="G15" s="45">
        <v>0.8589</v>
      </c>
      <c r="H15" s="10">
        <v>0.8860614</v>
      </c>
      <c r="I15" s="10">
        <v>0.93433120000000003</v>
      </c>
      <c r="J15" s="10">
        <v>0.90955629999999998</v>
      </c>
      <c r="K15" s="45">
        <v>0.4662</v>
      </c>
      <c r="L15" s="10">
        <v>0.99549949999999998</v>
      </c>
      <c r="M15" s="10">
        <v>0.29827399999999998</v>
      </c>
      <c r="N15" s="10">
        <v>0.45901639999999999</v>
      </c>
      <c r="O15" s="7" t="s">
        <v>24</v>
      </c>
      <c r="P15" s="7">
        <v>0</v>
      </c>
      <c r="Q15" s="7">
        <v>0.5</v>
      </c>
      <c r="R15" s="7">
        <v>0.5</v>
      </c>
      <c r="S15" s="7">
        <v>0</v>
      </c>
      <c r="T15" s="10">
        <v>0.15820000000000001</v>
      </c>
      <c r="U15" s="10">
        <v>0.84179999999999999</v>
      </c>
      <c r="V15" s="7" t="s">
        <v>24</v>
      </c>
      <c r="W15" s="7" t="s">
        <v>24</v>
      </c>
      <c r="X15" s="7" t="s">
        <v>24</v>
      </c>
      <c r="Y15" s="45">
        <v>0.92659999999999998</v>
      </c>
      <c r="Z15" s="10">
        <v>0.93528270000000002</v>
      </c>
      <c r="AA15" s="10">
        <v>0.97046929999999998</v>
      </c>
      <c r="AB15" s="10">
        <v>0.95255109999999998</v>
      </c>
      <c r="AC15" s="7" t="s">
        <v>24</v>
      </c>
      <c r="AD15" s="7">
        <v>0.5</v>
      </c>
      <c r="AE15" s="7">
        <v>0.5</v>
      </c>
      <c r="AF15" s="7">
        <v>0</v>
      </c>
      <c r="AG15" s="10">
        <v>0.83989999999999998</v>
      </c>
      <c r="AH15" s="10">
        <v>0.16009999999999999</v>
      </c>
      <c r="AI15" s="7">
        <v>0</v>
      </c>
      <c r="AJ15" s="7" t="s">
        <v>24</v>
      </c>
      <c r="AK15" s="7" t="s">
        <v>24</v>
      </c>
      <c r="AL15" s="7" t="s">
        <v>24</v>
      </c>
      <c r="AM15" s="10">
        <v>0.82699999999999996</v>
      </c>
      <c r="AN15" s="10">
        <v>0.85102990000000001</v>
      </c>
      <c r="AO15" s="10">
        <v>0.93594929999999998</v>
      </c>
      <c r="AP15" s="10">
        <v>0.89147189999999998</v>
      </c>
      <c r="AQ15" s="10">
        <v>0.37740000000000001</v>
      </c>
      <c r="AR15" s="10">
        <v>0.80235719999999999</v>
      </c>
      <c r="AS15" s="10">
        <v>0.2386731</v>
      </c>
      <c r="AT15" s="10">
        <v>0.36790689999999998</v>
      </c>
      <c r="AU15" s="7" t="s">
        <v>24</v>
      </c>
      <c r="AV15" s="7">
        <v>0</v>
      </c>
      <c r="AW15" s="7">
        <v>0.5</v>
      </c>
      <c r="AX15" s="7">
        <v>0.5</v>
      </c>
      <c r="AY15" s="7">
        <v>0</v>
      </c>
      <c r="AZ15" s="10">
        <v>0.1609333</v>
      </c>
      <c r="BA15" s="10">
        <v>0.83906670000000005</v>
      </c>
      <c r="BB15" s="7" t="s">
        <v>24</v>
      </c>
      <c r="BC15" s="7" t="s">
        <v>24</v>
      </c>
      <c r="BD15" s="7" t="s">
        <v>24</v>
      </c>
      <c r="BE15" s="10">
        <v>0.86570000000000003</v>
      </c>
      <c r="BF15" s="10">
        <v>0.88360989999999995</v>
      </c>
      <c r="BG15" s="10">
        <v>0.94795039999999997</v>
      </c>
      <c r="BH15" s="10">
        <v>0.91464999999999996</v>
      </c>
      <c r="BI15" s="7" t="s">
        <v>24</v>
      </c>
      <c r="BJ15" s="7">
        <v>0.5</v>
      </c>
      <c r="BK15" s="7">
        <v>0.5</v>
      </c>
      <c r="BL15" s="7">
        <v>0</v>
      </c>
      <c r="BM15" s="10">
        <v>0.84026670000000003</v>
      </c>
      <c r="BN15" s="10">
        <v>0.15973329999999999</v>
      </c>
      <c r="BO15" s="7">
        <v>0</v>
      </c>
      <c r="BP15" s="7" t="s">
        <v>24</v>
      </c>
      <c r="BQ15" s="7" t="s">
        <v>24</v>
      </c>
      <c r="BR15" s="7" t="s">
        <v>24</v>
      </c>
      <c r="BS15" s="10">
        <v>0.80510000000000004</v>
      </c>
      <c r="BT15" s="10">
        <v>0.82809520000000003</v>
      </c>
      <c r="BU15" s="10">
        <v>0.93797200000000003</v>
      </c>
      <c r="BV15" s="10">
        <v>0.87961560000000005</v>
      </c>
      <c r="BW15" s="10">
        <v>0.49299999999999999</v>
      </c>
      <c r="BX15" s="10">
        <v>0.73131809999999997</v>
      </c>
      <c r="BY15" s="10">
        <v>0.52521569999999995</v>
      </c>
      <c r="BZ15" s="10">
        <v>0.61136400000000002</v>
      </c>
      <c r="CA15" s="7" t="s">
        <v>24</v>
      </c>
      <c r="CB15" s="7">
        <v>0</v>
      </c>
      <c r="CC15" s="7">
        <v>0.5</v>
      </c>
      <c r="CD15" s="7">
        <v>0.5</v>
      </c>
      <c r="CE15" s="7">
        <v>0</v>
      </c>
      <c r="CF15" s="10">
        <v>0.1595</v>
      </c>
      <c r="CG15" s="10">
        <v>0.84050000000000002</v>
      </c>
      <c r="CH15" s="7" t="s">
        <v>24</v>
      </c>
      <c r="CI15" s="7" t="s">
        <v>24</v>
      </c>
      <c r="CJ15" s="7" t="s">
        <v>24</v>
      </c>
      <c r="CK15" s="53">
        <v>0.80030000000000001</v>
      </c>
      <c r="CL15" s="10">
        <v>0.80977209999999999</v>
      </c>
      <c r="CM15" s="10">
        <v>0.96318769999999998</v>
      </c>
      <c r="CN15" s="10">
        <v>0.87984229999999997</v>
      </c>
      <c r="CO15" s="7" t="s">
        <v>24</v>
      </c>
      <c r="CP15" s="7">
        <v>0</v>
      </c>
      <c r="CQ15" s="7">
        <v>1</v>
      </c>
      <c r="CR15" s="7">
        <v>0</v>
      </c>
      <c r="CS15" s="7">
        <v>0</v>
      </c>
      <c r="CT15" s="10">
        <v>1</v>
      </c>
      <c r="CU15" s="10">
        <v>0</v>
      </c>
      <c r="CV15" s="7" t="s">
        <v>24</v>
      </c>
      <c r="CW15" s="7" t="s">
        <v>24</v>
      </c>
      <c r="CX15" s="7" t="s">
        <v>24</v>
      </c>
      <c r="CY15" s="10">
        <v>0.85329999999999995</v>
      </c>
      <c r="CZ15" s="10">
        <v>0.88045280000000004</v>
      </c>
      <c r="DA15" s="10">
        <v>0.93352210000000002</v>
      </c>
      <c r="DB15" s="10">
        <v>0.90621110000000005</v>
      </c>
      <c r="DC15" s="10">
        <v>0.46110000000000001</v>
      </c>
      <c r="DD15" s="10">
        <v>0.81665690000000002</v>
      </c>
      <c r="DE15" s="10">
        <v>0.37419089999999999</v>
      </c>
      <c r="DF15" s="10">
        <v>0.5132236</v>
      </c>
      <c r="DG15" s="7" t="s">
        <v>24</v>
      </c>
      <c r="DH15" s="7">
        <v>0</v>
      </c>
      <c r="DI15" s="7">
        <v>0.5</v>
      </c>
      <c r="DJ15" s="7">
        <v>0.5</v>
      </c>
      <c r="DK15" s="7">
        <v>0</v>
      </c>
      <c r="DL15" s="10">
        <v>0.15716669999999999</v>
      </c>
      <c r="DM15" s="10">
        <v>0.84283330000000001</v>
      </c>
      <c r="DN15" s="7" t="s">
        <v>24</v>
      </c>
      <c r="DO15" s="7" t="s">
        <v>24</v>
      </c>
      <c r="DP15" s="7" t="s">
        <v>24</v>
      </c>
      <c r="DQ15" s="50">
        <v>0.8458</v>
      </c>
      <c r="DR15" s="10">
        <v>0.87433490000000003</v>
      </c>
      <c r="DS15" s="10">
        <v>0.93069040000000003</v>
      </c>
      <c r="DT15" s="10">
        <v>0.90163289999999996</v>
      </c>
      <c r="DU15" s="7" t="s">
        <v>24</v>
      </c>
      <c r="DV15" s="7">
        <v>0</v>
      </c>
      <c r="DW15" s="32">
        <v>1</v>
      </c>
      <c r="DX15" s="7">
        <v>0</v>
      </c>
      <c r="DY15" s="10">
        <v>0</v>
      </c>
      <c r="DZ15" s="50">
        <v>1</v>
      </c>
      <c r="EA15" s="10">
        <v>0</v>
      </c>
      <c r="EB15" s="7" t="s">
        <v>24</v>
      </c>
      <c r="EC15" s="7" t="s">
        <v>24</v>
      </c>
      <c r="ED15" s="7" t="s">
        <v>24</v>
      </c>
      <c r="EE15" s="53">
        <v>0.77280000000000004</v>
      </c>
      <c r="EF15" s="10">
        <v>0.76969381999999997</v>
      </c>
      <c r="EG15" s="10">
        <v>1</v>
      </c>
      <c r="EH15" s="10">
        <v>0.86986101000000005</v>
      </c>
      <c r="EI15" s="10">
        <v>0.76339999999999997</v>
      </c>
      <c r="EJ15" s="10">
        <v>0.76279213000000001</v>
      </c>
      <c r="EK15" s="10">
        <v>0.99905608999999995</v>
      </c>
      <c r="EL15" s="10">
        <v>0.86508260999999997</v>
      </c>
      <c r="EM15" s="7" t="s">
        <v>24</v>
      </c>
      <c r="EN15" s="7">
        <v>0</v>
      </c>
      <c r="EO15" s="7">
        <v>1</v>
      </c>
      <c r="EP15" s="7">
        <v>0</v>
      </c>
      <c r="EQ15" s="7">
        <v>0</v>
      </c>
      <c r="ER15" s="10">
        <v>1</v>
      </c>
      <c r="ES15" s="10">
        <v>0</v>
      </c>
      <c r="ET15" s="7" t="s">
        <v>24</v>
      </c>
      <c r="EU15" s="7" t="s">
        <v>24</v>
      </c>
      <c r="EV15" s="7" t="s">
        <v>24</v>
      </c>
      <c r="EW15" s="50">
        <v>0.76339999999999997</v>
      </c>
      <c r="EX15" s="10">
        <v>0.76279213000000001</v>
      </c>
      <c r="EY15" s="10">
        <v>0.99905608999999995</v>
      </c>
      <c r="EZ15" s="10">
        <v>0.86508260999999997</v>
      </c>
      <c r="FA15" s="7" t="s">
        <v>24</v>
      </c>
      <c r="FB15" s="7">
        <v>0</v>
      </c>
      <c r="FC15" s="31">
        <v>1</v>
      </c>
      <c r="FD15" s="7">
        <v>0</v>
      </c>
      <c r="FE15" s="7">
        <v>0</v>
      </c>
      <c r="FF15" s="31">
        <v>1</v>
      </c>
      <c r="FG15" s="7">
        <v>0</v>
      </c>
      <c r="FH15" s="7" t="s">
        <v>24</v>
      </c>
      <c r="FI15" s="7" t="s">
        <v>24</v>
      </c>
      <c r="FJ15" s="7" t="s">
        <v>24</v>
      </c>
    </row>
    <row r="16" spans="2:166" x14ac:dyDescent="0.2">
      <c r="B16" s="3"/>
      <c r="C16" s="6"/>
      <c r="E16" s="3"/>
      <c r="F16" s="3"/>
      <c r="G16" s="14"/>
      <c r="H16" s="7"/>
      <c r="I16" s="7"/>
      <c r="J16" s="7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4"/>
      <c r="AN16" s="7"/>
      <c r="AO16" s="7"/>
      <c r="AP16" s="1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14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14"/>
      <c r="BT16" s="7"/>
      <c r="BU16" s="7"/>
      <c r="BV16" s="7"/>
      <c r="BW16" s="14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14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14"/>
      <c r="CZ16" s="7"/>
      <c r="DA16" s="7"/>
      <c r="DB16" s="7"/>
      <c r="DC16" s="14"/>
      <c r="DD16" s="7"/>
      <c r="DE16" s="7"/>
      <c r="DF16" s="7"/>
      <c r="DG16" s="7"/>
      <c r="DH16" s="7"/>
      <c r="DI16" s="7"/>
      <c r="DJ16" s="7"/>
      <c r="DK16" s="7"/>
      <c r="DL16" s="7"/>
      <c r="DM16" s="10"/>
      <c r="DN16" s="7"/>
      <c r="DO16" s="7"/>
      <c r="DP16" s="7"/>
      <c r="DQ16" s="14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14"/>
      <c r="EF16" s="7"/>
      <c r="EG16" s="7"/>
      <c r="EH16" s="7"/>
      <c r="EI16" s="14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14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</row>
    <row r="17" spans="2:166" x14ac:dyDescent="0.2">
      <c r="B17" s="3"/>
      <c r="C17" s="6"/>
      <c r="E17" s="3"/>
      <c r="F17" s="3"/>
      <c r="G17" s="14"/>
      <c r="H17" s="7"/>
      <c r="I17" s="7"/>
      <c r="J17" s="7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4"/>
      <c r="AN17" s="7"/>
      <c r="AO17" s="7"/>
      <c r="AP17" s="1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14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14"/>
      <c r="BT17" s="7"/>
      <c r="BU17" s="7"/>
      <c r="BV17" s="7"/>
      <c r="BW17" s="14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14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14"/>
      <c r="CZ17" s="7"/>
      <c r="DA17" s="7"/>
      <c r="DB17" s="7"/>
      <c r="DC17" s="14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14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14"/>
      <c r="EF17" s="7"/>
      <c r="EG17" s="7"/>
      <c r="EH17" s="7"/>
      <c r="EI17" s="14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14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</row>
    <row r="18" spans="2:166" x14ac:dyDescent="0.2">
      <c r="B18" s="3"/>
      <c r="C18" s="6">
        <v>3</v>
      </c>
      <c r="D18" t="s">
        <v>40</v>
      </c>
      <c r="E18" s="3"/>
      <c r="F18" s="3"/>
      <c r="G18" s="45">
        <v>0.86363040000000002</v>
      </c>
      <c r="H18" s="7"/>
      <c r="I18" s="7"/>
      <c r="J18" s="7"/>
      <c r="K18" s="45">
        <v>0.80167650000000001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0">
        <v>0.83536860000000002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0">
        <v>0.82427269999999997</v>
      </c>
      <c r="AN18" s="8"/>
      <c r="AO18" s="8"/>
      <c r="AP18" s="16"/>
      <c r="AQ18" s="10">
        <v>0.76829270000000005</v>
      </c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10">
        <v>0.7991859</v>
      </c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10">
        <v>0.80139510000000003</v>
      </c>
      <c r="BT18" s="7"/>
      <c r="BU18" s="7"/>
      <c r="BV18" s="7"/>
      <c r="BW18" s="10">
        <v>0.77915400000000001</v>
      </c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53">
        <v>0.77611940000000001</v>
      </c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10">
        <v>0.84969729999999999</v>
      </c>
      <c r="CZ18" s="7"/>
      <c r="DA18" s="7"/>
      <c r="DB18" s="7"/>
      <c r="DC18" s="46">
        <v>0.78772869999999995</v>
      </c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10">
        <v>0.83355950000000001</v>
      </c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53">
        <v>0.75914709999999996</v>
      </c>
      <c r="EF18" s="7"/>
      <c r="EG18" s="7"/>
      <c r="EH18" s="7"/>
      <c r="EI18" s="10">
        <v>0.74580789999999997</v>
      </c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10">
        <v>0.74499709999999997</v>
      </c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</row>
    <row r="19" spans="2:166" x14ac:dyDescent="0.2">
      <c r="B19" s="3"/>
      <c r="C19" s="6">
        <v>3</v>
      </c>
      <c r="D19" t="s">
        <v>41</v>
      </c>
      <c r="E19" s="3"/>
      <c r="F19" s="3"/>
      <c r="G19" s="45">
        <v>0.85759410000000003</v>
      </c>
      <c r="H19" s="7"/>
      <c r="I19" s="7"/>
      <c r="J19" s="7"/>
      <c r="K19" s="45">
        <v>0.80983229999999995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">
        <v>0.83717770000000002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10">
        <v>0.82350619999999997</v>
      </c>
      <c r="AN19" s="7"/>
      <c r="AO19" s="7"/>
      <c r="AP19" s="17"/>
      <c r="AQ19" s="10">
        <v>0.76996379999999998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10">
        <v>0.80958839999999999</v>
      </c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10">
        <v>0.85009210000000002</v>
      </c>
      <c r="BT19" s="7"/>
      <c r="BU19" s="7"/>
      <c r="BV19" s="7"/>
      <c r="BW19" s="10">
        <v>0.78357779999999999</v>
      </c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53">
        <v>0.82903660000000001</v>
      </c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10">
        <v>0.84822960000000003</v>
      </c>
      <c r="CZ19" s="7"/>
      <c r="DA19" s="7"/>
      <c r="DB19" s="7"/>
      <c r="DC19" s="10">
        <v>0.78887200000000002</v>
      </c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10">
        <v>0.83672550000000001</v>
      </c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53">
        <v>0.77359480000000003</v>
      </c>
      <c r="EF19" s="7"/>
      <c r="EG19" s="7"/>
      <c r="EH19" s="7"/>
      <c r="EI19" s="10">
        <v>0.74423479999999997</v>
      </c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10">
        <v>0.74414170000000002</v>
      </c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</row>
    <row r="20" spans="2:166" x14ac:dyDescent="0.2">
      <c r="B20" s="3"/>
      <c r="C20" s="6">
        <v>3</v>
      </c>
      <c r="D20" t="s">
        <v>42</v>
      </c>
      <c r="E20" s="3"/>
      <c r="F20" s="3"/>
      <c r="G20" s="45">
        <v>0.85048699999999999</v>
      </c>
      <c r="H20" s="7"/>
      <c r="I20" s="7"/>
      <c r="J20" s="7"/>
      <c r="K20" s="45">
        <v>0.80884310000000004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0">
        <v>0.83717770000000002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10">
        <v>0.82232170000000004</v>
      </c>
      <c r="AN20" s="7"/>
      <c r="AO20" s="7"/>
      <c r="AP20" s="17"/>
      <c r="AQ20" s="10">
        <v>0.76281200000000005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10">
        <v>0.80710090000000001</v>
      </c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10">
        <v>0.80795050000000002</v>
      </c>
      <c r="BT20" s="7"/>
      <c r="BU20" s="7"/>
      <c r="BV20" s="7"/>
      <c r="BW20" s="10">
        <v>0.7821612</v>
      </c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53">
        <v>0.83265489999999998</v>
      </c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10">
        <v>0.85535669999999997</v>
      </c>
      <c r="CZ20" s="7"/>
      <c r="DA20" s="7"/>
      <c r="DB20" s="7"/>
      <c r="DC20" s="10">
        <v>0.78105950000000002</v>
      </c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10">
        <v>0.83175030000000005</v>
      </c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53">
        <v>0.761911</v>
      </c>
      <c r="EF20" s="7"/>
      <c r="EG20" s="7"/>
      <c r="EH20" s="7"/>
      <c r="EI20" s="10">
        <v>0.74414170000000002</v>
      </c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10">
        <v>0.744093</v>
      </c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</row>
    <row r="21" spans="2:166" ht="17" thickBot="1" x14ac:dyDescent="0.25">
      <c r="B21" s="3"/>
      <c r="C21" s="6">
        <v>3</v>
      </c>
      <c r="D21" t="s">
        <v>49</v>
      </c>
      <c r="E21" s="3"/>
      <c r="F21" s="3"/>
      <c r="G21" s="44">
        <f>AVERAGE(G18:G20)</f>
        <v>0.85723716666666672</v>
      </c>
      <c r="H21" s="7"/>
      <c r="I21" s="7"/>
      <c r="J21" s="7"/>
      <c r="K21" s="42">
        <f>AVERAGE(K18:K20)</f>
        <v>0.80678396666666663</v>
      </c>
      <c r="L21" s="7"/>
      <c r="M21" s="7"/>
      <c r="N21" s="7"/>
      <c r="O21" s="10">
        <v>1.4800000000000001E-2</v>
      </c>
      <c r="P21" s="7">
        <v>0</v>
      </c>
      <c r="Q21" s="7">
        <v>0.25</v>
      </c>
      <c r="R21" s="7">
        <v>0.75</v>
      </c>
      <c r="S21" s="7">
        <v>0</v>
      </c>
      <c r="T21" s="10">
        <v>8.9999999999999993E-3</v>
      </c>
      <c r="U21" s="73">
        <v>0.99050000000000005</v>
      </c>
      <c r="V21" s="10">
        <v>2.8339149999999998E-4</v>
      </c>
      <c r="W21" s="10">
        <v>1.2730350000000001E-4</v>
      </c>
      <c r="X21" s="49">
        <v>0.99958930000000001</v>
      </c>
      <c r="Y21" s="42">
        <f>AVERAGE(Y18:Y20)</f>
        <v>0.8365746666666668</v>
      </c>
      <c r="Z21" s="7"/>
      <c r="AA21" s="7"/>
      <c r="AB21" s="7"/>
      <c r="AC21" s="10">
        <v>4.1009999999999998E-2</v>
      </c>
      <c r="AD21" s="7">
        <v>0</v>
      </c>
      <c r="AE21" s="7">
        <v>0.25</v>
      </c>
      <c r="AF21" s="7">
        <v>0.75</v>
      </c>
      <c r="AG21" s="7">
        <v>0</v>
      </c>
      <c r="AH21" s="10">
        <v>3.7233330000000002E-2</v>
      </c>
      <c r="AI21" s="49">
        <v>0.96276669999999998</v>
      </c>
      <c r="AJ21" s="10">
        <v>1.2719619999999999E-2</v>
      </c>
      <c r="AK21" s="10">
        <v>7.0233809999999994E-2</v>
      </c>
      <c r="AL21" s="49">
        <v>0.91704660000000005</v>
      </c>
      <c r="AM21" s="13">
        <f>AVERAGE(AM18:AM20)</f>
        <v>0.82336686666666681</v>
      </c>
      <c r="AN21" s="8"/>
      <c r="AO21" s="8"/>
      <c r="AP21" s="16"/>
      <c r="AQ21" s="42">
        <f>AVERAGE(AQ18:AQ20)</f>
        <v>0.76702283333333343</v>
      </c>
      <c r="AR21" s="7"/>
      <c r="AS21" s="7"/>
      <c r="AT21" s="7"/>
      <c r="AU21" s="10">
        <v>1.83E-3</v>
      </c>
      <c r="AV21" s="7">
        <v>0</v>
      </c>
      <c r="AW21" s="7">
        <v>0.25</v>
      </c>
      <c r="AX21" s="7">
        <v>0.75</v>
      </c>
      <c r="AY21" s="7">
        <v>0</v>
      </c>
      <c r="AZ21" s="10">
        <v>9.0333329999999993E-3</v>
      </c>
      <c r="BA21" s="49">
        <v>0.99096669999999998</v>
      </c>
      <c r="BB21" s="10">
        <v>8.7984149999999998E-4</v>
      </c>
      <c r="BC21" s="10">
        <v>9.1828509999999995E-4</v>
      </c>
      <c r="BD21" s="53">
        <v>0.99820189999999998</v>
      </c>
      <c r="BE21" s="44">
        <f>AVERAGE(BE18:BE20)</f>
        <v>0.80529173333333326</v>
      </c>
      <c r="BF21" s="7"/>
      <c r="BG21" s="7"/>
      <c r="BH21" s="7"/>
      <c r="BI21" s="10">
        <v>3.8690000000000002E-2</v>
      </c>
      <c r="BJ21" s="7">
        <v>0</v>
      </c>
      <c r="BK21" s="7">
        <v>0.25</v>
      </c>
      <c r="BL21" s="7">
        <v>0.75</v>
      </c>
      <c r="BM21" s="7">
        <v>0</v>
      </c>
      <c r="BN21" s="10">
        <v>8.9633329999999997E-2</v>
      </c>
      <c r="BO21" s="10">
        <v>0.91036669999999997</v>
      </c>
      <c r="BP21" s="10">
        <v>1.097393E-2</v>
      </c>
      <c r="BQ21" s="10">
        <v>8.7233920000000006E-2</v>
      </c>
      <c r="BR21" s="10">
        <v>0.90179209999999999</v>
      </c>
      <c r="BS21" s="42">
        <f>AVERAGE(BS18:BS20)</f>
        <v>0.81981256666666669</v>
      </c>
      <c r="BT21" s="7"/>
      <c r="BU21" s="7"/>
      <c r="BV21" s="7"/>
      <c r="BW21" s="42">
        <f>AVERAGE(BW18:BW20)</f>
        <v>0.78163099999999996</v>
      </c>
      <c r="BX21" s="7"/>
      <c r="BY21" s="7"/>
      <c r="BZ21" s="7"/>
      <c r="CA21" s="10">
        <v>0.115</v>
      </c>
      <c r="CB21" s="7">
        <v>0</v>
      </c>
      <c r="CC21" s="7">
        <v>0.25</v>
      </c>
      <c r="CD21" s="7">
        <v>0.75</v>
      </c>
      <c r="CE21" s="7">
        <v>0</v>
      </c>
      <c r="CF21" s="10">
        <v>8.2333330000000007E-3</v>
      </c>
      <c r="CG21" s="49">
        <v>0.9917667</v>
      </c>
      <c r="CH21" s="10">
        <v>4.9482470000000001E-2</v>
      </c>
      <c r="CI21" s="10">
        <v>6.4455709999999999E-2</v>
      </c>
      <c r="CJ21" s="10">
        <v>0.88606180000000001</v>
      </c>
      <c r="CK21" s="44">
        <f>AVERAGE(CK18:CK20)</f>
        <v>0.81260363333333341</v>
      </c>
      <c r="CL21" s="7"/>
      <c r="CM21" s="7"/>
      <c r="CN21" s="7"/>
      <c r="CO21" s="10">
        <v>0.84960000000000002</v>
      </c>
      <c r="CP21" s="7">
        <v>0.5</v>
      </c>
      <c r="CQ21" s="7">
        <v>0.25</v>
      </c>
      <c r="CR21" s="7">
        <v>0.25</v>
      </c>
      <c r="CS21" s="10">
        <v>0.53856669999999995</v>
      </c>
      <c r="CT21" s="10">
        <v>1.7333330000000001E-2</v>
      </c>
      <c r="CU21" s="10">
        <v>0.44409999999999999</v>
      </c>
      <c r="CV21" s="10">
        <v>0.35000510000000001</v>
      </c>
      <c r="CW21" s="10">
        <v>0.1754636</v>
      </c>
      <c r="CX21" s="10">
        <v>0.47453129999999999</v>
      </c>
      <c r="CY21" s="42">
        <f>AVERAGE(CY18:CY20)</f>
        <v>0.8510945333333334</v>
      </c>
      <c r="CZ21" s="7"/>
      <c r="DA21" s="7"/>
      <c r="DB21" s="7"/>
      <c r="DC21" s="42">
        <f>AVERAGE(DC18:DC20)</f>
        <v>0.78588673333333325</v>
      </c>
      <c r="DD21" s="7"/>
      <c r="DE21" s="7"/>
      <c r="DF21" s="7"/>
      <c r="DG21" s="10">
        <v>7.2119999999999997E-4</v>
      </c>
      <c r="DH21" s="7">
        <v>0</v>
      </c>
      <c r="DI21" s="7">
        <v>0.25</v>
      </c>
      <c r="DJ21" s="7">
        <v>0.75</v>
      </c>
      <c r="DK21" s="7">
        <v>0</v>
      </c>
      <c r="DL21" s="10">
        <v>8.5333330000000006E-3</v>
      </c>
      <c r="DM21" s="49">
        <v>0.99146670000000003</v>
      </c>
      <c r="DN21" s="10">
        <v>4.0355680000000001E-4</v>
      </c>
      <c r="DO21" s="10">
        <v>1.7855949999999999E-4</v>
      </c>
      <c r="DP21" s="49">
        <v>0.99941789999999997</v>
      </c>
      <c r="DQ21" s="44">
        <f>AVERAGE(DQ18:DQ20)</f>
        <v>0.83401176666666677</v>
      </c>
      <c r="DR21" s="7"/>
      <c r="DS21" s="7"/>
      <c r="DT21" s="7"/>
      <c r="DU21" s="10"/>
      <c r="DV21" s="7">
        <v>0</v>
      </c>
      <c r="DW21" s="7">
        <v>0.5</v>
      </c>
      <c r="DX21" s="7">
        <v>0.5</v>
      </c>
      <c r="DY21" s="7">
        <v>0</v>
      </c>
      <c r="DZ21" s="10">
        <v>0.30486669999999999</v>
      </c>
      <c r="EA21" s="10">
        <v>0.69513329999999995</v>
      </c>
      <c r="EB21" s="10">
        <v>8.3928360000000007E-3</v>
      </c>
      <c r="EC21" s="10">
        <v>0.1919669</v>
      </c>
      <c r="ED21" s="10">
        <v>0.79964029999999997</v>
      </c>
      <c r="EE21" s="44">
        <f>AVERAGE(EE18:EE20)</f>
        <v>0.76488429999999996</v>
      </c>
      <c r="EF21" s="7"/>
      <c r="EG21" s="7"/>
      <c r="EH21" s="7"/>
      <c r="EI21" s="44">
        <f>AVERAGE(EI18:EI20)</f>
        <v>0.74472813333333343</v>
      </c>
      <c r="EJ21" s="7"/>
      <c r="EK21" s="7"/>
      <c r="EL21" s="7"/>
      <c r="EM21" s="10">
        <v>5.1830000000000001E-2</v>
      </c>
      <c r="EN21" s="7">
        <v>0</v>
      </c>
      <c r="EO21" s="7">
        <v>0.25</v>
      </c>
      <c r="EP21" s="7">
        <v>0.75</v>
      </c>
      <c r="EQ21" s="7">
        <v>0</v>
      </c>
      <c r="ER21" s="10">
        <v>9.1333330000000004E-2</v>
      </c>
      <c r="ES21" s="10">
        <v>0.90866670000000005</v>
      </c>
      <c r="ET21" s="10">
        <v>1.5929200000000001E-2</v>
      </c>
      <c r="EU21" s="10">
        <v>8.7518280000000004E-2</v>
      </c>
      <c r="EV21" s="10">
        <v>0.89655249999999997</v>
      </c>
      <c r="EW21" s="44">
        <f>AVERAGE(EW18:EW20)</f>
        <v>0.74441060000000003</v>
      </c>
      <c r="EX21" s="7"/>
      <c r="EY21" s="7"/>
      <c r="EZ21" s="7"/>
      <c r="FA21" s="10">
        <v>4.7199999999999999E-2</v>
      </c>
      <c r="FB21" s="7">
        <v>0</v>
      </c>
      <c r="FC21" s="7">
        <v>0.25</v>
      </c>
      <c r="FD21" s="7">
        <v>0.75</v>
      </c>
      <c r="FE21" s="10">
        <v>0</v>
      </c>
      <c r="FF21" s="10">
        <v>8.7499999999999994E-2</v>
      </c>
      <c r="FG21" s="10">
        <v>0.91249999999999998</v>
      </c>
      <c r="FH21" s="10">
        <v>1.4609459999999999E-2</v>
      </c>
      <c r="FI21" s="10">
        <v>7.9471009999999995E-2</v>
      </c>
      <c r="FJ21" s="10">
        <v>0.90591949999999999</v>
      </c>
    </row>
    <row r="22" spans="2:166" ht="17" thickBot="1" x14ac:dyDescent="0.25">
      <c r="B22" s="3"/>
      <c r="C22" s="6">
        <v>3</v>
      </c>
      <c r="D22" t="s">
        <v>43</v>
      </c>
      <c r="E22" s="3"/>
      <c r="F22" s="3"/>
      <c r="G22" s="45">
        <v>0.8589</v>
      </c>
      <c r="H22" s="10">
        <v>0.8860614</v>
      </c>
      <c r="I22" s="10">
        <v>0.93433120000000003</v>
      </c>
      <c r="J22" s="10">
        <v>0.90955629999999998</v>
      </c>
      <c r="K22" s="45">
        <v>0.66690000000000005</v>
      </c>
      <c r="L22" s="10">
        <v>0.85283149999999996</v>
      </c>
      <c r="M22" s="10">
        <v>0.67826319999999996</v>
      </c>
      <c r="N22" s="10">
        <v>0.75559560000000003</v>
      </c>
      <c r="O22" s="7" t="s">
        <v>24</v>
      </c>
      <c r="P22" s="7">
        <v>0</v>
      </c>
      <c r="Q22" s="7">
        <v>0.5</v>
      </c>
      <c r="R22" s="7">
        <v>0.5</v>
      </c>
      <c r="S22" s="7">
        <v>0</v>
      </c>
      <c r="T22" s="86">
        <v>0.15916669999999999</v>
      </c>
      <c r="U22" s="10">
        <v>0.84083330000000001</v>
      </c>
      <c r="V22" s="7" t="s">
        <v>24</v>
      </c>
      <c r="W22" s="7" t="s">
        <v>24</v>
      </c>
      <c r="X22" s="7" t="s">
        <v>24</v>
      </c>
      <c r="Y22" s="10">
        <v>0.91669999999999996</v>
      </c>
      <c r="Z22" s="10">
        <v>0.92981769999999997</v>
      </c>
      <c r="AA22" s="10">
        <v>0.96291800000000005</v>
      </c>
      <c r="AB22" s="10">
        <v>0.94607839999999999</v>
      </c>
      <c r="AC22" s="7" t="s">
        <v>24</v>
      </c>
      <c r="AD22" s="10">
        <v>0.5</v>
      </c>
      <c r="AE22" s="10">
        <v>0.5</v>
      </c>
      <c r="AF22" s="10">
        <v>0</v>
      </c>
      <c r="AG22" s="10">
        <v>0.84096669999999996</v>
      </c>
      <c r="AH22" s="10">
        <v>0.15903329999999999</v>
      </c>
      <c r="AI22" s="49">
        <v>0</v>
      </c>
      <c r="AJ22" s="7" t="s">
        <v>24</v>
      </c>
      <c r="AK22" s="7" t="s">
        <v>24</v>
      </c>
      <c r="AL22" s="7" t="s">
        <v>24</v>
      </c>
      <c r="AM22" s="10">
        <v>0.82699999999999996</v>
      </c>
      <c r="AN22" s="10">
        <v>0.85102990000000001</v>
      </c>
      <c r="AO22" s="10">
        <v>0.93594929999999998</v>
      </c>
      <c r="AP22" s="10">
        <v>0.89147189999999998</v>
      </c>
      <c r="AQ22" s="10">
        <v>0.76590000000000003</v>
      </c>
      <c r="AR22" s="10">
        <v>0.80374270000000003</v>
      </c>
      <c r="AS22" s="10">
        <v>0.91504850000000004</v>
      </c>
      <c r="AT22" s="10">
        <v>0.85579170000000004</v>
      </c>
      <c r="AU22" s="7" t="s">
        <v>24</v>
      </c>
      <c r="AV22" s="7">
        <v>0</v>
      </c>
      <c r="AW22" s="7">
        <v>0.5</v>
      </c>
      <c r="AX22" s="7">
        <v>0.5</v>
      </c>
      <c r="AY22" s="7">
        <v>0</v>
      </c>
      <c r="AZ22" s="10">
        <v>0.15820000000000001</v>
      </c>
      <c r="BA22" s="10">
        <v>0.84179999999999999</v>
      </c>
      <c r="BB22" s="7" t="s">
        <v>24</v>
      </c>
      <c r="BC22" s="7" t="s">
        <v>24</v>
      </c>
      <c r="BD22" s="7" t="s">
        <v>24</v>
      </c>
      <c r="BE22" s="10">
        <v>0.85040000000000004</v>
      </c>
      <c r="BF22" s="10">
        <v>0.86682269999999995</v>
      </c>
      <c r="BG22" s="10">
        <v>0.94875940000000003</v>
      </c>
      <c r="BH22" s="10">
        <v>0.90594220000000003</v>
      </c>
      <c r="BI22" s="7" t="s">
        <v>24</v>
      </c>
      <c r="BJ22" s="7">
        <v>0.5</v>
      </c>
      <c r="BK22" s="7">
        <v>0.5</v>
      </c>
      <c r="BL22" s="10">
        <v>0</v>
      </c>
      <c r="BM22" s="10">
        <v>0.84073330000000002</v>
      </c>
      <c r="BN22" s="10">
        <v>0.15926670000000001</v>
      </c>
      <c r="BO22" s="7">
        <v>0</v>
      </c>
      <c r="BP22" s="7" t="s">
        <v>24</v>
      </c>
      <c r="BQ22" s="7" t="s">
        <v>24</v>
      </c>
      <c r="BR22" s="7" t="s">
        <v>24</v>
      </c>
      <c r="BS22" s="10">
        <v>0.80510000000000004</v>
      </c>
      <c r="BT22" s="10">
        <v>0.82809520000000003</v>
      </c>
      <c r="BU22" s="10">
        <v>0.93797200000000003</v>
      </c>
      <c r="BV22" s="10">
        <v>0.87961560000000005</v>
      </c>
      <c r="BW22" s="10">
        <v>0.74390000000000001</v>
      </c>
      <c r="BX22" s="10">
        <v>0.7875702</v>
      </c>
      <c r="BY22" s="10">
        <v>0.90736249999999996</v>
      </c>
      <c r="BZ22" s="10">
        <v>0.84323309999999996</v>
      </c>
      <c r="CA22" s="7" t="s">
        <v>24</v>
      </c>
      <c r="CB22" s="7">
        <v>0</v>
      </c>
      <c r="CC22" s="7">
        <v>0.5</v>
      </c>
      <c r="CD22" s="7">
        <v>0.5</v>
      </c>
      <c r="CE22" s="7">
        <v>0</v>
      </c>
      <c r="CF22" s="10">
        <v>0.1579333</v>
      </c>
      <c r="CG22" s="10">
        <v>0.84206669999999995</v>
      </c>
      <c r="CH22" s="7" t="s">
        <v>24</v>
      </c>
      <c r="CI22" s="7" t="s">
        <v>24</v>
      </c>
      <c r="CJ22" s="7" t="s">
        <v>24</v>
      </c>
      <c r="CK22" s="53">
        <v>0.80100000000000005</v>
      </c>
      <c r="CL22" s="10">
        <v>0.81013380000000002</v>
      </c>
      <c r="CM22" s="10">
        <v>0.96372709999999995</v>
      </c>
      <c r="CN22" s="10">
        <v>0.88028079999999997</v>
      </c>
      <c r="CO22" s="7" t="s">
        <v>24</v>
      </c>
      <c r="CP22" s="7">
        <v>0</v>
      </c>
      <c r="CQ22" s="7">
        <v>1</v>
      </c>
      <c r="CR22" s="7">
        <v>0</v>
      </c>
      <c r="CS22" s="7">
        <v>0</v>
      </c>
      <c r="CT22" s="10">
        <v>1</v>
      </c>
      <c r="CU22" s="10">
        <v>0</v>
      </c>
      <c r="CV22" s="7" t="s">
        <v>24</v>
      </c>
      <c r="CW22" s="7" t="s">
        <v>24</v>
      </c>
      <c r="CX22" s="7" t="s">
        <v>24</v>
      </c>
      <c r="CY22" s="10">
        <v>0.85329999999999995</v>
      </c>
      <c r="CZ22" s="10">
        <v>0.88045280000000004</v>
      </c>
      <c r="DA22" s="10">
        <v>0.93352210000000002</v>
      </c>
      <c r="DB22" s="10">
        <v>0.90621110000000005</v>
      </c>
      <c r="DC22" s="10">
        <v>0.76559999999999995</v>
      </c>
      <c r="DD22" s="10">
        <v>0.80053940000000001</v>
      </c>
      <c r="DE22" s="10">
        <v>0.92057710000000004</v>
      </c>
      <c r="DF22" s="10">
        <v>0.85637229999999998</v>
      </c>
      <c r="DG22" s="7" t="s">
        <v>24</v>
      </c>
      <c r="DH22" s="7">
        <v>0</v>
      </c>
      <c r="DI22" s="7">
        <v>0.5</v>
      </c>
      <c r="DJ22" s="7">
        <v>0.5</v>
      </c>
      <c r="DK22" s="7">
        <v>0</v>
      </c>
      <c r="DL22" s="10">
        <v>0.16006670000000001</v>
      </c>
      <c r="DM22" s="10">
        <v>0.83993329999999999</v>
      </c>
      <c r="DN22" s="7" t="s">
        <v>24</v>
      </c>
      <c r="DO22" s="7" t="s">
        <v>24</v>
      </c>
      <c r="DP22" s="7" t="s">
        <v>24</v>
      </c>
      <c r="DQ22" s="53">
        <v>0.83819999999999995</v>
      </c>
      <c r="DR22" s="10">
        <v>0.87945379999999995</v>
      </c>
      <c r="DS22" s="10">
        <v>0.91194710000000001</v>
      </c>
      <c r="DT22" s="10">
        <v>0.89540580000000003</v>
      </c>
      <c r="DU22" s="7" t="s">
        <v>24</v>
      </c>
      <c r="DV22" s="7">
        <v>0</v>
      </c>
      <c r="DW22" s="7">
        <v>0.5</v>
      </c>
      <c r="DX22" s="7">
        <v>0.5</v>
      </c>
      <c r="DY22" s="10">
        <v>0</v>
      </c>
      <c r="DZ22" s="10">
        <v>1</v>
      </c>
      <c r="EA22" s="10">
        <v>0</v>
      </c>
      <c r="EB22" s="7" t="s">
        <v>24</v>
      </c>
      <c r="EC22" s="7" t="s">
        <v>24</v>
      </c>
      <c r="ED22" s="7" t="s">
        <v>24</v>
      </c>
      <c r="EE22" s="53">
        <v>0.77280000000000004</v>
      </c>
      <c r="EF22" s="10">
        <v>0.76969381999999997</v>
      </c>
      <c r="EG22" s="10">
        <v>1</v>
      </c>
      <c r="EH22" s="10">
        <v>0.86986101000000005</v>
      </c>
      <c r="EI22" s="10">
        <v>0.77429999999999999</v>
      </c>
      <c r="EJ22" s="10">
        <v>0.77081379999999999</v>
      </c>
      <c r="EK22" s="10">
        <v>1</v>
      </c>
      <c r="EL22" s="10">
        <v>0.87057580000000001</v>
      </c>
      <c r="EM22" s="7" t="s">
        <v>24</v>
      </c>
      <c r="EN22" s="7">
        <v>0</v>
      </c>
      <c r="EO22" s="7">
        <v>1</v>
      </c>
      <c r="EP22" s="7">
        <v>0</v>
      </c>
      <c r="EQ22" s="7">
        <v>0</v>
      </c>
      <c r="ER22" s="10">
        <v>1</v>
      </c>
      <c r="ES22" s="10">
        <v>0</v>
      </c>
      <c r="ET22" s="7" t="s">
        <v>24</v>
      </c>
      <c r="EU22" s="7" t="s">
        <v>24</v>
      </c>
      <c r="EV22" s="7" t="s">
        <v>24</v>
      </c>
      <c r="EW22" s="50">
        <v>0.77429999999999999</v>
      </c>
      <c r="EX22" s="10">
        <v>0.77081379999999999</v>
      </c>
      <c r="EY22" s="10">
        <v>1</v>
      </c>
      <c r="EZ22" s="10">
        <v>0.87057580000000001</v>
      </c>
      <c r="FA22" s="7" t="s">
        <v>24</v>
      </c>
      <c r="FB22" s="7">
        <v>0</v>
      </c>
      <c r="FC22" s="31">
        <v>1</v>
      </c>
      <c r="FD22" s="7">
        <v>0</v>
      </c>
      <c r="FE22" s="7">
        <v>0</v>
      </c>
      <c r="FF22" s="31">
        <v>1</v>
      </c>
      <c r="FG22" s="7">
        <v>0</v>
      </c>
      <c r="FH22" s="7" t="s">
        <v>24</v>
      </c>
      <c r="FI22" s="7" t="s">
        <v>24</v>
      </c>
      <c r="FJ22" s="7" t="s">
        <v>24</v>
      </c>
    </row>
    <row r="23" spans="2:166" x14ac:dyDescent="0.2">
      <c r="B23" s="3"/>
      <c r="C23" s="6"/>
      <c r="E23" s="3"/>
      <c r="F23" s="3"/>
      <c r="G23" s="14"/>
      <c r="H23" s="7"/>
      <c r="I23" s="7"/>
      <c r="J23" s="7"/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4"/>
      <c r="AN23" s="7"/>
      <c r="AO23" s="7"/>
      <c r="AP23" s="1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14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14"/>
      <c r="BT23" s="7"/>
      <c r="BU23" s="7"/>
      <c r="BV23" s="7"/>
      <c r="BW23" s="14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14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14"/>
      <c r="CZ23" s="7"/>
      <c r="DA23" s="7"/>
      <c r="DB23" s="7"/>
      <c r="DC23" s="14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14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14"/>
      <c r="EF23" s="7"/>
      <c r="EG23" s="7"/>
      <c r="EH23" s="7"/>
      <c r="EI23" s="14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14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</row>
    <row r="24" spans="2:166" x14ac:dyDescent="0.2">
      <c r="B24" s="3"/>
      <c r="C24" s="6">
        <v>4</v>
      </c>
      <c r="D24" t="s">
        <v>40</v>
      </c>
      <c r="E24" s="3"/>
      <c r="F24" s="3"/>
      <c r="G24" s="45">
        <v>0.86363040000000002</v>
      </c>
      <c r="H24" s="7"/>
      <c r="I24" s="7"/>
      <c r="J24" s="7"/>
      <c r="K24" s="45">
        <v>0.94900890000000004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0">
        <v>0.8611394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0">
        <v>0.82427269999999997</v>
      </c>
      <c r="AN24" s="8"/>
      <c r="AO24" s="8"/>
      <c r="AP24" s="16"/>
      <c r="AQ24" s="10">
        <v>0.93660160000000003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10">
        <v>0.83443540000000005</v>
      </c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10">
        <v>0.80139510000000003</v>
      </c>
      <c r="BT24" s="7"/>
      <c r="BU24" s="7"/>
      <c r="BV24" s="7"/>
      <c r="BW24" s="10">
        <v>0.94266260000000002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53">
        <v>0.85601629999999995</v>
      </c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10">
        <v>0.84969729999999999</v>
      </c>
      <c r="CZ24" s="7"/>
      <c r="DA24" s="7"/>
      <c r="DB24" s="7"/>
      <c r="DC24" s="10">
        <v>0.94704189999999999</v>
      </c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53">
        <v>0.81760370000000004</v>
      </c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53">
        <v>0.75914709999999996</v>
      </c>
      <c r="EF24" s="7"/>
      <c r="EG24" s="7"/>
      <c r="EH24" s="7"/>
      <c r="EI24" s="10">
        <v>0.93509830000000005</v>
      </c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10">
        <v>0.93509830000000005</v>
      </c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</row>
    <row r="25" spans="2:166" x14ac:dyDescent="0.2">
      <c r="B25" s="3"/>
      <c r="C25" s="6">
        <v>4</v>
      </c>
      <c r="D25" t="s">
        <v>41</v>
      </c>
      <c r="E25" s="3"/>
      <c r="F25" s="3"/>
      <c r="G25" s="45">
        <v>0.85759410000000003</v>
      </c>
      <c r="H25" s="7"/>
      <c r="I25" s="7"/>
      <c r="J25" s="7"/>
      <c r="K25" s="45">
        <v>0.9499244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0">
        <v>0.85270919999999994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0">
        <v>0.82350619999999997</v>
      </c>
      <c r="AN25" s="7"/>
      <c r="AO25" s="7"/>
      <c r="AP25" s="17"/>
      <c r="AQ25" s="10">
        <v>0.93585479999999999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10">
        <v>0.83515640000000002</v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10">
        <v>0.85009210000000002</v>
      </c>
      <c r="BT25" s="7"/>
      <c r="BU25" s="7"/>
      <c r="BV25" s="7"/>
      <c r="BW25" s="10">
        <v>0.94673929999999995</v>
      </c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53">
        <v>0.81866729999999999</v>
      </c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10">
        <v>0.84822960000000003</v>
      </c>
      <c r="CZ25" s="7"/>
      <c r="DA25" s="7"/>
      <c r="DB25" s="7"/>
      <c r="DC25" s="10">
        <v>0.94039329999999999</v>
      </c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53">
        <v>0.85961339999999997</v>
      </c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53">
        <v>0.77359480000000003</v>
      </c>
      <c r="EF25" s="7"/>
      <c r="EG25" s="7"/>
      <c r="EH25" s="7"/>
      <c r="EI25" s="10">
        <v>0.93523979999999995</v>
      </c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10">
        <v>0.93523979999999995</v>
      </c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</row>
    <row r="26" spans="2:166" x14ac:dyDescent="0.2">
      <c r="B26" s="3"/>
      <c r="C26" s="6">
        <v>1</v>
      </c>
      <c r="D26" t="s">
        <v>42</v>
      </c>
      <c r="E26" s="3"/>
      <c r="F26" s="3"/>
      <c r="G26" s="45">
        <v>0.85048699999999999</v>
      </c>
      <c r="H26" s="7"/>
      <c r="I26" s="7"/>
      <c r="J26" s="7"/>
      <c r="K26" s="45">
        <v>0.94568839999999998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0">
        <v>0.84766019999999997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0">
        <v>0.82232170000000004</v>
      </c>
      <c r="AN26" s="7"/>
      <c r="AO26" s="7"/>
      <c r="AP26" s="17"/>
      <c r="AQ26" s="10">
        <v>0.93676250000000005</v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10">
        <v>0.82985759999999997</v>
      </c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10">
        <v>0.80795050000000002</v>
      </c>
      <c r="BT26" s="7"/>
      <c r="BU26" s="7"/>
      <c r="BV26" s="7"/>
      <c r="BW26" s="10">
        <v>0.94735250000000004</v>
      </c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53">
        <v>0.85300100000000001</v>
      </c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10">
        <v>0.85535669999999997</v>
      </c>
      <c r="CZ26" s="7"/>
      <c r="DA26" s="7"/>
      <c r="DB26" s="7"/>
      <c r="DC26" s="10">
        <v>0.93827530000000003</v>
      </c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53">
        <v>0.86063069999999997</v>
      </c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53">
        <v>0.761911</v>
      </c>
      <c r="EF26" s="7"/>
      <c r="EG26" s="7"/>
      <c r="EH26" s="7"/>
      <c r="EI26" s="10">
        <v>0.93509830000000005</v>
      </c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10">
        <v>0.93509830000000005</v>
      </c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</row>
    <row r="27" spans="2:166" x14ac:dyDescent="0.2">
      <c r="B27" s="3"/>
      <c r="C27" s="6">
        <v>4</v>
      </c>
      <c r="D27" t="s">
        <v>49</v>
      </c>
      <c r="E27" s="3"/>
      <c r="F27" s="3"/>
      <c r="G27" s="44">
        <f>AVERAGE(G24:G26)</f>
        <v>0.85723716666666672</v>
      </c>
      <c r="H27" s="7"/>
      <c r="I27" s="7"/>
      <c r="J27" s="7"/>
      <c r="K27" s="29">
        <f>AVERAGE(K24:K26)</f>
        <v>0.94820723333333323</v>
      </c>
      <c r="L27" s="7"/>
      <c r="M27" s="7"/>
      <c r="N27" s="7"/>
      <c r="O27" s="10">
        <v>2.2330000000000002E-3</v>
      </c>
      <c r="P27" s="7">
        <v>0.75</v>
      </c>
      <c r="Q27" s="7">
        <v>0.25</v>
      </c>
      <c r="R27" s="7">
        <v>0</v>
      </c>
      <c r="S27" s="72">
        <v>0.99156670000000002</v>
      </c>
      <c r="T27" s="10">
        <v>8.4333329999999995E-3</v>
      </c>
      <c r="U27" s="7">
        <v>0</v>
      </c>
      <c r="V27" s="28">
        <v>0.9981255</v>
      </c>
      <c r="W27" s="10">
        <v>6.6662999999999998E-4</v>
      </c>
      <c r="X27" s="7">
        <v>1.207875E-3</v>
      </c>
      <c r="Y27" s="43">
        <f>AVERAGE(Y24:Y26)</f>
        <v>0.85383626666666668</v>
      </c>
      <c r="Z27" s="7"/>
      <c r="AA27" s="7"/>
      <c r="AB27" s="7"/>
      <c r="AC27" s="10">
        <v>0.43790000000000001</v>
      </c>
      <c r="AD27" s="7">
        <v>0</v>
      </c>
      <c r="AE27" s="32">
        <v>1</v>
      </c>
      <c r="AF27" s="7">
        <v>0</v>
      </c>
      <c r="AG27" s="7">
        <v>0</v>
      </c>
      <c r="AH27" s="32">
        <v>1</v>
      </c>
      <c r="AI27" s="7">
        <v>0</v>
      </c>
      <c r="AJ27" s="10">
        <v>4.0865060000000002E-2</v>
      </c>
      <c r="AK27" s="10">
        <v>0.83530510000000002</v>
      </c>
      <c r="AL27" s="10">
        <v>0.1238298</v>
      </c>
      <c r="AM27" s="13">
        <f>AVERAGE(AM24:AM26)</f>
        <v>0.82336686666666681</v>
      </c>
      <c r="AN27" s="8"/>
      <c r="AO27" s="8"/>
      <c r="AP27" s="16"/>
      <c r="AQ27" s="29">
        <f>AVERAGE(AQ24:AQ26)</f>
        <v>0.93640629999999991</v>
      </c>
      <c r="AR27" s="7"/>
      <c r="AS27" s="7"/>
      <c r="AT27" s="7"/>
      <c r="AU27" s="10">
        <v>3.0239999999999998E-5</v>
      </c>
      <c r="AV27" s="7">
        <v>0.75</v>
      </c>
      <c r="AW27" s="7">
        <v>0.25</v>
      </c>
      <c r="AX27" s="7">
        <v>0</v>
      </c>
      <c r="AY27" s="28">
        <v>0.99136670000000005</v>
      </c>
      <c r="AZ27" s="10">
        <v>8.633333E-3</v>
      </c>
      <c r="BA27" s="7">
        <v>0</v>
      </c>
      <c r="BB27" s="10">
        <v>0.99997570000000002</v>
      </c>
      <c r="BC27" s="10">
        <v>7.2454829999999997E-6</v>
      </c>
      <c r="BD27" s="10">
        <v>1.7014369999999999E-5</v>
      </c>
      <c r="BE27" s="44">
        <f>AVERAGE(BE24:BE26)</f>
        <v>0.83314980000000005</v>
      </c>
      <c r="BF27" s="7"/>
      <c r="BG27" s="7"/>
      <c r="BH27" s="7"/>
      <c r="BI27" s="10">
        <v>3.5040000000000002E-2</v>
      </c>
      <c r="BJ27" s="7">
        <v>0.5</v>
      </c>
      <c r="BK27" s="7">
        <v>0.5</v>
      </c>
      <c r="BL27" s="7">
        <v>0</v>
      </c>
      <c r="BM27" s="10">
        <v>0.32906669999999999</v>
      </c>
      <c r="BN27" s="10">
        <v>0.67093329999999995</v>
      </c>
      <c r="BO27" s="7">
        <v>0</v>
      </c>
      <c r="BP27" s="10">
        <v>0.46476000000000001</v>
      </c>
      <c r="BQ27" s="10">
        <v>0.52931850000000003</v>
      </c>
      <c r="BR27" s="10">
        <v>5.9214439999999997E-3</v>
      </c>
      <c r="BS27" s="42">
        <f>AVERAGE(BS24:BS26)</f>
        <v>0.81981256666666669</v>
      </c>
      <c r="BT27" s="7"/>
      <c r="BU27" s="7"/>
      <c r="BV27" s="7"/>
      <c r="BW27" s="29">
        <f>AVERAGE(BW24:BW26)</f>
        <v>0.94558480000000011</v>
      </c>
      <c r="BX27" s="7"/>
      <c r="BY27" s="7"/>
      <c r="BZ27" s="7"/>
      <c r="CA27" s="10">
        <v>1.3180000000000001E-2</v>
      </c>
      <c r="CB27" s="7">
        <v>0.75</v>
      </c>
      <c r="CC27" s="7">
        <v>0.25</v>
      </c>
      <c r="CD27" s="7">
        <v>0</v>
      </c>
      <c r="CE27" s="28">
        <v>0.99053329999999995</v>
      </c>
      <c r="CF27" s="10">
        <v>9.4666669999999998E-3</v>
      </c>
      <c r="CG27" s="7">
        <v>0</v>
      </c>
      <c r="CH27" s="28">
        <v>0.98974709999999999</v>
      </c>
      <c r="CI27" s="10">
        <v>2.7354179999999999E-3</v>
      </c>
      <c r="CJ27" s="10">
        <v>7.5175140000000003E-3</v>
      </c>
      <c r="CK27" s="44">
        <f>AVERAGE(CK24:CK26)</f>
        <v>0.84256153333333328</v>
      </c>
      <c r="CL27" s="7"/>
      <c r="CM27" s="7"/>
      <c r="CN27" s="7"/>
      <c r="CO27" s="10">
        <v>0.2298</v>
      </c>
      <c r="CP27" s="7">
        <v>0.5</v>
      </c>
      <c r="CQ27" s="7">
        <v>0.5</v>
      </c>
      <c r="CR27" s="7">
        <v>0</v>
      </c>
      <c r="CS27" s="10">
        <v>0.78353329999999999</v>
      </c>
      <c r="CT27" s="10">
        <v>0.21646670000000001</v>
      </c>
      <c r="CU27" s="7">
        <v>0</v>
      </c>
      <c r="CV27" s="10">
        <v>0.75282919999999998</v>
      </c>
      <c r="CW27" s="10">
        <v>0.16367010000000001</v>
      </c>
      <c r="CX27" s="10">
        <v>8.3500749999999999E-2</v>
      </c>
      <c r="CY27" s="42">
        <f>AVERAGE(CY24:CY26)</f>
        <v>0.8510945333333334</v>
      </c>
      <c r="CZ27" s="7"/>
      <c r="DA27" s="7"/>
      <c r="DB27" s="7"/>
      <c r="DC27" s="29">
        <f>AVERAGE(DC24:DC26)</f>
        <v>0.9419035</v>
      </c>
      <c r="DD27" s="7"/>
      <c r="DE27" s="7"/>
      <c r="DF27" s="7"/>
      <c r="DG27" s="10">
        <v>2.1519999999999998E-3</v>
      </c>
      <c r="DH27" s="7">
        <v>0.75</v>
      </c>
      <c r="DI27" s="7">
        <v>0.25</v>
      </c>
      <c r="DJ27" s="7">
        <v>0</v>
      </c>
      <c r="DK27" s="28">
        <v>0.99186669999999999</v>
      </c>
      <c r="DL27" s="10">
        <v>8.1333329999999995E-3</v>
      </c>
      <c r="DM27" s="7">
        <v>0</v>
      </c>
      <c r="DN27" s="28">
        <v>0.99819250000000004</v>
      </c>
      <c r="DO27" s="10">
        <v>6.4380009999999996E-4</v>
      </c>
      <c r="DP27" s="10">
        <v>1.163699E-3</v>
      </c>
      <c r="DQ27" s="44">
        <f>AVERAGE(DQ24:DQ26)</f>
        <v>0.84594926666666659</v>
      </c>
      <c r="DR27" s="7"/>
      <c r="DS27" s="7"/>
      <c r="DT27" s="7"/>
      <c r="DU27" s="10">
        <v>0.74139999999999995</v>
      </c>
      <c r="DV27" s="7">
        <v>0.25</v>
      </c>
      <c r="DW27" s="7">
        <v>0.5</v>
      </c>
      <c r="DX27" s="7">
        <v>0.25</v>
      </c>
      <c r="DY27" s="10">
        <v>7.4700000000000003E-2</v>
      </c>
      <c r="DZ27" s="10">
        <v>0.44850000000000001</v>
      </c>
      <c r="EA27" s="10">
        <v>0.4768</v>
      </c>
      <c r="EB27" s="10">
        <v>0.21814069999999999</v>
      </c>
      <c r="EC27" s="10">
        <v>0.38871800000000001</v>
      </c>
      <c r="ED27" s="10">
        <v>0.39314130000000003</v>
      </c>
      <c r="EE27" s="44">
        <f>AVERAGE(EE24:EE26)</f>
        <v>0.76488429999999996</v>
      </c>
      <c r="EF27" s="7"/>
      <c r="EG27" s="7"/>
      <c r="EH27" s="7"/>
      <c r="EI27" s="29">
        <f>AVERAGE(EI24:EI26)</f>
        <v>0.93514546666666665</v>
      </c>
      <c r="EJ27" s="7"/>
      <c r="EK27" s="7"/>
      <c r="EL27" s="7"/>
      <c r="EM27" s="10">
        <v>6.6149999999999998E-4</v>
      </c>
      <c r="EN27" s="10">
        <v>0.75</v>
      </c>
      <c r="EO27" s="10">
        <v>0.25</v>
      </c>
      <c r="EP27" s="10">
        <v>0</v>
      </c>
      <c r="EQ27" s="28">
        <v>0.99050000000000005</v>
      </c>
      <c r="ER27" s="10">
        <v>9.4999999999999998E-3</v>
      </c>
      <c r="ES27" s="10">
        <v>0</v>
      </c>
      <c r="ET27" s="10">
        <v>0.99950249999999996</v>
      </c>
      <c r="EU27" s="10">
        <v>1.0415439999999999E-4</v>
      </c>
      <c r="EV27" s="10">
        <v>3.9337539999999998E-4</v>
      </c>
      <c r="EW27" s="29">
        <f>AVERAGE(EW24:EW26)</f>
        <v>0.93514546666666665</v>
      </c>
      <c r="EX27" s="7"/>
      <c r="EY27" s="7"/>
      <c r="EZ27" s="7"/>
      <c r="FA27" s="28">
        <v>6.6149999999999998E-4</v>
      </c>
      <c r="FB27" s="7">
        <v>0.75</v>
      </c>
      <c r="FC27" s="7">
        <v>0.25</v>
      </c>
      <c r="FD27" s="7">
        <v>0</v>
      </c>
      <c r="FE27" s="28">
        <v>0.9909</v>
      </c>
      <c r="FF27" s="10">
        <v>9.1000000000000004E-3</v>
      </c>
      <c r="FG27" s="7">
        <v>0</v>
      </c>
      <c r="FH27" s="28">
        <v>0.99950249999999996</v>
      </c>
      <c r="FI27" s="10">
        <v>1.0415439999999999E-4</v>
      </c>
      <c r="FJ27" s="10">
        <v>3.9337539999999998E-4</v>
      </c>
    </row>
    <row r="28" spans="2:166" x14ac:dyDescent="0.2">
      <c r="B28" s="3"/>
      <c r="C28" s="6">
        <v>4</v>
      </c>
      <c r="D28" t="s">
        <v>43</v>
      </c>
      <c r="E28" s="3"/>
      <c r="F28" s="3"/>
      <c r="G28" s="45">
        <v>0.8589</v>
      </c>
      <c r="H28" s="10">
        <v>0.8860614</v>
      </c>
      <c r="I28" s="10">
        <v>0.93433120000000003</v>
      </c>
      <c r="J28" s="10">
        <v>0.90955629999999998</v>
      </c>
      <c r="K28" s="45">
        <v>0.83450000000000002</v>
      </c>
      <c r="L28" s="10">
        <v>0.82120309999999996</v>
      </c>
      <c r="M28" s="10">
        <v>0.99959549999999997</v>
      </c>
      <c r="N28" s="10">
        <v>0.90166029999999997</v>
      </c>
      <c r="O28" s="7" t="s">
        <v>24</v>
      </c>
      <c r="P28" s="7">
        <v>0</v>
      </c>
      <c r="Q28" s="7">
        <v>0.5</v>
      </c>
      <c r="R28" s="7">
        <v>0.5</v>
      </c>
      <c r="S28" s="7">
        <v>0</v>
      </c>
      <c r="T28" s="10">
        <v>0.16220000000000001</v>
      </c>
      <c r="U28" s="10">
        <v>0.83779999999999999</v>
      </c>
      <c r="V28" s="7" t="s">
        <v>24</v>
      </c>
      <c r="W28" s="7" t="s">
        <v>24</v>
      </c>
      <c r="X28" s="7" t="s">
        <v>24</v>
      </c>
      <c r="Y28" s="10">
        <v>0.87570000000000003</v>
      </c>
      <c r="Z28" s="10">
        <v>0.91928069999999995</v>
      </c>
      <c r="AA28" s="10">
        <v>0.91680150000000005</v>
      </c>
      <c r="AB28" s="10">
        <v>0.91803939999999995</v>
      </c>
      <c r="AC28" s="7" t="s">
        <v>24</v>
      </c>
      <c r="AD28" s="10">
        <v>0.5</v>
      </c>
      <c r="AE28" s="10">
        <v>0.5</v>
      </c>
      <c r="AF28" s="10">
        <v>0</v>
      </c>
      <c r="AG28" s="10">
        <v>0.54249999999999998</v>
      </c>
      <c r="AH28" s="10">
        <v>0.45750000000000002</v>
      </c>
      <c r="AI28" s="7">
        <v>0</v>
      </c>
      <c r="AJ28" s="7" t="s">
        <v>24</v>
      </c>
      <c r="AK28" s="7" t="s">
        <v>24</v>
      </c>
      <c r="AL28" s="7" t="s">
        <v>24</v>
      </c>
      <c r="AM28" s="10">
        <v>0.82699999999999996</v>
      </c>
      <c r="AN28" s="10">
        <v>0.85102990000000001</v>
      </c>
      <c r="AO28" s="10">
        <v>0.93594929999999998</v>
      </c>
      <c r="AP28" s="10">
        <v>0.89147189999999998</v>
      </c>
      <c r="AQ28" s="10">
        <v>0.76400000000000001</v>
      </c>
      <c r="AR28" s="10">
        <v>0.76337215000000003</v>
      </c>
      <c r="AS28" s="10">
        <v>0.99878641000000001</v>
      </c>
      <c r="AT28" s="10">
        <v>0.86535428000000003</v>
      </c>
      <c r="AU28" s="7" t="s">
        <v>24</v>
      </c>
      <c r="AV28" s="7">
        <v>0</v>
      </c>
      <c r="AW28" s="7">
        <v>0.5</v>
      </c>
      <c r="AX28" s="7">
        <v>0.5</v>
      </c>
      <c r="AY28" s="7">
        <v>0</v>
      </c>
      <c r="AZ28" s="10">
        <v>0.1584333</v>
      </c>
      <c r="BA28" s="10">
        <v>0.8415667</v>
      </c>
      <c r="BB28" s="7" t="s">
        <v>24</v>
      </c>
      <c r="BC28" s="7" t="s">
        <v>24</v>
      </c>
      <c r="BD28" s="7" t="s">
        <v>24</v>
      </c>
      <c r="BE28" s="10">
        <v>0.82310000000000005</v>
      </c>
      <c r="BF28" s="10">
        <v>0.83131409999999994</v>
      </c>
      <c r="BG28" s="10">
        <v>0.96224379999999998</v>
      </c>
      <c r="BH28" s="10">
        <v>0.89200000000000002</v>
      </c>
      <c r="BI28" s="7" t="s">
        <v>24</v>
      </c>
      <c r="BJ28" s="7">
        <v>0</v>
      </c>
      <c r="BK28" s="7">
        <v>1</v>
      </c>
      <c r="BL28" s="7">
        <v>0</v>
      </c>
      <c r="BM28" s="7">
        <v>0</v>
      </c>
      <c r="BN28" s="7">
        <v>1</v>
      </c>
      <c r="BO28" s="7">
        <v>0</v>
      </c>
      <c r="BP28" s="7" t="s">
        <v>24</v>
      </c>
      <c r="BQ28" s="7" t="s">
        <v>24</v>
      </c>
      <c r="BR28" s="7" t="s">
        <v>24</v>
      </c>
      <c r="BS28" s="10">
        <v>0.80510000000000004</v>
      </c>
      <c r="BT28" s="10">
        <v>0.82809520000000003</v>
      </c>
      <c r="BU28" s="10">
        <v>0.93797200000000003</v>
      </c>
      <c r="BV28" s="10">
        <v>0.87961560000000005</v>
      </c>
      <c r="BW28" s="10">
        <v>0.75919999999999999</v>
      </c>
      <c r="BX28" s="10">
        <v>0.75921380000000005</v>
      </c>
      <c r="BY28" s="10">
        <v>1</v>
      </c>
      <c r="BZ28" s="10">
        <v>0.86312849999999997</v>
      </c>
      <c r="CA28" s="7" t="s">
        <v>24</v>
      </c>
      <c r="CB28" s="7">
        <v>0</v>
      </c>
      <c r="CC28" s="7">
        <v>0.5</v>
      </c>
      <c r="CD28" s="7">
        <v>0.5</v>
      </c>
      <c r="CE28" s="7">
        <v>0</v>
      </c>
      <c r="CF28" s="10">
        <v>0.16146669999999999</v>
      </c>
      <c r="CG28" s="10">
        <v>0.83853330000000004</v>
      </c>
      <c r="CH28" s="7" t="s">
        <v>24</v>
      </c>
      <c r="CI28" s="7" t="s">
        <v>24</v>
      </c>
      <c r="CJ28" s="7" t="s">
        <v>24</v>
      </c>
      <c r="CK28" s="53">
        <v>0.80069999999999997</v>
      </c>
      <c r="CL28" s="10">
        <v>0.88400509999999999</v>
      </c>
      <c r="CM28" s="10">
        <v>0.84884029999999999</v>
      </c>
      <c r="CN28" s="10">
        <v>0.86606590000000006</v>
      </c>
      <c r="CO28" s="7" t="s">
        <v>24</v>
      </c>
      <c r="CP28" s="7">
        <v>0</v>
      </c>
      <c r="CQ28" s="7">
        <v>1</v>
      </c>
      <c r="CR28" s="7">
        <v>0</v>
      </c>
      <c r="CS28" s="7">
        <v>0</v>
      </c>
      <c r="CT28" s="10">
        <v>1</v>
      </c>
      <c r="CU28" s="10">
        <v>0</v>
      </c>
      <c r="CV28" s="7" t="s">
        <v>24</v>
      </c>
      <c r="CW28" s="7" t="s">
        <v>24</v>
      </c>
      <c r="CX28" s="7" t="s">
        <v>24</v>
      </c>
      <c r="CY28" s="10">
        <v>0.85329999999999995</v>
      </c>
      <c r="CZ28" s="10">
        <v>0.88045280000000004</v>
      </c>
      <c r="DA28" s="10">
        <v>0.93352210000000002</v>
      </c>
      <c r="DB28" s="10">
        <v>0.90621110000000005</v>
      </c>
      <c r="DC28" s="10">
        <v>0.78290000000000004</v>
      </c>
      <c r="DD28" s="10">
        <v>0.78114050000000002</v>
      </c>
      <c r="DE28" s="10">
        <v>0.99190940000000005</v>
      </c>
      <c r="DF28" s="10">
        <v>0.87399749999999998</v>
      </c>
      <c r="DG28" s="7" t="s">
        <v>24</v>
      </c>
      <c r="DH28" s="7">
        <v>0</v>
      </c>
      <c r="DI28" s="7">
        <v>0.5</v>
      </c>
      <c r="DJ28" s="7">
        <v>0.5</v>
      </c>
      <c r="DK28" s="10">
        <v>0</v>
      </c>
      <c r="DL28" s="10">
        <v>0.16046669999999999</v>
      </c>
      <c r="DM28" s="10">
        <v>0.83953330000000004</v>
      </c>
      <c r="DN28" s="7" t="s">
        <v>24</v>
      </c>
      <c r="DO28" s="7" t="s">
        <v>24</v>
      </c>
      <c r="DP28" s="7" t="s">
        <v>24</v>
      </c>
      <c r="DQ28" s="53">
        <v>0.78169999999999995</v>
      </c>
      <c r="DR28" s="10">
        <v>0.79349029999999998</v>
      </c>
      <c r="DS28" s="10">
        <v>0.96318769999999998</v>
      </c>
      <c r="DT28" s="10">
        <v>0.87014250000000004</v>
      </c>
      <c r="DU28" s="7" t="s">
        <v>24</v>
      </c>
      <c r="DV28" s="7">
        <v>0</v>
      </c>
      <c r="DW28" s="7">
        <v>0.5</v>
      </c>
      <c r="DX28" s="7">
        <v>0.5</v>
      </c>
      <c r="DY28" s="7">
        <v>0</v>
      </c>
      <c r="DZ28" s="10">
        <v>0.1543667</v>
      </c>
      <c r="EA28" s="10">
        <v>0.84563330000000003</v>
      </c>
      <c r="EB28" s="7" t="s">
        <v>24</v>
      </c>
      <c r="EC28" s="7" t="s">
        <v>24</v>
      </c>
      <c r="ED28" s="7" t="s">
        <v>24</v>
      </c>
      <c r="EE28" s="53">
        <v>0.77280000000000004</v>
      </c>
      <c r="EF28" s="10">
        <v>0.76969381999999997</v>
      </c>
      <c r="EG28" s="10">
        <v>1</v>
      </c>
      <c r="EH28" s="10">
        <v>0.86986101000000005</v>
      </c>
      <c r="EI28" s="10">
        <v>0.75919999999999999</v>
      </c>
      <c r="EJ28" s="10">
        <v>0.75921380000000005</v>
      </c>
      <c r="EK28" s="10">
        <v>1</v>
      </c>
      <c r="EL28" s="10">
        <v>0.86312849999999997</v>
      </c>
      <c r="EM28" s="7" t="s">
        <v>24</v>
      </c>
      <c r="EN28" s="10">
        <v>0</v>
      </c>
      <c r="EO28" s="10">
        <v>0.5</v>
      </c>
      <c r="EP28" s="10">
        <v>0.5</v>
      </c>
      <c r="EQ28" s="10">
        <v>0</v>
      </c>
      <c r="ER28" s="10">
        <v>0.45233329999999999</v>
      </c>
      <c r="ES28" s="10">
        <v>0.54766669999999995</v>
      </c>
      <c r="ET28" s="7" t="s">
        <v>24</v>
      </c>
      <c r="EU28" s="7" t="s">
        <v>24</v>
      </c>
      <c r="EV28" s="7" t="s">
        <v>24</v>
      </c>
      <c r="EW28" s="10">
        <v>0.75919999999999999</v>
      </c>
      <c r="EX28" s="10">
        <v>0.75921380000000005</v>
      </c>
      <c r="EY28" s="10">
        <v>1</v>
      </c>
      <c r="EZ28" s="10">
        <v>0.86312849999999997</v>
      </c>
      <c r="FA28" s="7" t="s">
        <v>24</v>
      </c>
      <c r="FB28" s="10">
        <v>0</v>
      </c>
      <c r="FC28" s="10">
        <v>0.5</v>
      </c>
      <c r="FD28" s="10">
        <v>0.5</v>
      </c>
      <c r="FE28" s="10">
        <v>0</v>
      </c>
      <c r="FF28" s="10">
        <v>0.45786670000000002</v>
      </c>
      <c r="FG28" s="10">
        <v>0.54213330000000004</v>
      </c>
      <c r="FH28" s="7" t="s">
        <v>24</v>
      </c>
      <c r="FI28" s="7" t="s">
        <v>24</v>
      </c>
      <c r="FJ28" s="7" t="s">
        <v>24</v>
      </c>
    </row>
    <row r="29" spans="2:166" x14ac:dyDescent="0.2">
      <c r="B29" s="3"/>
      <c r="C29" s="6"/>
      <c r="E29" s="3"/>
      <c r="F29" s="3"/>
      <c r="G29" s="14"/>
      <c r="H29" s="7"/>
      <c r="I29" s="7"/>
      <c r="J29" s="7"/>
      <c r="K29" s="1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4"/>
      <c r="Z29" s="7"/>
      <c r="AA29" s="7"/>
      <c r="AB29" s="7"/>
      <c r="AC29" s="7"/>
      <c r="AD29" s="7"/>
      <c r="AE29" s="7"/>
      <c r="AF29" s="7"/>
      <c r="AG29" s="10"/>
      <c r="AH29" s="7"/>
      <c r="AI29" s="7"/>
      <c r="AJ29" s="7"/>
      <c r="AK29" s="7"/>
      <c r="AL29" s="7"/>
      <c r="AM29" s="14"/>
      <c r="AN29" s="7"/>
      <c r="AO29" s="7"/>
      <c r="AP29" s="1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14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14"/>
      <c r="BT29" s="7"/>
      <c r="BU29" s="7"/>
      <c r="BV29" s="7"/>
      <c r="BW29" s="14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46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14"/>
      <c r="CZ29" s="7"/>
      <c r="DA29" s="7"/>
      <c r="DB29" s="7"/>
      <c r="DC29" s="14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14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14"/>
      <c r="EF29" s="7"/>
      <c r="EG29" s="7"/>
      <c r="EH29" s="7"/>
      <c r="EI29" s="14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14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</row>
    <row r="30" spans="2:166" x14ac:dyDescent="0.2">
      <c r="B30" s="3"/>
      <c r="C30" s="6">
        <v>5</v>
      </c>
      <c r="D30" t="s">
        <v>40</v>
      </c>
      <c r="E30" s="3"/>
      <c r="F30" s="3"/>
      <c r="G30" s="45">
        <v>0.86363040000000002</v>
      </c>
      <c r="H30" s="7"/>
      <c r="I30" s="7"/>
      <c r="J30" s="7"/>
      <c r="K30" s="10">
        <v>0.99236780000000002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0">
        <v>0.86845640000000002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0">
        <v>0.82427269999999997</v>
      </c>
      <c r="AN30" s="8"/>
      <c r="AO30" s="8"/>
      <c r="AP30" s="16"/>
      <c r="AQ30" s="10">
        <v>0.99200440000000001</v>
      </c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10">
        <v>0.80122119999999997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10">
        <v>0.80139510000000003</v>
      </c>
      <c r="BT30" s="7"/>
      <c r="BU30" s="7"/>
      <c r="BV30" s="7"/>
      <c r="BW30" s="10">
        <v>0.99309340000000002</v>
      </c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53">
        <v>0.8731544</v>
      </c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10">
        <v>0.84969729999999999</v>
      </c>
      <c r="CZ30" s="7"/>
      <c r="DA30" s="7"/>
      <c r="DB30" s="7"/>
      <c r="DC30" s="10">
        <v>0.98854960000000003</v>
      </c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53">
        <v>0.86744969999999999</v>
      </c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53">
        <v>0.75914709999999996</v>
      </c>
      <c r="EF30" s="7"/>
      <c r="EG30" s="7"/>
      <c r="EH30" s="7"/>
      <c r="EI30" s="10">
        <v>0.99218609999999996</v>
      </c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10">
        <v>0.99218609999999996</v>
      </c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</row>
    <row r="31" spans="2:166" x14ac:dyDescent="0.2">
      <c r="B31" s="3"/>
      <c r="C31" s="6">
        <v>5</v>
      </c>
      <c r="D31" t="s">
        <v>41</v>
      </c>
      <c r="E31" s="3"/>
      <c r="F31" s="3"/>
      <c r="G31" s="45">
        <v>0.85759410000000003</v>
      </c>
      <c r="H31" s="7"/>
      <c r="I31" s="7"/>
      <c r="J31" s="7"/>
      <c r="K31" s="10">
        <v>0.99345810000000001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0">
        <v>0.88154359999999998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10">
        <v>0.82350619999999997</v>
      </c>
      <c r="AN31" s="7"/>
      <c r="AO31" s="7"/>
      <c r="AP31" s="17"/>
      <c r="AQ31" s="10">
        <v>0.99218609999999996</v>
      </c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10">
        <v>0.80483939999999998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10">
        <v>0.85009210000000002</v>
      </c>
      <c r="BT31" s="7"/>
      <c r="BU31" s="7"/>
      <c r="BV31" s="7"/>
      <c r="BW31" s="10">
        <v>0.99309590000000003</v>
      </c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53">
        <v>0.86812080000000003</v>
      </c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10">
        <v>0.84822960000000003</v>
      </c>
      <c r="CZ31" s="7"/>
      <c r="DA31" s="7"/>
      <c r="DB31" s="7"/>
      <c r="DC31" s="10">
        <v>0.95912059999999999</v>
      </c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53">
        <v>0.87348990000000004</v>
      </c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53">
        <v>0.77359480000000003</v>
      </c>
      <c r="EF31" s="7"/>
      <c r="EG31" s="7"/>
      <c r="EH31" s="7"/>
      <c r="EI31" s="10">
        <v>0.99200440000000001</v>
      </c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10">
        <v>0.99218470000000003</v>
      </c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</row>
    <row r="32" spans="2:166" x14ac:dyDescent="0.2">
      <c r="B32" s="3"/>
      <c r="C32" s="6">
        <v>5</v>
      </c>
      <c r="D32" t="s">
        <v>42</v>
      </c>
      <c r="E32" s="3"/>
      <c r="F32" s="3"/>
      <c r="G32" s="45">
        <v>0.85048699999999999</v>
      </c>
      <c r="H32" s="7"/>
      <c r="I32" s="7"/>
      <c r="J32" s="7"/>
      <c r="K32" s="10">
        <v>0.99345689999999998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0">
        <v>0.87046979999999996</v>
      </c>
      <c r="Z32" s="7"/>
      <c r="AA32" s="7"/>
      <c r="AB32" s="7"/>
      <c r="AC32" s="10"/>
      <c r="AD32" s="7"/>
      <c r="AE32" s="7"/>
      <c r="AF32" s="7"/>
      <c r="AG32" s="27"/>
      <c r="AH32" s="10"/>
      <c r="AI32" s="7"/>
      <c r="AJ32" s="27"/>
      <c r="AK32" s="7"/>
      <c r="AL32" s="10"/>
      <c r="AM32" s="10">
        <v>0.82232170000000004</v>
      </c>
      <c r="AN32" s="7"/>
      <c r="AO32" s="7"/>
      <c r="AP32" s="17"/>
      <c r="AQ32" s="10">
        <v>0.99218470000000003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10">
        <v>0.80438719999999997</v>
      </c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10">
        <v>0.80795050000000002</v>
      </c>
      <c r="BT32" s="7"/>
      <c r="BU32" s="7"/>
      <c r="BV32" s="7"/>
      <c r="BW32" s="10">
        <v>0.99291169999999995</v>
      </c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53">
        <v>0.86409400000000003</v>
      </c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10">
        <v>0.85535669999999997</v>
      </c>
      <c r="CZ32" s="7"/>
      <c r="DA32" s="7"/>
      <c r="DB32" s="7"/>
      <c r="DC32" s="10">
        <v>0.99000359999999998</v>
      </c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53">
        <v>0.87181209999999998</v>
      </c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53">
        <v>0.761911</v>
      </c>
      <c r="EF32" s="7"/>
      <c r="EG32" s="7"/>
      <c r="EH32" s="7"/>
      <c r="EI32" s="10">
        <v>0.99218470000000003</v>
      </c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10">
        <v>0.99200440000000001</v>
      </c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</row>
    <row r="33" spans="1:167" x14ac:dyDescent="0.2">
      <c r="B33" s="3"/>
      <c r="C33" s="6">
        <v>5</v>
      </c>
      <c r="D33" t="s">
        <v>49</v>
      </c>
      <c r="E33" s="3"/>
      <c r="F33" s="3"/>
      <c r="G33" s="44">
        <f>AVERAGE(G30:G32)</f>
        <v>0.85723716666666672</v>
      </c>
      <c r="H33" s="7"/>
      <c r="I33" s="7"/>
      <c r="J33" s="7"/>
      <c r="K33" s="29">
        <f>AVERAGE(K30:K32)</f>
        <v>0.99309426666666667</v>
      </c>
      <c r="L33" s="7"/>
      <c r="M33" s="7"/>
      <c r="N33" s="7"/>
      <c r="O33" s="10">
        <v>9.1330000000000003E-4</v>
      </c>
      <c r="P33" s="7">
        <v>0.75</v>
      </c>
      <c r="Q33" s="7">
        <v>0.25</v>
      </c>
      <c r="R33" s="7">
        <v>0</v>
      </c>
      <c r="S33" s="28">
        <v>0.99129999999999996</v>
      </c>
      <c r="T33" s="10">
        <v>8.6999999999999994E-3</v>
      </c>
      <c r="U33" s="7">
        <v>0</v>
      </c>
      <c r="V33" s="10">
        <v>0.99929109999999999</v>
      </c>
      <c r="W33" s="10">
        <v>1.8080519999999999E-4</v>
      </c>
      <c r="X33" s="10">
        <v>5.2813929999999995E-4</v>
      </c>
      <c r="Y33" s="13">
        <f>AVERAGE(Y30:Y32)</f>
        <v>0.87348993333333336</v>
      </c>
      <c r="Z33" s="7"/>
      <c r="AA33" s="7"/>
      <c r="AB33" s="7"/>
      <c r="AC33" s="10">
        <v>0.17119999999999999</v>
      </c>
      <c r="AD33" s="7">
        <v>0.5</v>
      </c>
      <c r="AE33" s="7">
        <v>0.5</v>
      </c>
      <c r="AF33" s="7">
        <v>0</v>
      </c>
      <c r="AG33" s="10">
        <v>0.6046667</v>
      </c>
      <c r="AH33" s="10">
        <v>0.3953333</v>
      </c>
      <c r="AI33" s="10">
        <v>0</v>
      </c>
      <c r="AJ33" s="10">
        <v>0.72129069999999995</v>
      </c>
      <c r="AK33" s="10">
        <v>0.22901730000000001</v>
      </c>
      <c r="AL33" s="7">
        <v>0</v>
      </c>
      <c r="AM33" s="13">
        <f>AVERAGE(AM30:AM32)</f>
        <v>0.82336686666666681</v>
      </c>
      <c r="AN33" s="8"/>
      <c r="AO33" s="8"/>
      <c r="AP33" s="16"/>
      <c r="AQ33" s="29">
        <f>AVERAGE(AQ30:AQ32)</f>
        <v>0.99212506666666667</v>
      </c>
      <c r="AR33" s="7"/>
      <c r="AS33" s="7"/>
      <c r="AT33" s="7"/>
      <c r="AU33" s="10">
        <v>1.3370000000000001E-5</v>
      </c>
      <c r="AV33" s="7">
        <v>0.75</v>
      </c>
      <c r="AW33" s="7">
        <v>0.25</v>
      </c>
      <c r="AX33" s="7">
        <v>0</v>
      </c>
      <c r="AY33" s="28">
        <v>0.99013329999999999</v>
      </c>
      <c r="AZ33" s="10">
        <v>9.8666670000000008E-3</v>
      </c>
      <c r="BA33" s="7">
        <v>0</v>
      </c>
      <c r="BB33" s="10">
        <v>0.99998989999999999</v>
      </c>
      <c r="BC33" s="10">
        <v>2.126858E-6</v>
      </c>
      <c r="BD33" s="10">
        <v>7.9414330000000002E-6</v>
      </c>
      <c r="BE33" s="44">
        <f>AVERAGE(BE30:BE32)</f>
        <v>0.80348260000000005</v>
      </c>
      <c r="BF33" s="7"/>
      <c r="BG33" s="7"/>
      <c r="BH33" s="7"/>
      <c r="BI33" s="10">
        <v>6.3940000000000004E-3</v>
      </c>
      <c r="BJ33" s="7">
        <v>0</v>
      </c>
      <c r="BK33" s="7">
        <v>0.25</v>
      </c>
      <c r="BL33" s="7">
        <v>0.75</v>
      </c>
      <c r="BM33" s="7">
        <v>0</v>
      </c>
      <c r="BN33" s="10">
        <v>9.0833330000000004E-2</v>
      </c>
      <c r="BO33" s="10">
        <v>0.90916669999999999</v>
      </c>
      <c r="BP33" s="10">
        <v>1.8946799999999999E-3</v>
      </c>
      <c r="BQ33" s="10">
        <v>1.4663239999999999E-2</v>
      </c>
      <c r="BR33" s="10">
        <v>0.98344209999999999</v>
      </c>
      <c r="BS33" s="42">
        <f>AVERAGE(BS30:BS32)</f>
        <v>0.81981256666666669</v>
      </c>
      <c r="BT33" s="7"/>
      <c r="BU33" s="7"/>
      <c r="BV33" s="7"/>
      <c r="BW33" s="29">
        <f>AVERAGE(BW30:BW32)</f>
        <v>0.9930336666666667</v>
      </c>
      <c r="BX33" s="7"/>
      <c r="BY33" s="7"/>
      <c r="BZ33" s="7"/>
      <c r="CA33" s="10">
        <v>7.6449999999999999E-3</v>
      </c>
      <c r="CB33" s="7">
        <v>0.75</v>
      </c>
      <c r="CC33" s="7">
        <v>0.25</v>
      </c>
      <c r="CD33" s="7">
        <v>0</v>
      </c>
      <c r="CE33" s="28">
        <v>0.99046670000000003</v>
      </c>
      <c r="CF33" s="10">
        <v>9.5333329999999997E-3</v>
      </c>
      <c r="CG33" s="7">
        <v>0</v>
      </c>
      <c r="CH33" s="28">
        <v>0.99429230000000002</v>
      </c>
      <c r="CI33" s="10">
        <v>1.162052E-3</v>
      </c>
      <c r="CJ33" s="10">
        <v>4.5456100000000003E-3</v>
      </c>
      <c r="CK33" s="29">
        <f>AVERAGE(CK30:CK32)</f>
        <v>0.86845640000000002</v>
      </c>
      <c r="CL33" s="7"/>
      <c r="CM33" s="7"/>
      <c r="CN33" s="7"/>
      <c r="CO33" s="10">
        <v>6.2890000000000001E-2</v>
      </c>
      <c r="CP33" s="7">
        <v>0.75</v>
      </c>
      <c r="CQ33" s="7">
        <v>0.25</v>
      </c>
      <c r="CR33" s="7">
        <v>0</v>
      </c>
      <c r="CS33" s="28">
        <v>0.99166670000000001</v>
      </c>
      <c r="CT33" s="10">
        <v>8.3333330000000001E-3</v>
      </c>
      <c r="CU33" s="7">
        <v>0</v>
      </c>
      <c r="CV33" s="10">
        <v>0.93969749999999996</v>
      </c>
      <c r="CW33" s="10">
        <v>3.1231849999999999E-2</v>
      </c>
      <c r="CX33" s="10">
        <v>2.907065E-2</v>
      </c>
      <c r="CY33" s="42">
        <f>AVERAGE(CY30:CY32)</f>
        <v>0.8510945333333334</v>
      </c>
      <c r="CZ33" s="7"/>
      <c r="DA33" s="7"/>
      <c r="DB33" s="7"/>
      <c r="DC33" s="29">
        <f>AVERAGE(DC30:DC32)</f>
        <v>0.97922460000000011</v>
      </c>
      <c r="DD33" s="7"/>
      <c r="DE33" s="7"/>
      <c r="DF33" s="7"/>
      <c r="DG33" s="10">
        <v>4.5840000000000004E-3</v>
      </c>
      <c r="DH33" s="7">
        <v>0.75</v>
      </c>
      <c r="DI33" s="7">
        <v>0.25</v>
      </c>
      <c r="DJ33" s="7">
        <v>0</v>
      </c>
      <c r="DK33" s="28">
        <v>0.99136670000000005</v>
      </c>
      <c r="DL33" s="10">
        <v>8.633333E-3</v>
      </c>
      <c r="DM33" s="10">
        <v>0</v>
      </c>
      <c r="DN33" s="28">
        <v>0.99641900000000005</v>
      </c>
      <c r="DO33" s="10">
        <v>9.5434429999999998E-4</v>
      </c>
      <c r="DP33" s="10">
        <v>2.6266140000000002E-3</v>
      </c>
      <c r="DQ33" s="44">
        <f>AVERAGE(DQ30:DQ32)</f>
        <v>0.87091723333333337</v>
      </c>
      <c r="DR33" s="7"/>
      <c r="DS33" s="7"/>
      <c r="DT33" s="10">
        <v>1.8630000000000001E-2</v>
      </c>
      <c r="DU33" s="10"/>
      <c r="DV33" s="7">
        <v>0.75</v>
      </c>
      <c r="DW33" s="7">
        <v>0.25</v>
      </c>
      <c r="DX33" s="7">
        <v>0</v>
      </c>
      <c r="DY33" s="10">
        <v>0.91059999999999997</v>
      </c>
      <c r="DZ33" s="10">
        <v>8.9399999999999993E-2</v>
      </c>
      <c r="EA33" s="7">
        <v>0</v>
      </c>
      <c r="EB33" s="10">
        <v>0.95488879999999998</v>
      </c>
      <c r="EC33" s="10">
        <v>3.9559129999999998E-2</v>
      </c>
      <c r="ED33" s="10">
        <v>5.5520659999999996E-3</v>
      </c>
      <c r="EE33" s="44">
        <f>AVERAGE(EE30:EE32)</f>
        <v>0.76488429999999996</v>
      </c>
      <c r="EF33" s="7"/>
      <c r="EG33" s="7"/>
      <c r="EH33" s="7"/>
      <c r="EI33" s="29">
        <f>AVERAGE(EI30:EI32)</f>
        <v>0.99212506666666667</v>
      </c>
      <c r="EJ33" s="7"/>
      <c r="EK33" s="7"/>
      <c r="EL33" s="7"/>
      <c r="EM33" s="10">
        <v>3.8969999999999999E-4</v>
      </c>
      <c r="EN33" s="10">
        <v>0.75</v>
      </c>
      <c r="EO33" s="10">
        <v>0.25</v>
      </c>
      <c r="EP33" s="10">
        <v>0</v>
      </c>
      <c r="EQ33" s="30">
        <v>0.99070000000000003</v>
      </c>
      <c r="ER33" s="10">
        <v>9.2999999999999992E-3</v>
      </c>
      <c r="ES33" s="10">
        <v>0</v>
      </c>
      <c r="ET33" s="10">
        <v>0.99971580000000004</v>
      </c>
      <c r="EU33" s="10">
        <v>4.5862460000000001E-5</v>
      </c>
      <c r="EV33" s="10">
        <v>2.3832190000000001E-4</v>
      </c>
      <c r="EW33" s="29">
        <f>AVERAGE(EW30:EW32)</f>
        <v>0.99212506666666667</v>
      </c>
      <c r="EX33" s="7"/>
      <c r="EY33" s="7"/>
      <c r="EZ33" s="7"/>
      <c r="FA33" s="28">
        <v>3.7609999999999998E-4</v>
      </c>
      <c r="FB33" s="7">
        <v>0.75</v>
      </c>
      <c r="FC33" s="7">
        <v>0.25</v>
      </c>
      <c r="FD33" s="7">
        <v>0</v>
      </c>
      <c r="FE33" s="28">
        <v>0.99119999999999997</v>
      </c>
      <c r="FF33" s="10">
        <v>8.8000000000000005E-3</v>
      </c>
      <c r="FG33" s="7">
        <v>0</v>
      </c>
      <c r="FH33" s="28">
        <v>0.99972570000000005</v>
      </c>
      <c r="FI33" s="10">
        <v>4.426543E-5</v>
      </c>
      <c r="FJ33" s="10">
        <v>2.300162E-4</v>
      </c>
    </row>
    <row r="34" spans="1:167" x14ac:dyDescent="0.2">
      <c r="A34" s="11"/>
      <c r="B34" s="3"/>
      <c r="C34" s="6">
        <v>5</v>
      </c>
      <c r="D34" t="s">
        <v>43</v>
      </c>
      <c r="E34" s="3"/>
      <c r="F34" s="3"/>
      <c r="G34" s="45">
        <v>0.8589</v>
      </c>
      <c r="H34" s="10">
        <v>0.8860614</v>
      </c>
      <c r="I34" s="10">
        <v>0.93433120000000003</v>
      </c>
      <c r="J34" s="10">
        <v>0.90955629999999998</v>
      </c>
      <c r="K34" s="10">
        <v>0.78900000000000003</v>
      </c>
      <c r="L34" s="10">
        <v>0.78276480000000004</v>
      </c>
      <c r="M34" s="10">
        <v>0.99946060000000003</v>
      </c>
      <c r="N34" s="10">
        <v>0.87793900000000002</v>
      </c>
      <c r="O34" s="7" t="s">
        <v>24</v>
      </c>
      <c r="P34" s="7">
        <v>0</v>
      </c>
      <c r="Q34" s="7">
        <v>0.5</v>
      </c>
      <c r="R34" s="7">
        <v>0.5</v>
      </c>
      <c r="S34" s="7">
        <v>0</v>
      </c>
      <c r="T34" s="10">
        <v>0.1624333</v>
      </c>
      <c r="U34" s="10">
        <v>0.8375667</v>
      </c>
      <c r="V34" s="7" t="s">
        <v>24</v>
      </c>
      <c r="W34" s="7" t="s">
        <v>24</v>
      </c>
      <c r="X34" s="7" t="s">
        <v>24</v>
      </c>
      <c r="Y34" s="10">
        <v>0.86919999999999997</v>
      </c>
      <c r="Z34" s="10">
        <v>0.89055740000000005</v>
      </c>
      <c r="AA34" s="10">
        <v>0.94363540000000001</v>
      </c>
      <c r="AB34" s="10">
        <v>0.91632840000000004</v>
      </c>
      <c r="AC34" s="7" t="s">
        <v>24</v>
      </c>
      <c r="AD34" s="7">
        <v>0.5</v>
      </c>
      <c r="AE34" s="7">
        <v>0.5</v>
      </c>
      <c r="AF34" s="7">
        <v>0</v>
      </c>
      <c r="AG34" s="10">
        <v>0.5425333</v>
      </c>
      <c r="AH34" s="10">
        <v>0.4574667</v>
      </c>
      <c r="AI34" s="7">
        <v>0</v>
      </c>
      <c r="AJ34" s="7" t="s">
        <v>24</v>
      </c>
      <c r="AK34" s="7" t="s">
        <v>24</v>
      </c>
      <c r="AL34" s="7" t="s">
        <v>24</v>
      </c>
      <c r="AM34" s="10">
        <v>0.82699999999999996</v>
      </c>
      <c r="AN34" s="10">
        <v>0.85102990000000001</v>
      </c>
      <c r="AO34" s="10">
        <v>0.93594929999999998</v>
      </c>
      <c r="AP34" s="10">
        <v>0.89147189999999998</v>
      </c>
      <c r="AQ34" s="10">
        <v>0.75919999999999999</v>
      </c>
      <c r="AR34" s="10">
        <v>0.75921380000000005</v>
      </c>
      <c r="AS34" s="10">
        <v>1</v>
      </c>
      <c r="AT34" s="10">
        <v>0.86312849999999997</v>
      </c>
      <c r="AU34" s="7" t="s">
        <v>24</v>
      </c>
      <c r="AV34" s="7">
        <v>0</v>
      </c>
      <c r="AW34" s="7">
        <v>0.5</v>
      </c>
      <c r="AX34" s="7">
        <v>0.5</v>
      </c>
      <c r="AY34" s="7">
        <v>0</v>
      </c>
      <c r="AZ34" s="10">
        <v>0.1589333</v>
      </c>
      <c r="BA34" s="10">
        <v>0.84106669999999994</v>
      </c>
      <c r="BB34" s="7" t="s">
        <v>24</v>
      </c>
      <c r="BC34" s="7" t="s">
        <v>24</v>
      </c>
      <c r="BD34" s="7" t="s">
        <v>24</v>
      </c>
      <c r="BE34" s="10">
        <v>0.85289999999999999</v>
      </c>
      <c r="BF34" s="10">
        <v>0.87141259999999998</v>
      </c>
      <c r="BG34" s="10">
        <v>0.94579290000000005</v>
      </c>
      <c r="BH34" s="10">
        <v>0.90708049999999996</v>
      </c>
      <c r="BI34" s="7" t="s">
        <v>24</v>
      </c>
      <c r="BJ34" s="7">
        <v>0.5</v>
      </c>
      <c r="BK34" s="7">
        <v>0.5</v>
      </c>
      <c r="BL34" s="7">
        <v>0</v>
      </c>
      <c r="BM34" s="10">
        <v>0.84</v>
      </c>
      <c r="BN34" s="10">
        <v>0.16</v>
      </c>
      <c r="BO34" s="7">
        <v>0</v>
      </c>
      <c r="BP34" s="7" t="s">
        <v>24</v>
      </c>
      <c r="BQ34" s="7" t="s">
        <v>24</v>
      </c>
      <c r="BR34" s="7" t="s">
        <v>24</v>
      </c>
      <c r="BS34" s="10">
        <v>0.80510000000000004</v>
      </c>
      <c r="BT34" s="10">
        <v>0.82809520000000003</v>
      </c>
      <c r="BU34" s="10">
        <v>0.93797200000000003</v>
      </c>
      <c r="BV34" s="10">
        <v>0.87961560000000005</v>
      </c>
      <c r="BW34" s="10">
        <v>0.77900000000000003</v>
      </c>
      <c r="BX34" s="10">
        <v>0.77463170000000003</v>
      </c>
      <c r="BY34" s="10">
        <v>0.99973031000000001</v>
      </c>
      <c r="BZ34" s="10">
        <v>0.87290281000000003</v>
      </c>
      <c r="CA34" s="7" t="s">
        <v>24</v>
      </c>
      <c r="CB34" s="7">
        <v>0</v>
      </c>
      <c r="CC34" s="7">
        <v>0.5</v>
      </c>
      <c r="CD34" s="7">
        <v>0.5</v>
      </c>
      <c r="CE34" s="7">
        <v>0</v>
      </c>
      <c r="CF34" s="10">
        <v>0.16026670000000001</v>
      </c>
      <c r="CG34" s="10">
        <v>0.83973330000000002</v>
      </c>
      <c r="CH34" s="7" t="s">
        <v>24</v>
      </c>
      <c r="CI34" s="7" t="s">
        <v>24</v>
      </c>
      <c r="CJ34" s="7" t="s">
        <v>24</v>
      </c>
      <c r="CK34" s="53">
        <v>0.74829999999999997</v>
      </c>
      <c r="CL34" s="10">
        <v>0.81473019999999996</v>
      </c>
      <c r="CM34" s="10">
        <v>0.86515640000000005</v>
      </c>
      <c r="CN34" s="10">
        <v>0.8391864</v>
      </c>
      <c r="CO34" s="7" t="s">
        <v>24</v>
      </c>
      <c r="CP34" s="7">
        <v>0</v>
      </c>
      <c r="CQ34" s="7">
        <v>0.5</v>
      </c>
      <c r="CR34" s="7">
        <v>0.5</v>
      </c>
      <c r="CS34" s="7">
        <v>0</v>
      </c>
      <c r="CT34" s="10">
        <v>1</v>
      </c>
      <c r="CU34" s="10">
        <v>0</v>
      </c>
      <c r="CV34" s="7" t="s">
        <v>24</v>
      </c>
      <c r="CW34" s="7" t="s">
        <v>24</v>
      </c>
      <c r="CX34" s="7" t="s">
        <v>24</v>
      </c>
      <c r="CY34" s="10">
        <v>0.85329999999999995</v>
      </c>
      <c r="CZ34" s="10">
        <v>0.88045280000000004</v>
      </c>
      <c r="DA34" s="10">
        <v>0.93352210000000002</v>
      </c>
      <c r="DB34" s="10">
        <v>0.90621110000000005</v>
      </c>
      <c r="DC34" s="10">
        <v>0.76290000000000002</v>
      </c>
      <c r="DD34" s="10">
        <v>0.76898734000000002</v>
      </c>
      <c r="DE34" s="10">
        <v>0.98300971000000004</v>
      </c>
      <c r="DF34" s="10">
        <v>0.86292614000000001</v>
      </c>
      <c r="DG34" s="7" t="s">
        <v>24</v>
      </c>
      <c r="DH34" s="7">
        <v>0</v>
      </c>
      <c r="DI34" s="7">
        <v>0.5</v>
      </c>
      <c r="DJ34" s="7">
        <v>0.5</v>
      </c>
      <c r="DK34" s="7">
        <v>0</v>
      </c>
      <c r="DL34" s="10">
        <v>0.1588</v>
      </c>
      <c r="DM34" s="10">
        <v>0.84119999999999995</v>
      </c>
      <c r="DN34" s="7" t="s">
        <v>24</v>
      </c>
      <c r="DO34" s="7" t="s">
        <v>24</v>
      </c>
      <c r="DP34" s="7" t="s">
        <v>24</v>
      </c>
      <c r="DQ34" s="10">
        <v>0.81989999999999996</v>
      </c>
      <c r="DR34" s="10">
        <v>0.87819230000000004</v>
      </c>
      <c r="DS34" s="10">
        <v>0.88565260000000001</v>
      </c>
      <c r="DT34" s="10">
        <v>0.88190670000000004</v>
      </c>
      <c r="DU34" s="7" t="s">
        <v>24</v>
      </c>
      <c r="DV34" s="7">
        <v>0</v>
      </c>
      <c r="DW34" s="7">
        <v>0.5</v>
      </c>
      <c r="DX34" s="7">
        <v>0.5</v>
      </c>
      <c r="DY34" s="7">
        <v>0</v>
      </c>
      <c r="DZ34" s="10">
        <v>0.15859999999999999</v>
      </c>
      <c r="EA34" s="10">
        <v>0.84140000000000004</v>
      </c>
      <c r="EB34" s="7" t="s">
        <v>24</v>
      </c>
      <c r="EC34" s="7" t="s">
        <v>24</v>
      </c>
      <c r="ED34" s="7" t="s">
        <v>24</v>
      </c>
      <c r="EE34" s="53">
        <v>0.77280000000000004</v>
      </c>
      <c r="EF34" s="10">
        <v>0.76969381999999997</v>
      </c>
      <c r="EG34" s="10">
        <v>1</v>
      </c>
      <c r="EH34" s="10">
        <v>0.86986101000000005</v>
      </c>
      <c r="EI34" s="10">
        <v>0.75919999999999999</v>
      </c>
      <c r="EJ34" s="10">
        <v>0.75921380000000005</v>
      </c>
      <c r="EK34" s="10">
        <v>1</v>
      </c>
      <c r="EL34" s="10">
        <v>0.86312849999999997</v>
      </c>
      <c r="EM34" s="7" t="s">
        <v>24</v>
      </c>
      <c r="EN34" s="7">
        <v>0</v>
      </c>
      <c r="EO34" s="7">
        <v>0.5</v>
      </c>
      <c r="EP34" s="7">
        <v>0.5</v>
      </c>
      <c r="EQ34" s="10">
        <v>0</v>
      </c>
      <c r="ER34" s="10">
        <v>0.45700000000000002</v>
      </c>
      <c r="ES34" s="10">
        <v>0.54300000000000004</v>
      </c>
      <c r="ET34" s="7" t="s">
        <v>24</v>
      </c>
      <c r="EU34" s="7" t="s">
        <v>24</v>
      </c>
      <c r="EV34" s="7" t="s">
        <v>24</v>
      </c>
      <c r="EW34" s="10">
        <v>0.75919999999999999</v>
      </c>
      <c r="EX34" s="10">
        <v>0.75921380000000005</v>
      </c>
      <c r="EY34" s="10">
        <v>1</v>
      </c>
      <c r="EZ34" s="10">
        <v>0.86312849999999997</v>
      </c>
      <c r="FA34" s="7" t="s">
        <v>24</v>
      </c>
      <c r="FB34" s="10">
        <v>0</v>
      </c>
      <c r="FC34" s="10">
        <v>0.5</v>
      </c>
      <c r="FD34" s="10">
        <v>0.5</v>
      </c>
      <c r="FE34" s="10">
        <v>0</v>
      </c>
      <c r="FF34" s="10">
        <v>0.45673330000000001</v>
      </c>
      <c r="FG34" s="10">
        <v>0.54326669999999999</v>
      </c>
      <c r="FH34" s="7" t="s">
        <v>24</v>
      </c>
      <c r="FI34" s="7" t="s">
        <v>24</v>
      </c>
      <c r="FJ34" s="7" t="s">
        <v>24</v>
      </c>
    </row>
    <row r="35" spans="1:167" s="23" customFormat="1" ht="17" thickBot="1" x14ac:dyDescent="0.25">
      <c r="B35" s="22"/>
      <c r="E35" s="22"/>
      <c r="F35" s="22"/>
      <c r="G35" s="25"/>
      <c r="H35" s="24"/>
      <c r="I35" s="24"/>
      <c r="J35" s="24"/>
      <c r="K35" s="25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5"/>
      <c r="AN35" s="24"/>
      <c r="AO35" s="24"/>
      <c r="AP35" s="26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5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5"/>
      <c r="BT35" s="24"/>
      <c r="BU35" s="24"/>
      <c r="BV35" s="24"/>
      <c r="BW35" s="25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5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5"/>
      <c r="CZ35" s="24"/>
      <c r="DA35" s="24"/>
      <c r="DB35" s="24"/>
      <c r="DC35" s="25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5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5"/>
      <c r="EF35" s="24"/>
      <c r="EG35" s="24"/>
      <c r="EH35" s="24"/>
      <c r="EI35" s="25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5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1"/>
    </row>
    <row r="36" spans="1:167" x14ac:dyDescent="0.2">
      <c r="B36" s="3"/>
      <c r="E36" s="3"/>
      <c r="F36" s="3"/>
      <c r="G36" s="14"/>
      <c r="H36" s="7"/>
      <c r="I36" s="7"/>
      <c r="J36" s="7"/>
      <c r="K36" s="1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4"/>
      <c r="AN36" s="7"/>
      <c r="AO36" s="7"/>
      <c r="AP36" s="1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14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4"/>
      <c r="BT36" s="7"/>
      <c r="BU36" s="7"/>
      <c r="BV36" s="7"/>
      <c r="BW36" s="14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14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14"/>
      <c r="CZ36" s="7"/>
      <c r="DA36" s="7"/>
      <c r="DB36" s="7"/>
      <c r="DC36" s="14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14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14"/>
      <c r="EF36" s="7"/>
      <c r="EG36" s="7"/>
      <c r="EH36" s="7"/>
      <c r="EI36" s="14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14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</row>
    <row r="37" spans="1:167" ht="17" thickBot="1" x14ac:dyDescent="0.25">
      <c r="B37" s="3" t="s">
        <v>8</v>
      </c>
      <c r="E37" s="3">
        <v>13611</v>
      </c>
      <c r="F37" s="3">
        <v>17</v>
      </c>
      <c r="G37" s="14"/>
      <c r="H37" s="7"/>
      <c r="I37" s="7"/>
      <c r="J37" s="7"/>
      <c r="K37" s="1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4"/>
      <c r="AN37" s="7"/>
      <c r="AO37" s="7"/>
      <c r="AP37" s="1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14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4"/>
      <c r="BT37" s="7"/>
      <c r="BU37" s="7"/>
      <c r="BV37" s="7"/>
      <c r="BW37" s="14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14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14"/>
      <c r="CZ37" s="7"/>
      <c r="DA37" s="7"/>
      <c r="DB37" s="7"/>
      <c r="DC37" s="14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14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14"/>
      <c r="EF37" s="7"/>
      <c r="EG37" s="7"/>
      <c r="EH37" s="7"/>
      <c r="EI37" s="14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14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</row>
    <row r="38" spans="1:167" ht="17" thickBot="1" x14ac:dyDescent="0.25">
      <c r="B38" s="3"/>
      <c r="C38" s="6">
        <v>1</v>
      </c>
      <c r="D38" t="s">
        <v>40</v>
      </c>
      <c r="E38" s="3"/>
      <c r="F38" s="3"/>
      <c r="G38" s="10">
        <v>0.92225369999999995</v>
      </c>
      <c r="H38" s="7"/>
      <c r="I38" s="7"/>
      <c r="J38" s="7"/>
      <c r="K38" s="10">
        <v>0.91048709999999999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0">
        <v>0.94882049999999996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10">
        <v>0.92854890000000001</v>
      </c>
      <c r="AN38" s="7"/>
      <c r="AO38" s="7"/>
      <c r="AP38" s="17"/>
      <c r="AQ38" s="10">
        <v>0.91176469999999998</v>
      </c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10">
        <v>0.95321869999999997</v>
      </c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10">
        <v>0.73937679999999995</v>
      </c>
      <c r="BT38" s="7"/>
      <c r="BU38" s="7"/>
      <c r="BV38" s="7"/>
      <c r="BW38" s="10">
        <v>0.89859529999999999</v>
      </c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10">
        <v>0.58856459999999999</v>
      </c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45">
        <v>0.92353680000000005</v>
      </c>
      <c r="CZ38" s="7"/>
      <c r="DA38" s="7"/>
      <c r="DB38" s="7"/>
      <c r="DC38" s="45">
        <v>0.90737489999999998</v>
      </c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86">
        <v>0.9516194</v>
      </c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46">
        <v>0.90805999999999998</v>
      </c>
      <c r="EF38" s="7"/>
      <c r="EG38" s="7"/>
      <c r="EH38" s="7"/>
      <c r="EI38" s="45">
        <v>0.83728069999999999</v>
      </c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14">
        <v>0.92286170000000001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</row>
    <row r="39" spans="1:167" ht="17" thickBot="1" x14ac:dyDescent="0.25">
      <c r="B39" s="3"/>
      <c r="C39" s="6">
        <v>1</v>
      </c>
      <c r="D39" t="s">
        <v>41</v>
      </c>
      <c r="E39" s="3"/>
      <c r="F39" s="3"/>
      <c r="G39" s="10">
        <v>0.91344040000000004</v>
      </c>
      <c r="H39" s="7"/>
      <c r="I39" s="7"/>
      <c r="J39" s="7"/>
      <c r="K39" s="10">
        <v>0.90869180000000005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">
        <v>0.95001999999999998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10">
        <v>0.93549400000000005</v>
      </c>
      <c r="AN39" s="7"/>
      <c r="AO39" s="7"/>
      <c r="AP39" s="17"/>
      <c r="AQ39" s="10">
        <v>0.91447369999999994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10">
        <v>0.95163869999999995</v>
      </c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10">
        <v>0.47434690000000002</v>
      </c>
      <c r="BT39" s="7"/>
      <c r="BU39" s="7"/>
      <c r="BV39" s="7"/>
      <c r="BW39" s="10">
        <v>0.89376650000000002</v>
      </c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10">
        <v>0.66187050000000003</v>
      </c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45">
        <v>0.92414229999999997</v>
      </c>
      <c r="CZ39" s="7"/>
      <c r="DA39" s="7"/>
      <c r="DB39" s="7"/>
      <c r="DC39" s="45">
        <v>0.91136459999999997</v>
      </c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86">
        <v>0.94842059999999995</v>
      </c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93">
        <v>0.89773440000000004</v>
      </c>
      <c r="EF39" s="7"/>
      <c r="EG39" s="7"/>
      <c r="EH39" s="7"/>
      <c r="EI39" s="86">
        <v>0.82352939999999997</v>
      </c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14">
        <v>0.91436569999999995</v>
      </c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</row>
    <row r="40" spans="1:167" ht="17" thickBot="1" x14ac:dyDescent="0.25">
      <c r="C40" s="6">
        <v>1</v>
      </c>
      <c r="D40" t="s">
        <v>42</v>
      </c>
      <c r="G40" s="10">
        <v>0.92571610000000004</v>
      </c>
      <c r="H40" s="7"/>
      <c r="I40" s="7"/>
      <c r="J40" s="7"/>
      <c r="K40" s="10">
        <v>0.90430200000000005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0">
        <v>0.94362259999999998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10">
        <v>0.92947100000000005</v>
      </c>
      <c r="AN40" s="7"/>
      <c r="AO40" s="7"/>
      <c r="AP40" s="17"/>
      <c r="AQ40" s="10">
        <v>0.91743520000000001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10">
        <v>0.9536</v>
      </c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10">
        <v>0.2603085</v>
      </c>
      <c r="BT40" s="7"/>
      <c r="BU40" s="7"/>
      <c r="BV40" s="7"/>
      <c r="BW40" s="10">
        <v>0.85607719999999998</v>
      </c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10">
        <v>0.59319999999999995</v>
      </c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45">
        <v>0.93104529999999996</v>
      </c>
      <c r="CZ40" s="7"/>
      <c r="DA40" s="7"/>
      <c r="DB40" s="7"/>
      <c r="DC40" s="45">
        <v>0.90913080000000002</v>
      </c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86">
        <v>0.94722110000000004</v>
      </c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93">
        <v>0.90273840000000005</v>
      </c>
      <c r="EF40" s="7"/>
      <c r="EG40" s="7"/>
      <c r="EH40" s="7"/>
      <c r="EI40" s="86">
        <v>0.84365389999999996</v>
      </c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86">
        <v>0.91127100000000005</v>
      </c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</row>
    <row r="41" spans="1:167" ht="17" thickBot="1" x14ac:dyDescent="0.25">
      <c r="B41" s="3"/>
      <c r="C41" s="6">
        <v>1</v>
      </c>
      <c r="D41" t="s">
        <v>60</v>
      </c>
      <c r="E41" s="3"/>
      <c r="F41" s="3"/>
      <c r="G41" s="44">
        <f>AVERAGE(G38:G40)</f>
        <v>0.92047006666666675</v>
      </c>
      <c r="H41" s="7"/>
      <c r="I41" s="7"/>
      <c r="J41" s="7"/>
      <c r="K41" s="44">
        <f>AVERAGE(K38:K40)</f>
        <v>0.90782696666666673</v>
      </c>
      <c r="L41" s="7"/>
      <c r="M41" s="7"/>
      <c r="N41" s="7"/>
      <c r="O41" s="10">
        <v>2.0039999999999999E-2</v>
      </c>
      <c r="P41" s="7">
        <v>0</v>
      </c>
      <c r="Q41" s="7">
        <v>0.5</v>
      </c>
      <c r="R41" s="7">
        <v>0.5</v>
      </c>
      <c r="S41" s="7">
        <v>0</v>
      </c>
      <c r="T41" s="10">
        <v>0.30919999999999997</v>
      </c>
      <c r="U41" s="10">
        <v>0.69079999999999997</v>
      </c>
      <c r="V41" s="10">
        <v>4.2395489999999996E-3</v>
      </c>
      <c r="W41" s="10">
        <v>0.16321069999999999</v>
      </c>
      <c r="X41" s="10">
        <v>0.83254980000000001</v>
      </c>
      <c r="Y41" s="29">
        <f>AVERAGE(Y38:Y40)</f>
        <v>0.94748769999999993</v>
      </c>
      <c r="Z41" s="7"/>
      <c r="AA41" s="7"/>
      <c r="AB41" s="7"/>
      <c r="AC41" s="10">
        <v>2.4039999999999999E-2</v>
      </c>
      <c r="AD41" s="7">
        <v>0.75</v>
      </c>
      <c r="AE41" s="7">
        <v>0.25</v>
      </c>
      <c r="AF41" s="7">
        <v>0</v>
      </c>
      <c r="AG41" s="28">
        <v>0.99126669999999995</v>
      </c>
      <c r="AH41" s="10">
        <v>8.7333329999999994E-3</v>
      </c>
      <c r="AI41" s="7">
        <v>0</v>
      </c>
      <c r="AJ41" s="28">
        <v>0.96272619999999998</v>
      </c>
      <c r="AK41" s="10">
        <v>2.8647510000000001E-2</v>
      </c>
      <c r="AL41" s="10">
        <v>8.6263299999999998E-3</v>
      </c>
      <c r="AM41" s="44">
        <f>AVERAGE(AM38:AM40)</f>
        <v>0.93117130000000004</v>
      </c>
      <c r="AN41" s="7"/>
      <c r="AO41" s="7"/>
      <c r="AP41" s="17"/>
      <c r="AQ41" s="44">
        <f>AVERAGE(AQ38:AQ40)</f>
        <v>0.91455786666666661</v>
      </c>
      <c r="AR41" s="7"/>
      <c r="AS41" s="7"/>
      <c r="AT41" s="7"/>
      <c r="AU41" s="10">
        <v>2.3539999999999998E-2</v>
      </c>
      <c r="AV41" s="7">
        <v>0</v>
      </c>
      <c r="AW41" s="7">
        <v>0.25</v>
      </c>
      <c r="AX41" s="7">
        <v>0.75</v>
      </c>
      <c r="AY41" s="7">
        <v>0</v>
      </c>
      <c r="AZ41" s="10">
        <v>9.1733330000000002E-2</v>
      </c>
      <c r="BA41" s="10">
        <v>0.90826669999999998</v>
      </c>
      <c r="BB41" s="10">
        <v>6.2204490000000003E-3</v>
      </c>
      <c r="BC41" s="10">
        <v>7.2789140000000002E-2</v>
      </c>
      <c r="BD41" s="10">
        <v>0.92099039999999999</v>
      </c>
      <c r="BE41" s="29">
        <f>AVERAGE(BE38:BE40)</f>
        <v>0.95281913333333323</v>
      </c>
      <c r="BF41" s="7"/>
      <c r="BG41" s="7"/>
      <c r="BH41" s="7"/>
      <c r="BI41" s="10">
        <v>7.7149999999999996E-3</v>
      </c>
      <c r="BJ41" s="7">
        <v>0.75</v>
      </c>
      <c r="BK41" s="7">
        <v>0.25</v>
      </c>
      <c r="BL41" s="7">
        <v>0</v>
      </c>
      <c r="BM41" s="28">
        <v>0.96403329999999998</v>
      </c>
      <c r="BN41" s="10">
        <v>3.5966669999999999E-2</v>
      </c>
      <c r="BO41" s="7">
        <v>0</v>
      </c>
      <c r="BP41" s="28">
        <v>0.98294049999999999</v>
      </c>
      <c r="BQ41" s="10">
        <v>1.464241E-2</v>
      </c>
      <c r="BR41" s="10">
        <v>2.417064E-3</v>
      </c>
      <c r="BS41" s="44">
        <f>AVERAGE(BS38:BS40)</f>
        <v>0.49134406666666669</v>
      </c>
      <c r="BT41" s="7"/>
      <c r="BU41" s="7"/>
      <c r="BV41" s="7"/>
      <c r="BW41" s="29">
        <f>AVERAGE(BW38:BW40)</f>
        <v>0.88281300000000007</v>
      </c>
      <c r="BX41" s="7"/>
      <c r="BY41" s="7"/>
      <c r="BZ41" s="7"/>
      <c r="CA41" s="10">
        <v>0.10730000000000001</v>
      </c>
      <c r="CB41" s="7">
        <v>0.75</v>
      </c>
      <c r="CC41" s="7">
        <v>0.25</v>
      </c>
      <c r="CD41" s="7">
        <v>0</v>
      </c>
      <c r="CE41" s="28">
        <v>0.99163330000000005</v>
      </c>
      <c r="CF41" s="10">
        <v>8.3666669999999995E-3</v>
      </c>
      <c r="CG41" s="7">
        <v>0</v>
      </c>
      <c r="CH41" s="86">
        <v>0.92905950000000004</v>
      </c>
      <c r="CI41" s="10">
        <v>5.6024839999999996E-3</v>
      </c>
      <c r="CJ41" s="10">
        <v>6.5337989999999999E-2</v>
      </c>
      <c r="CK41" s="44">
        <f>AVERAGE(CK38:CK40)</f>
        <v>0.61454503333333332</v>
      </c>
      <c r="CL41" s="7"/>
      <c r="CM41" s="7"/>
      <c r="CN41" s="7"/>
      <c r="CO41" s="10">
        <v>0.48049999999999998</v>
      </c>
      <c r="CP41" s="7">
        <v>0.5</v>
      </c>
      <c r="CQ41" s="7">
        <v>0.25</v>
      </c>
      <c r="CR41" s="7">
        <v>0.25</v>
      </c>
      <c r="CS41" s="10">
        <v>0.875</v>
      </c>
      <c r="CT41" s="10">
        <v>1.6500000000000001E-2</v>
      </c>
      <c r="CU41" s="10">
        <v>0.1085</v>
      </c>
      <c r="CV41" s="10">
        <v>0.71774910000000003</v>
      </c>
      <c r="CW41" s="10">
        <v>2.960923E-2</v>
      </c>
      <c r="CX41" s="10">
        <v>0.25264160000000002</v>
      </c>
      <c r="CY41" s="44">
        <f>AVERAGE(CY38:CY40)</f>
        <v>0.92624146666666674</v>
      </c>
      <c r="CZ41" s="7"/>
      <c r="DA41" s="7"/>
      <c r="DB41" s="7"/>
      <c r="DC41" s="44">
        <f>AVERAGE(DC38:DC40)</f>
        <v>0.9092901000000001</v>
      </c>
      <c r="DD41" s="7"/>
      <c r="DE41" s="7"/>
      <c r="DF41" s="7"/>
      <c r="DG41" s="10">
        <v>2.3869999999999999E-2</v>
      </c>
      <c r="DH41" s="7">
        <v>0</v>
      </c>
      <c r="DI41" s="7">
        <v>0.25</v>
      </c>
      <c r="DJ41" s="7">
        <v>0.75</v>
      </c>
      <c r="DK41" s="7">
        <v>0</v>
      </c>
      <c r="DL41" s="10">
        <v>9.0300000000000005E-2</v>
      </c>
      <c r="DM41" s="10">
        <v>0.90969999999999995</v>
      </c>
      <c r="DN41" s="10">
        <v>6.402891E-3</v>
      </c>
      <c r="DO41" s="86">
        <v>6.9886690000000001E-2</v>
      </c>
      <c r="DP41" s="10">
        <v>0.92371040000000004</v>
      </c>
      <c r="DQ41" s="29">
        <f>AVERAGE(DQ38:DQ40)</f>
        <v>0.94908703333333333</v>
      </c>
      <c r="DR41" s="7"/>
      <c r="DS41" s="7"/>
      <c r="DT41" s="7"/>
      <c r="DU41" s="10"/>
      <c r="DV41" s="7">
        <v>0.75</v>
      </c>
      <c r="DW41" s="7">
        <v>0.25</v>
      </c>
      <c r="DX41" s="7">
        <v>0</v>
      </c>
      <c r="DY41" s="28">
        <v>0.96203329999999998</v>
      </c>
      <c r="DZ41" s="10">
        <v>3.7966670000000001E-2</v>
      </c>
      <c r="EA41" s="7">
        <v>0</v>
      </c>
      <c r="EB41" s="28">
        <v>0.96823720000000002</v>
      </c>
      <c r="EC41" s="10">
        <v>2.6483909999999999E-2</v>
      </c>
      <c r="ED41" s="10">
        <v>5.2788649999999998E-3</v>
      </c>
      <c r="EE41" s="44">
        <f>AVERAGE(EE38:EE40)</f>
        <v>0.90284426666666662</v>
      </c>
      <c r="EF41" s="7"/>
      <c r="EG41" s="7"/>
      <c r="EH41" s="7"/>
      <c r="EI41" s="42">
        <f>AVERAGE(EI38:EI40)</f>
        <v>0.8348213333333333</v>
      </c>
      <c r="EJ41" s="7"/>
      <c r="EK41" s="7"/>
      <c r="EL41" s="7"/>
      <c r="EM41" s="10">
        <v>4.4980000000000003E-3</v>
      </c>
      <c r="EN41" s="7">
        <v>0</v>
      </c>
      <c r="EO41" s="7">
        <v>0.25</v>
      </c>
      <c r="EP41" s="7">
        <v>0.75</v>
      </c>
      <c r="EQ41" s="7">
        <v>0</v>
      </c>
      <c r="ER41" s="10">
        <v>7.8333329999999996E-3</v>
      </c>
      <c r="ES41" s="49">
        <v>0.99216669999999996</v>
      </c>
      <c r="ET41" s="10">
        <v>2.2788560000000001E-3</v>
      </c>
      <c r="EU41" s="10">
        <v>1.8191590000000001E-3</v>
      </c>
      <c r="EV41" s="49">
        <v>0.99590199999999995</v>
      </c>
      <c r="EW41" s="44">
        <f>AVERAGE(EW38:EW40)</f>
        <v>0.9161661333333333</v>
      </c>
      <c r="EX41" s="7"/>
      <c r="EY41" s="7"/>
      <c r="EZ41" s="7"/>
      <c r="FA41" s="86">
        <v>3.2250000000000001E-2</v>
      </c>
      <c r="FB41" s="7">
        <v>0.5</v>
      </c>
      <c r="FC41" s="7">
        <v>0.5</v>
      </c>
      <c r="FD41" s="7">
        <v>0.5</v>
      </c>
      <c r="FE41" s="7">
        <v>0.69650000000000001</v>
      </c>
      <c r="FF41" s="7">
        <v>0.30349999999999999</v>
      </c>
      <c r="FG41" s="7">
        <v>0</v>
      </c>
      <c r="FH41" s="7">
        <v>0.8192258</v>
      </c>
      <c r="FI41" s="7">
        <v>0.173563</v>
      </c>
      <c r="FJ41" s="7">
        <v>7.211266E-3</v>
      </c>
    </row>
    <row r="42" spans="1:167" ht="17" thickBot="1" x14ac:dyDescent="0.25">
      <c r="B42" s="3"/>
      <c r="C42" s="6">
        <v>1</v>
      </c>
      <c r="D42" t="s">
        <v>43</v>
      </c>
      <c r="E42" s="3"/>
      <c r="F42" s="3"/>
      <c r="G42" s="10">
        <v>0.92400000000000004</v>
      </c>
      <c r="H42" s="10">
        <v>0.93224929999999995</v>
      </c>
      <c r="I42" s="10">
        <v>0.86868690000000004</v>
      </c>
      <c r="J42" s="10">
        <v>0.89934639999999999</v>
      </c>
      <c r="K42" s="10">
        <v>0.54730000000000001</v>
      </c>
      <c r="L42" s="10">
        <v>0.92307689999999998</v>
      </c>
      <c r="M42" s="10">
        <v>3.0303030000000002E-2</v>
      </c>
      <c r="N42" s="10">
        <v>5.8679706999999998E-2</v>
      </c>
      <c r="O42" s="7" t="s">
        <v>24</v>
      </c>
      <c r="P42" s="7">
        <v>0</v>
      </c>
      <c r="Q42" s="7">
        <v>0.5</v>
      </c>
      <c r="R42" s="7">
        <v>0.5</v>
      </c>
      <c r="S42" s="7">
        <v>0</v>
      </c>
      <c r="T42" s="10">
        <v>0.15890000000000001</v>
      </c>
      <c r="U42" s="10">
        <v>0.84109999999999996</v>
      </c>
      <c r="V42" s="7" t="s">
        <v>24</v>
      </c>
      <c r="W42" s="7" t="s">
        <v>24</v>
      </c>
      <c r="X42" s="7" t="s">
        <v>24</v>
      </c>
      <c r="Y42" s="10">
        <v>0.91349999999999998</v>
      </c>
      <c r="Z42" s="10">
        <v>0.98987340000000001</v>
      </c>
      <c r="AA42" s="10">
        <v>0.98737370000000002</v>
      </c>
      <c r="AB42" s="10">
        <v>0.988622</v>
      </c>
      <c r="AC42" s="7" t="s">
        <v>24</v>
      </c>
      <c r="AD42" s="10">
        <v>0</v>
      </c>
      <c r="AE42" s="10">
        <v>0.5</v>
      </c>
      <c r="AF42" s="10">
        <v>0.5</v>
      </c>
      <c r="AG42" s="10">
        <v>0</v>
      </c>
      <c r="AH42" s="10">
        <v>0.4577</v>
      </c>
      <c r="AI42" s="10">
        <v>0.5423</v>
      </c>
      <c r="AJ42" s="7" t="s">
        <v>24</v>
      </c>
      <c r="AK42" s="7" t="s">
        <v>24</v>
      </c>
      <c r="AL42" s="7" t="s">
        <v>24</v>
      </c>
      <c r="AM42" s="10">
        <v>0.92749999999999999</v>
      </c>
      <c r="AN42" s="10">
        <v>0.94535519999999995</v>
      </c>
      <c r="AO42" s="10">
        <v>0.8737374</v>
      </c>
      <c r="AP42" s="10">
        <v>0.90813650000000001</v>
      </c>
      <c r="AQ42" s="10">
        <v>0.53359999999999996</v>
      </c>
      <c r="AR42" s="10">
        <v>1</v>
      </c>
      <c r="AS42" s="10">
        <v>5.0505050000000003E-3</v>
      </c>
      <c r="AT42" s="10">
        <v>1.005025E-2</v>
      </c>
      <c r="AU42" s="7" t="s">
        <v>24</v>
      </c>
      <c r="AV42" s="7">
        <v>0</v>
      </c>
      <c r="AW42" s="7">
        <v>0.5</v>
      </c>
      <c r="AX42" s="7">
        <v>0.5</v>
      </c>
      <c r="AY42" s="7">
        <v>0</v>
      </c>
      <c r="AZ42" s="10">
        <v>0.15866669999999999</v>
      </c>
      <c r="BA42" s="10">
        <v>0.84133329999999995</v>
      </c>
      <c r="BB42" s="7" t="s">
        <v>24</v>
      </c>
      <c r="BC42" s="7" t="s">
        <v>24</v>
      </c>
      <c r="BD42" s="7" t="s">
        <v>24</v>
      </c>
      <c r="BE42" s="30">
        <v>0.90469999999999995</v>
      </c>
      <c r="BF42" s="10">
        <v>0.94594590000000001</v>
      </c>
      <c r="BG42" s="10">
        <v>0.88383840000000002</v>
      </c>
      <c r="BH42" s="10">
        <v>0.91383809999999999</v>
      </c>
      <c r="BI42" s="7" t="s">
        <v>24</v>
      </c>
      <c r="BJ42" s="7">
        <v>0</v>
      </c>
      <c r="BK42" s="7">
        <v>0.5</v>
      </c>
      <c r="BL42" s="7">
        <v>0.5</v>
      </c>
      <c r="BM42" s="7">
        <v>0</v>
      </c>
      <c r="BN42" s="10">
        <v>0.16239999999999999</v>
      </c>
      <c r="BO42" s="10">
        <v>0.83760000000000001</v>
      </c>
      <c r="BP42" s="7" t="s">
        <v>24</v>
      </c>
      <c r="BQ42" s="7" t="s">
        <v>24</v>
      </c>
      <c r="BR42" s="7" t="s">
        <v>24</v>
      </c>
      <c r="BS42" s="10">
        <v>0.37790000000000001</v>
      </c>
      <c r="BT42" s="10" t="s">
        <v>24</v>
      </c>
      <c r="BU42" s="10">
        <v>0</v>
      </c>
      <c r="BV42" s="10" t="s">
        <v>24</v>
      </c>
      <c r="BW42" s="45">
        <v>0.39950000000000002</v>
      </c>
      <c r="BX42" s="10" t="s">
        <v>24</v>
      </c>
      <c r="BY42" s="10">
        <v>0</v>
      </c>
      <c r="BZ42" s="10" t="s">
        <v>24</v>
      </c>
      <c r="CA42" s="10" t="s">
        <v>24</v>
      </c>
      <c r="CB42" s="7">
        <v>0.5</v>
      </c>
      <c r="CC42" s="7">
        <v>0.5</v>
      </c>
      <c r="CD42" s="7">
        <v>0</v>
      </c>
      <c r="CE42" s="10">
        <v>0.84296669999999996</v>
      </c>
      <c r="CF42" s="10">
        <v>0.15703329999999999</v>
      </c>
      <c r="CG42" s="7">
        <v>0</v>
      </c>
      <c r="CH42" s="7" t="s">
        <v>24</v>
      </c>
      <c r="CI42" s="7" t="s">
        <v>24</v>
      </c>
      <c r="CJ42" s="7" t="s">
        <v>24</v>
      </c>
      <c r="CK42" s="10">
        <v>0.2059</v>
      </c>
      <c r="CL42" s="10" t="s">
        <v>24</v>
      </c>
      <c r="CM42" s="10">
        <v>0</v>
      </c>
      <c r="CN42" s="10" t="s">
        <v>24</v>
      </c>
      <c r="CO42" s="10" t="s">
        <v>24</v>
      </c>
      <c r="CP42" s="7">
        <v>0</v>
      </c>
      <c r="CQ42" s="7">
        <v>0.5</v>
      </c>
      <c r="CR42" s="7">
        <v>0.5</v>
      </c>
      <c r="CS42" s="7">
        <v>0</v>
      </c>
      <c r="CT42" s="10">
        <v>0.1578667</v>
      </c>
      <c r="CU42" s="10">
        <v>0.84213329999999997</v>
      </c>
      <c r="CV42" s="7" t="s">
        <v>24</v>
      </c>
      <c r="CW42" s="7" t="s">
        <v>24</v>
      </c>
      <c r="CX42" s="7" t="s">
        <v>24</v>
      </c>
      <c r="CY42" s="45">
        <v>0.92449999999999999</v>
      </c>
      <c r="CZ42" s="10">
        <v>0.93800539999999999</v>
      </c>
      <c r="DA42" s="10">
        <v>0.87878789999999996</v>
      </c>
      <c r="DB42" s="10">
        <v>0.9074316</v>
      </c>
      <c r="DC42" s="45">
        <v>0.57399999999999995</v>
      </c>
      <c r="DD42" s="10">
        <v>0.72340425500000005</v>
      </c>
      <c r="DE42" s="10">
        <v>0.17171717</v>
      </c>
      <c r="DF42" s="10">
        <v>0.27755101999999998</v>
      </c>
      <c r="DG42" s="7" t="s">
        <v>24</v>
      </c>
      <c r="DH42" s="7">
        <v>0</v>
      </c>
      <c r="DI42" s="7">
        <v>0.5</v>
      </c>
      <c r="DJ42" s="7">
        <v>0.5</v>
      </c>
      <c r="DK42" s="7">
        <v>0.83836670000000002</v>
      </c>
      <c r="DL42" s="10">
        <v>0.16163330000000001</v>
      </c>
      <c r="DM42" s="10">
        <v>0</v>
      </c>
      <c r="DN42" s="7" t="s">
        <v>24</v>
      </c>
      <c r="DO42" s="7" t="s">
        <v>24</v>
      </c>
      <c r="DP42" s="7" t="s">
        <v>24</v>
      </c>
      <c r="DQ42" s="45">
        <v>0.89680000000000004</v>
      </c>
      <c r="DR42" s="10">
        <v>0.93617019999999995</v>
      </c>
      <c r="DS42" s="10">
        <v>0.88888889999999998</v>
      </c>
      <c r="DT42" s="10">
        <v>0.91191710000000004</v>
      </c>
      <c r="DU42" s="7" t="s">
        <v>24</v>
      </c>
      <c r="DV42" s="7">
        <v>0</v>
      </c>
      <c r="DW42" s="7">
        <v>0.5</v>
      </c>
      <c r="DX42" s="7">
        <v>0.5</v>
      </c>
      <c r="DY42" s="7">
        <v>0</v>
      </c>
      <c r="DZ42" s="10">
        <v>0.15989999999999999</v>
      </c>
      <c r="EA42" s="10">
        <v>0.84009999999999996</v>
      </c>
      <c r="EB42" s="7" t="s">
        <v>24</v>
      </c>
      <c r="EC42" s="7" t="s">
        <v>24</v>
      </c>
      <c r="ED42" s="7" t="s">
        <v>24</v>
      </c>
      <c r="EE42" s="46">
        <v>0.89439999999999997</v>
      </c>
      <c r="EF42" s="10">
        <v>0.85673350000000004</v>
      </c>
      <c r="EG42" s="10">
        <v>0.75505049999999996</v>
      </c>
      <c r="EH42" s="10">
        <v>0.80268459999999997</v>
      </c>
      <c r="EI42" s="45">
        <v>0.59799999999999998</v>
      </c>
      <c r="EJ42" s="86">
        <v>0.34794521</v>
      </c>
      <c r="EK42" s="86">
        <v>0.64141413999999997</v>
      </c>
      <c r="EL42" s="86">
        <v>0.45115453</v>
      </c>
      <c r="EM42" s="7" t="s">
        <v>24</v>
      </c>
      <c r="EN42" s="7">
        <v>0</v>
      </c>
      <c r="EO42" s="7">
        <v>0.5</v>
      </c>
      <c r="EP42" s="7">
        <v>0.5</v>
      </c>
      <c r="EQ42" s="10">
        <v>0</v>
      </c>
      <c r="ER42" s="86">
        <v>0.1601667</v>
      </c>
      <c r="ES42" s="86">
        <v>0.8398333</v>
      </c>
      <c r="ET42" s="7" t="s">
        <v>24</v>
      </c>
      <c r="EU42" s="7" t="s">
        <v>24</v>
      </c>
      <c r="EV42" s="7" t="s">
        <v>24</v>
      </c>
      <c r="EW42" s="14">
        <v>0.84850000000000003</v>
      </c>
      <c r="EX42" s="7" t="s">
        <v>24</v>
      </c>
      <c r="EY42" s="7" t="s">
        <v>24</v>
      </c>
      <c r="EZ42" s="7" t="s">
        <v>24</v>
      </c>
      <c r="FA42" s="7" t="s">
        <v>24</v>
      </c>
      <c r="FB42" s="10">
        <v>0</v>
      </c>
      <c r="FC42" s="10">
        <v>0.5</v>
      </c>
      <c r="FD42" s="10">
        <v>0.5</v>
      </c>
      <c r="FE42" s="7">
        <v>0.83889999999999998</v>
      </c>
      <c r="FF42" s="7">
        <v>0.16106670000000001</v>
      </c>
      <c r="FG42" s="7">
        <v>0</v>
      </c>
      <c r="FH42" s="7" t="s">
        <v>24</v>
      </c>
      <c r="FI42" s="7" t="s">
        <v>24</v>
      </c>
      <c r="FJ42" s="7" t="s">
        <v>24</v>
      </c>
    </row>
    <row r="43" spans="1:167" x14ac:dyDescent="0.2">
      <c r="B43" s="3"/>
      <c r="C43" s="6"/>
      <c r="E43" s="3"/>
      <c r="F43" s="3"/>
      <c r="G43" s="14"/>
      <c r="H43" s="7"/>
      <c r="I43" s="7"/>
      <c r="J43" s="7"/>
      <c r="K43" s="1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4"/>
      <c r="AN43" s="7"/>
      <c r="AO43" s="7"/>
      <c r="AP43" s="1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14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14"/>
      <c r="BT43" s="7"/>
      <c r="BU43" s="7"/>
      <c r="BV43" s="7"/>
      <c r="BW43" s="14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14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14"/>
      <c r="CZ43" s="7"/>
      <c r="DA43" s="7"/>
      <c r="DB43" s="7"/>
      <c r="DC43" s="14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14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14"/>
      <c r="EF43" s="7"/>
      <c r="EG43" s="7"/>
      <c r="EH43" s="7"/>
      <c r="EI43" s="14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14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</row>
    <row r="44" spans="1:167" ht="17" thickBot="1" x14ac:dyDescent="0.25">
      <c r="B44" s="3"/>
      <c r="C44" s="6">
        <v>2</v>
      </c>
      <c r="D44" t="s">
        <v>40</v>
      </c>
      <c r="E44" s="3"/>
      <c r="F44" s="3"/>
      <c r="G44" s="10">
        <v>0.92225369999999995</v>
      </c>
      <c r="H44" s="7"/>
      <c r="I44" s="7"/>
      <c r="J44" s="7"/>
      <c r="K44" s="10">
        <v>0.88299070000000002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0">
        <v>0.95160599999999995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0">
        <v>0.92854890000000001</v>
      </c>
      <c r="AN44" s="7"/>
      <c r="AO44" s="7"/>
      <c r="AP44" s="17"/>
      <c r="AQ44" s="10">
        <v>0.89682240000000002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10">
        <v>0.95329909999999995</v>
      </c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10">
        <v>0.73937679999999995</v>
      </c>
      <c r="BT44" s="7"/>
      <c r="BU44" s="7"/>
      <c r="BV44" s="7"/>
      <c r="BW44" s="45">
        <v>0.62443950000000004</v>
      </c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10">
        <v>0.68565310000000002</v>
      </c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45">
        <v>0.92353680000000005</v>
      </c>
      <c r="CZ44" s="7"/>
      <c r="DA44" s="7"/>
      <c r="DB44" s="7"/>
      <c r="DC44" s="45">
        <v>0.89457940000000002</v>
      </c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45">
        <v>0.95201369999999996</v>
      </c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46">
        <v>0.90805999999999998</v>
      </c>
      <c r="EF44" s="7"/>
      <c r="EG44" s="7"/>
      <c r="EH44" s="7"/>
      <c r="EI44" s="14">
        <v>0.85415110000000005</v>
      </c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14">
        <v>0.86280369999999995</v>
      </c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</row>
    <row r="45" spans="1:167" ht="17" thickBot="1" x14ac:dyDescent="0.25">
      <c r="B45" s="3"/>
      <c r="C45" s="6">
        <v>2</v>
      </c>
      <c r="D45" t="s">
        <v>41</v>
      </c>
      <c r="E45" s="3"/>
      <c r="F45" s="3"/>
      <c r="G45" s="10">
        <v>0.91344040000000004</v>
      </c>
      <c r="H45" s="7"/>
      <c r="I45" s="7"/>
      <c r="J45" s="7"/>
      <c r="K45" s="10">
        <v>0.89341809999999999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0">
        <v>0.94684950000000001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10">
        <v>0.93549400000000005</v>
      </c>
      <c r="AN45" s="7"/>
      <c r="AO45" s="7"/>
      <c r="AP45" s="17"/>
      <c r="AQ45" s="10">
        <v>0.90426329999999999</v>
      </c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10">
        <v>0.94473010000000002</v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10">
        <v>0.47434690000000002</v>
      </c>
      <c r="BT45" s="7"/>
      <c r="BU45" s="7"/>
      <c r="BV45" s="7"/>
      <c r="BW45" s="45">
        <v>0.63425580000000004</v>
      </c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10">
        <v>0.75396490000000005</v>
      </c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45">
        <v>0.92414229999999997</v>
      </c>
      <c r="CZ45" s="7"/>
      <c r="DA45" s="7"/>
      <c r="DB45" s="7"/>
      <c r="DC45" s="45">
        <v>0.88448599999999999</v>
      </c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45">
        <v>0.94599230000000001</v>
      </c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93">
        <v>0.89773440000000004</v>
      </c>
      <c r="EF45" s="7"/>
      <c r="EG45" s="7"/>
      <c r="EH45" s="7"/>
      <c r="EI45" s="14">
        <v>0.86242989999999997</v>
      </c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86">
        <v>0.84560749999999996</v>
      </c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</row>
    <row r="46" spans="1:167" ht="17" thickBot="1" x14ac:dyDescent="0.25">
      <c r="B46" s="3"/>
      <c r="C46" s="6">
        <v>2</v>
      </c>
      <c r="D46" t="s">
        <v>42</v>
      </c>
      <c r="E46" s="3"/>
      <c r="F46" s="3"/>
      <c r="G46" s="10">
        <v>0.92571610000000004</v>
      </c>
      <c r="H46" s="7"/>
      <c r="I46" s="7"/>
      <c r="J46" s="7"/>
      <c r="K46" s="10">
        <v>0.88523359999999995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0">
        <v>0.93958870000000005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0">
        <v>0.92947100000000005</v>
      </c>
      <c r="AN46" s="7"/>
      <c r="AO46" s="7"/>
      <c r="AP46" s="17"/>
      <c r="AQ46" s="10">
        <v>0.88</v>
      </c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10">
        <v>0.94815769999999999</v>
      </c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10">
        <v>0.2603085</v>
      </c>
      <c r="BT46" s="7"/>
      <c r="BU46" s="7"/>
      <c r="BV46" s="7"/>
      <c r="BW46" s="45">
        <v>0.65519819999999995</v>
      </c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10">
        <v>0.80119969999999996</v>
      </c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45">
        <v>0.93104529999999996</v>
      </c>
      <c r="CZ46" s="7"/>
      <c r="DA46" s="7"/>
      <c r="DB46" s="7"/>
      <c r="DC46" s="45">
        <v>0.88631260000000001</v>
      </c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86">
        <v>0.94989290000000004</v>
      </c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93">
        <v>0.90273840000000005</v>
      </c>
      <c r="EF46" s="7"/>
      <c r="EG46" s="7"/>
      <c r="EH46" s="7"/>
      <c r="EI46" s="14">
        <v>0.86018689999999998</v>
      </c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86">
        <v>0.86724009999999996</v>
      </c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</row>
    <row r="47" spans="1:167" ht="17" thickBot="1" x14ac:dyDescent="0.25">
      <c r="C47" s="6">
        <v>2</v>
      </c>
      <c r="D47" t="s">
        <v>49</v>
      </c>
      <c r="G47" s="44">
        <f>AVERAGE(G44:G46)</f>
        <v>0.92047006666666675</v>
      </c>
      <c r="H47" s="7"/>
      <c r="I47" s="7"/>
      <c r="J47" s="7"/>
      <c r="K47" s="42">
        <f>AVERAGE(K44:K46)</f>
        <v>0.88721413333333332</v>
      </c>
      <c r="L47" s="7"/>
      <c r="M47" s="7"/>
      <c r="N47" s="7"/>
      <c r="O47" s="10">
        <v>3.7479999999999999E-2</v>
      </c>
      <c r="P47" s="7">
        <v>0</v>
      </c>
      <c r="Q47" s="7">
        <v>0.25</v>
      </c>
      <c r="R47" s="7">
        <v>0.75</v>
      </c>
      <c r="S47" s="10">
        <v>1.4946009999999999E-2</v>
      </c>
      <c r="T47" s="10">
        <v>3.1721869999999999E-2</v>
      </c>
      <c r="U47" s="49">
        <v>0.95333210000000002</v>
      </c>
      <c r="V47" s="10">
        <v>1.4946009999999999E-2</v>
      </c>
      <c r="W47" s="10">
        <v>3.1721869999999999E-2</v>
      </c>
      <c r="X47" s="49">
        <v>0.95333210000000002</v>
      </c>
      <c r="Y47" s="29">
        <f>AVERAGE(Y44:Y46)</f>
        <v>0.94601473333333319</v>
      </c>
      <c r="Z47" s="7"/>
      <c r="AA47" s="7"/>
      <c r="AB47" s="7"/>
      <c r="AC47" s="10">
        <v>3.5330000000000002E-4</v>
      </c>
      <c r="AD47" s="7">
        <v>0.75</v>
      </c>
      <c r="AE47" s="7">
        <v>0.25</v>
      </c>
      <c r="AF47" s="7">
        <v>0</v>
      </c>
      <c r="AG47" s="28">
        <v>0.99163330000000005</v>
      </c>
      <c r="AH47" s="10">
        <v>8.3666669999999995E-3</v>
      </c>
      <c r="AI47" s="7">
        <v>0</v>
      </c>
      <c r="AJ47" s="28">
        <v>0.9993649</v>
      </c>
      <c r="AK47" s="10">
        <v>5.1346390000000001E-4</v>
      </c>
      <c r="AL47" s="10">
        <v>1.216583E-4</v>
      </c>
      <c r="AM47" s="44">
        <f>AVERAGE(AM44:AM46)</f>
        <v>0.93117130000000004</v>
      </c>
      <c r="AN47" s="7"/>
      <c r="AO47" s="7"/>
      <c r="AP47" s="17"/>
      <c r="AQ47" s="42">
        <f>AVERAGE(AQ44:AQ46)</f>
        <v>0.89369523333333334</v>
      </c>
      <c r="AR47" s="7"/>
      <c r="AS47" s="7"/>
      <c r="AT47" s="7"/>
      <c r="AU47" s="10">
        <v>2.4680000000000001E-2</v>
      </c>
      <c r="AV47" s="7">
        <v>0</v>
      </c>
      <c r="AW47" s="7">
        <v>0.25</v>
      </c>
      <c r="AX47" s="7">
        <v>0.75</v>
      </c>
      <c r="AY47" s="7">
        <v>0</v>
      </c>
      <c r="AZ47" s="10">
        <v>9.4000000000000004E-3</v>
      </c>
      <c r="BA47" s="49">
        <v>0.99060000000000004</v>
      </c>
      <c r="BB47" s="10">
        <v>1.031659E-2</v>
      </c>
      <c r="BC47" s="10">
        <v>1.8724129999999999E-2</v>
      </c>
      <c r="BD47" s="10">
        <v>0.97095929999999997</v>
      </c>
      <c r="BE47" s="44">
        <f>AVERAGE(BE44:BE46)</f>
        <v>0.94872896666666662</v>
      </c>
      <c r="BF47" s="7"/>
      <c r="BG47" s="7"/>
      <c r="BH47" s="7"/>
      <c r="BI47" s="10">
        <v>6.019E-2</v>
      </c>
      <c r="BJ47" s="7">
        <v>0.5</v>
      </c>
      <c r="BK47" s="7" t="s">
        <v>70</v>
      </c>
      <c r="BL47" s="7">
        <v>0</v>
      </c>
      <c r="BM47" s="10">
        <v>0.78396670000000002</v>
      </c>
      <c r="BN47" s="10">
        <v>0.21603330000000001</v>
      </c>
      <c r="BO47" s="7">
        <v>0</v>
      </c>
      <c r="BP47" s="10">
        <v>0.85793839999999999</v>
      </c>
      <c r="BQ47" s="10">
        <v>0.12508040000000001</v>
      </c>
      <c r="BR47" s="10">
        <v>1.6981179999999998E-2</v>
      </c>
      <c r="BS47" s="44">
        <f>AVERAGE(BS44:BS46)</f>
        <v>0.49134406666666669</v>
      </c>
      <c r="BT47" s="7"/>
      <c r="BU47" s="7"/>
      <c r="BV47" s="7"/>
      <c r="BW47" s="44">
        <f>AVERAGE(BW44:BW46)</f>
        <v>0.63796449999999993</v>
      </c>
      <c r="BX47" s="7"/>
      <c r="BY47" s="7"/>
      <c r="BZ47" s="7"/>
      <c r="CA47" s="10">
        <v>0.42449999999999999</v>
      </c>
      <c r="CB47" s="7">
        <v>0.5</v>
      </c>
      <c r="CC47" s="7">
        <v>0.25</v>
      </c>
      <c r="CD47" s="7">
        <v>0.25</v>
      </c>
      <c r="CE47" s="10">
        <v>0.87716669999999997</v>
      </c>
      <c r="CF47" s="10">
        <v>1.52E-2</v>
      </c>
      <c r="CG47" s="10">
        <v>0.1076333</v>
      </c>
      <c r="CH47" s="10">
        <v>0.74690570000000001</v>
      </c>
      <c r="CI47" s="10">
        <v>2.5886869999999999E-2</v>
      </c>
      <c r="CJ47" s="10">
        <v>0.22720750000000001</v>
      </c>
      <c r="CK47" s="44">
        <f>AVERAGE(CK44:CK46)</f>
        <v>0.74693923333333334</v>
      </c>
      <c r="CL47" s="7"/>
      <c r="CM47" s="7"/>
      <c r="CN47" s="7"/>
      <c r="CO47" s="10">
        <v>0.2757</v>
      </c>
      <c r="CP47" s="7">
        <v>0.5</v>
      </c>
      <c r="CQ47" s="7">
        <v>0.25</v>
      </c>
      <c r="CR47" s="7">
        <v>0.25</v>
      </c>
      <c r="CS47" s="10">
        <v>0.87626669999999995</v>
      </c>
      <c r="CT47" s="10">
        <v>1.5599999999999999E-2</v>
      </c>
      <c r="CU47" s="10">
        <v>0.1081333</v>
      </c>
      <c r="CV47" s="10">
        <v>0.82904679999999997</v>
      </c>
      <c r="CW47" s="10">
        <v>1.4412629999999999E-2</v>
      </c>
      <c r="CX47" s="10">
        <v>0.1565405</v>
      </c>
      <c r="CY47" s="44">
        <f>AVERAGE(CY44:CY46)</f>
        <v>0.92624146666666674</v>
      </c>
      <c r="CZ47" s="7"/>
      <c r="DA47" s="7"/>
      <c r="DB47" s="7"/>
      <c r="DC47" s="42">
        <f>AVERAGE(DC44:DC46)</f>
        <v>0.88845933333333338</v>
      </c>
      <c r="DD47" s="7"/>
      <c r="DE47" s="7"/>
      <c r="DF47" s="7"/>
      <c r="DG47" s="10">
        <v>1.481E-2</v>
      </c>
      <c r="DH47" s="7">
        <v>0</v>
      </c>
      <c r="DI47" s="7">
        <v>0.25</v>
      </c>
      <c r="DJ47" s="7">
        <v>0.75</v>
      </c>
      <c r="DK47" s="7">
        <v>0</v>
      </c>
      <c r="DL47" s="10">
        <v>9.5999999999999992E-3</v>
      </c>
      <c r="DM47" s="49">
        <v>0.99039999999999995</v>
      </c>
      <c r="DN47" s="10">
        <v>6.1948919999999996E-3</v>
      </c>
      <c r="DO47" s="86">
        <v>1.149125E-2</v>
      </c>
      <c r="DP47" s="90">
        <v>0.98231389999999996</v>
      </c>
      <c r="DQ47" s="29">
        <f>AVERAGE(DQ44:DQ46)</f>
        <v>0.94929963333333334</v>
      </c>
      <c r="DR47" s="7"/>
      <c r="DS47" s="7"/>
      <c r="DT47" s="7"/>
      <c r="DU47" s="10">
        <v>2.9899999999999999E-2</v>
      </c>
      <c r="DV47" s="7">
        <v>0.75</v>
      </c>
      <c r="DW47" s="7">
        <v>0.25</v>
      </c>
      <c r="DX47" s="7">
        <v>0</v>
      </c>
      <c r="DY47" s="91">
        <v>0.96486669999999997</v>
      </c>
      <c r="DZ47" s="10">
        <v>3.5133329999999997E-2</v>
      </c>
      <c r="EA47" s="7">
        <v>0</v>
      </c>
      <c r="EB47" s="86">
        <v>0.94539660000000003</v>
      </c>
      <c r="EC47" s="10">
        <v>4.4751930000000002E-2</v>
      </c>
      <c r="ED47" s="10">
        <v>9.8514940000000006E-3</v>
      </c>
      <c r="EE47" s="44">
        <f>AVERAGE(EE44:EE46)</f>
        <v>0.90284426666666662</v>
      </c>
      <c r="EF47" s="7"/>
      <c r="EG47" s="7"/>
      <c r="EH47" s="7"/>
      <c r="EI47" s="42">
        <f>AVERAGE(EI44:EI46)</f>
        <v>0.85892263333333341</v>
      </c>
      <c r="EJ47" s="7"/>
      <c r="EK47" s="7"/>
      <c r="EL47" s="7"/>
      <c r="EM47" s="7">
        <v>1.486E-2</v>
      </c>
      <c r="EN47" s="7">
        <v>0</v>
      </c>
      <c r="EO47" s="7">
        <v>0.25</v>
      </c>
      <c r="EP47" s="7">
        <v>0.75</v>
      </c>
      <c r="EQ47" s="7">
        <v>0</v>
      </c>
      <c r="ER47" s="7">
        <v>8.3000000000000001E-3</v>
      </c>
      <c r="ES47" s="92">
        <v>0.99170000000000003</v>
      </c>
      <c r="ET47" s="7">
        <v>6.588867E-3</v>
      </c>
      <c r="EU47" s="7">
        <v>9.5757580000000002E-3</v>
      </c>
      <c r="EV47" s="92">
        <v>0.98383540000000003</v>
      </c>
      <c r="EW47" s="42">
        <f>AVERAGE(EW44:EW46)</f>
        <v>0.85855043333333336</v>
      </c>
      <c r="EX47" s="7"/>
      <c r="EY47" s="7"/>
      <c r="EZ47" s="7"/>
      <c r="FA47" s="41">
        <v>1.166E-2</v>
      </c>
      <c r="FB47" s="7">
        <v>0</v>
      </c>
      <c r="FC47" s="7">
        <v>0.25</v>
      </c>
      <c r="FD47" s="7">
        <v>0.75</v>
      </c>
      <c r="FE47" s="7">
        <v>0</v>
      </c>
      <c r="FF47" s="7">
        <v>8.7666670000000006E-3</v>
      </c>
      <c r="FG47" s="41">
        <v>0.99123329999999998</v>
      </c>
      <c r="FH47" s="86">
        <v>5.1818890000000003E-3</v>
      </c>
      <c r="FI47" s="7">
        <v>7.5110209999999997E-3</v>
      </c>
      <c r="FJ47" s="41">
        <v>0.98730709999999999</v>
      </c>
    </row>
    <row r="48" spans="1:167" ht="17" thickBot="1" x14ac:dyDescent="0.25">
      <c r="C48" s="6">
        <v>2</v>
      </c>
      <c r="D48" t="s">
        <v>43</v>
      </c>
      <c r="G48" s="10">
        <v>0.92400000000000004</v>
      </c>
      <c r="H48" s="10">
        <v>0.93224929999999995</v>
      </c>
      <c r="I48" s="10">
        <v>0.86868690000000004</v>
      </c>
      <c r="J48" s="10">
        <v>0.89934639999999999</v>
      </c>
      <c r="K48" s="10">
        <v>0.82079999999999997</v>
      </c>
      <c r="L48" s="10">
        <v>0.66780819999999996</v>
      </c>
      <c r="M48" s="10">
        <v>0.98484850000000002</v>
      </c>
      <c r="N48" s="10">
        <v>0.79591840000000003</v>
      </c>
      <c r="O48" s="7" t="s">
        <v>24</v>
      </c>
      <c r="P48" s="7">
        <v>0</v>
      </c>
      <c r="Q48" s="7">
        <v>0.5</v>
      </c>
      <c r="R48" s="7">
        <v>0.5</v>
      </c>
      <c r="S48" s="10">
        <v>0</v>
      </c>
      <c r="T48" s="10">
        <v>0.15576670000000001</v>
      </c>
      <c r="U48" s="10">
        <v>0.84423329999999996</v>
      </c>
      <c r="V48" s="7" t="s">
        <v>24</v>
      </c>
      <c r="W48" s="7" t="s">
        <v>24</v>
      </c>
      <c r="X48" s="7" t="s">
        <v>24</v>
      </c>
      <c r="Y48" s="10">
        <v>0.89219999999999999</v>
      </c>
      <c r="Z48" s="10">
        <v>0.88709680000000002</v>
      </c>
      <c r="AA48" s="10">
        <v>0.83333330000000005</v>
      </c>
      <c r="AB48" s="10">
        <v>0.859375</v>
      </c>
      <c r="AC48" s="7" t="s">
        <v>24</v>
      </c>
      <c r="AD48" s="10">
        <v>0</v>
      </c>
      <c r="AE48" s="10">
        <v>0.5</v>
      </c>
      <c r="AF48" s="10">
        <v>0.5</v>
      </c>
      <c r="AG48" s="7">
        <v>0</v>
      </c>
      <c r="AH48" s="10">
        <v>0.15909999999999999</v>
      </c>
      <c r="AI48" s="10">
        <v>0.84089999999999998</v>
      </c>
      <c r="AJ48" s="7" t="s">
        <v>24</v>
      </c>
      <c r="AK48" s="7" t="s">
        <v>24</v>
      </c>
      <c r="AL48" s="7" t="s">
        <v>24</v>
      </c>
      <c r="AM48" s="10">
        <v>0.92749999999999999</v>
      </c>
      <c r="AN48" s="10">
        <v>0.94535519999999995</v>
      </c>
      <c r="AO48" s="10">
        <v>0.8737374</v>
      </c>
      <c r="AP48" s="10">
        <v>0.90813650000000001</v>
      </c>
      <c r="AQ48" s="10">
        <v>0.85760000000000003</v>
      </c>
      <c r="AR48" s="10">
        <v>0.74432989999999999</v>
      </c>
      <c r="AS48" s="10">
        <v>0.91161619999999999</v>
      </c>
      <c r="AT48" s="10">
        <v>0.81952329999999995</v>
      </c>
      <c r="AU48" s="7" t="s">
        <v>24</v>
      </c>
      <c r="AV48" s="7">
        <v>0</v>
      </c>
      <c r="AW48" s="7">
        <v>0.5</v>
      </c>
      <c r="AX48" s="7">
        <v>0.5</v>
      </c>
      <c r="AY48" s="7">
        <v>0</v>
      </c>
      <c r="AZ48" s="10">
        <v>0.15926670000000001</v>
      </c>
      <c r="BA48" s="10">
        <v>0.84073330000000002</v>
      </c>
      <c r="BB48" s="7" t="s">
        <v>24</v>
      </c>
      <c r="BC48" s="7" t="s">
        <v>24</v>
      </c>
      <c r="BD48" s="7" t="s">
        <v>24</v>
      </c>
      <c r="BE48" s="10">
        <v>0.87129999999999996</v>
      </c>
      <c r="BF48" s="10">
        <v>0.94259820000000005</v>
      </c>
      <c r="BG48" s="10">
        <v>0.78787879999999999</v>
      </c>
      <c r="BH48" s="10">
        <v>0.85832189999999997</v>
      </c>
      <c r="BI48" s="7" t="s">
        <v>24</v>
      </c>
      <c r="BJ48" s="7">
        <v>0</v>
      </c>
      <c r="BK48" s="7">
        <v>0.5</v>
      </c>
      <c r="BL48" s="7">
        <v>0.5</v>
      </c>
      <c r="BM48" s="7">
        <v>0</v>
      </c>
      <c r="BN48" s="10">
        <v>0.15620000000000001</v>
      </c>
      <c r="BO48" s="10">
        <v>0.84379999999999999</v>
      </c>
      <c r="BP48" s="7" t="s">
        <v>24</v>
      </c>
      <c r="BQ48" s="7" t="s">
        <v>24</v>
      </c>
      <c r="BR48" s="7" t="s">
        <v>24</v>
      </c>
      <c r="BS48" s="10">
        <v>0.37790000000000001</v>
      </c>
      <c r="BT48" s="10" t="s">
        <v>24</v>
      </c>
      <c r="BU48" s="10">
        <v>0</v>
      </c>
      <c r="BV48" s="10" t="s">
        <v>24</v>
      </c>
      <c r="BW48" s="45">
        <v>0.54679999999999995</v>
      </c>
      <c r="BX48" s="7">
        <v>0.31183670000000002</v>
      </c>
      <c r="BY48" s="7">
        <v>0.96464645999999998</v>
      </c>
      <c r="BZ48" s="7">
        <v>0.47131400400000001</v>
      </c>
      <c r="CA48" s="7" t="s">
        <v>24</v>
      </c>
      <c r="CB48" s="7">
        <v>0.5</v>
      </c>
      <c r="CC48" s="7">
        <v>0.5</v>
      </c>
      <c r="CD48" s="7">
        <v>0</v>
      </c>
      <c r="CE48" s="7">
        <v>0.83696669999999995</v>
      </c>
      <c r="CF48" s="10">
        <v>0.16303329999999999</v>
      </c>
      <c r="CG48" s="10">
        <v>0</v>
      </c>
      <c r="CH48" s="7" t="s">
        <v>24</v>
      </c>
      <c r="CI48" s="7" t="s">
        <v>24</v>
      </c>
      <c r="CJ48" s="7" t="s">
        <v>24</v>
      </c>
      <c r="CK48" s="10">
        <v>0.44290000000000002</v>
      </c>
      <c r="CL48" s="10" t="s">
        <v>24</v>
      </c>
      <c r="CM48" s="10">
        <v>0</v>
      </c>
      <c r="CN48" s="10" t="s">
        <v>24</v>
      </c>
      <c r="CO48" s="10" t="s">
        <v>24</v>
      </c>
      <c r="CP48" s="7">
        <v>0.5</v>
      </c>
      <c r="CQ48" s="7">
        <v>0.5</v>
      </c>
      <c r="CR48" s="7">
        <v>0</v>
      </c>
      <c r="CS48" s="7">
        <v>0.8358333</v>
      </c>
      <c r="CT48" s="10">
        <v>0.1641667</v>
      </c>
      <c r="CU48" s="10">
        <v>0</v>
      </c>
      <c r="CV48" s="7" t="s">
        <v>24</v>
      </c>
      <c r="CW48" s="7" t="s">
        <v>24</v>
      </c>
      <c r="CX48" s="7" t="s">
        <v>24</v>
      </c>
      <c r="CY48" s="45">
        <v>0.92449999999999999</v>
      </c>
      <c r="CZ48" s="10">
        <v>0.93800539999999999</v>
      </c>
      <c r="DA48" s="10">
        <v>0.87878789999999996</v>
      </c>
      <c r="DB48" s="10">
        <v>0.9074316</v>
      </c>
      <c r="DC48" s="56">
        <v>0.88360000000000005</v>
      </c>
      <c r="DD48" s="10">
        <v>0.70799999999999996</v>
      </c>
      <c r="DE48" s="10">
        <v>0.89393940000000005</v>
      </c>
      <c r="DF48" s="10">
        <v>0.79017859999999995</v>
      </c>
      <c r="DG48" s="7" t="s">
        <v>24</v>
      </c>
      <c r="DH48" s="7">
        <v>0</v>
      </c>
      <c r="DI48" s="7">
        <v>0.5</v>
      </c>
      <c r="DJ48" s="7">
        <v>0.5</v>
      </c>
      <c r="DK48" s="10">
        <v>0</v>
      </c>
      <c r="DL48" s="50">
        <v>0.15870000000000001</v>
      </c>
      <c r="DM48" s="86">
        <v>0.84130000000000005</v>
      </c>
      <c r="DN48" s="7" t="s">
        <v>24</v>
      </c>
      <c r="DO48" s="7" t="s">
        <v>24</v>
      </c>
      <c r="DP48" s="7" t="s">
        <v>24</v>
      </c>
      <c r="DQ48" s="45">
        <v>0.87870000000000004</v>
      </c>
      <c r="DR48" s="10">
        <v>0.92722369999999998</v>
      </c>
      <c r="DS48" s="10">
        <v>0.86868690000000004</v>
      </c>
      <c r="DT48" s="10">
        <v>0.8970013</v>
      </c>
      <c r="DU48" s="7" t="s">
        <v>24</v>
      </c>
      <c r="DV48" s="7">
        <v>0</v>
      </c>
      <c r="DW48" s="7">
        <v>0.5</v>
      </c>
      <c r="DX48" s="7">
        <v>0.5</v>
      </c>
      <c r="DY48" s="7">
        <v>0</v>
      </c>
      <c r="DZ48" s="86">
        <v>0.15963330000000001</v>
      </c>
      <c r="EA48" s="10">
        <v>0.84036670000000002</v>
      </c>
      <c r="EB48" s="7" t="s">
        <v>24</v>
      </c>
      <c r="EC48" s="7" t="s">
        <v>24</v>
      </c>
      <c r="ED48" s="7" t="s">
        <v>24</v>
      </c>
      <c r="EE48" s="46">
        <v>0.89439999999999997</v>
      </c>
      <c r="EF48" s="10">
        <v>0.85673350000000004</v>
      </c>
      <c r="EG48" s="10">
        <v>0.75505049999999996</v>
      </c>
      <c r="EH48" s="10">
        <v>0.80268459999999997</v>
      </c>
      <c r="EI48" s="14">
        <v>0.8417</v>
      </c>
      <c r="EJ48" s="7">
        <v>0.79575600000000002</v>
      </c>
      <c r="EK48" s="7">
        <v>0.75757580000000002</v>
      </c>
      <c r="EL48" s="7">
        <v>0.77619660000000001</v>
      </c>
      <c r="EM48" s="7" t="s">
        <v>24</v>
      </c>
      <c r="EN48" s="7">
        <v>0</v>
      </c>
      <c r="EO48" s="7">
        <v>0.5</v>
      </c>
      <c r="EP48" s="7">
        <v>0.5</v>
      </c>
      <c r="EQ48" s="7">
        <v>0</v>
      </c>
      <c r="ER48" s="7">
        <v>0.15953329999999999</v>
      </c>
      <c r="ES48" s="7">
        <v>0.84046670000000001</v>
      </c>
      <c r="ET48" s="7" t="s">
        <v>24</v>
      </c>
      <c r="EU48" s="7" t="s">
        <v>24</v>
      </c>
      <c r="EV48" s="7" t="s">
        <v>24</v>
      </c>
      <c r="EW48" s="14">
        <v>0.8417</v>
      </c>
      <c r="EX48" s="7">
        <v>0.79575600000000002</v>
      </c>
      <c r="EY48" s="7">
        <v>0.75757580000000002</v>
      </c>
      <c r="EZ48" s="7">
        <v>0.77619660000000001</v>
      </c>
      <c r="FA48" s="7" t="s">
        <v>24</v>
      </c>
      <c r="FB48" s="7">
        <v>0</v>
      </c>
      <c r="FC48" s="7">
        <v>0.5</v>
      </c>
      <c r="FD48" s="7">
        <v>0.5</v>
      </c>
      <c r="FE48" s="7">
        <v>0</v>
      </c>
      <c r="FF48" s="86">
        <v>0.16089999999999999</v>
      </c>
      <c r="FG48" s="7">
        <v>0.83909999999999996</v>
      </c>
      <c r="FH48" s="7" t="s">
        <v>24</v>
      </c>
      <c r="FI48" s="7" t="s">
        <v>24</v>
      </c>
      <c r="FJ48" s="7" t="s">
        <v>24</v>
      </c>
    </row>
    <row r="49" spans="3:166" ht="17" thickBot="1" x14ac:dyDescent="0.25">
      <c r="C49" s="6"/>
      <c r="G49" s="14"/>
      <c r="H49" s="7"/>
      <c r="I49" s="7"/>
      <c r="J49" s="7"/>
      <c r="K49" s="1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4"/>
      <c r="AN49" s="7"/>
      <c r="AO49" s="7"/>
      <c r="AP49" s="1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14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14"/>
      <c r="BT49" s="7"/>
      <c r="BU49" s="7"/>
      <c r="BV49" s="7"/>
      <c r="BW49" s="14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14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14"/>
      <c r="CZ49" s="7"/>
      <c r="DA49" s="7"/>
      <c r="DB49" s="7"/>
      <c r="DC49" s="14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14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14"/>
      <c r="EF49" s="7"/>
      <c r="EG49" s="7"/>
      <c r="EH49" s="7"/>
      <c r="EI49" s="14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14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</row>
    <row r="50" spans="3:166" ht="17" thickBot="1" x14ac:dyDescent="0.25">
      <c r="C50" s="6">
        <v>3</v>
      </c>
      <c r="D50" t="s">
        <v>40</v>
      </c>
      <c r="G50" s="10">
        <v>0.92225369999999995</v>
      </c>
      <c r="H50" s="7"/>
      <c r="I50" s="7"/>
      <c r="J50" s="7"/>
      <c r="K50" s="10">
        <v>0.93708809999999998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0">
        <v>0.91616770000000003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0">
        <v>0.92854890000000001</v>
      </c>
      <c r="AN50" s="7"/>
      <c r="AO50" s="7"/>
      <c r="AP50" s="17"/>
      <c r="AQ50" s="10">
        <v>0.94787299999999997</v>
      </c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10">
        <v>0.91111111099999997</v>
      </c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10">
        <v>0.73937679999999995</v>
      </c>
      <c r="BT50" s="7"/>
      <c r="BU50" s="7"/>
      <c r="BV50" s="7"/>
      <c r="BW50" s="45">
        <v>0.52007190000000003</v>
      </c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10">
        <v>0.24850559999999999</v>
      </c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45">
        <v>0.92353680000000005</v>
      </c>
      <c r="CZ50" s="7"/>
      <c r="DA50" s="7"/>
      <c r="DB50" s="7"/>
      <c r="DC50" s="45">
        <v>0.94364510000000001</v>
      </c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86">
        <v>0.91111109999999995</v>
      </c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46">
        <v>0.90805999999999998</v>
      </c>
      <c r="EF50" s="7"/>
      <c r="EG50" s="7"/>
      <c r="EH50" s="7"/>
      <c r="EI50" s="14" t="s">
        <v>24</v>
      </c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14" t="s">
        <v>24</v>
      </c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</row>
    <row r="51" spans="3:166" ht="17" thickBot="1" x14ac:dyDescent="0.25">
      <c r="C51" s="6">
        <v>3</v>
      </c>
      <c r="D51" t="s">
        <v>41</v>
      </c>
      <c r="G51" s="10">
        <v>0.91344040000000004</v>
      </c>
      <c r="H51" s="7"/>
      <c r="I51" s="7"/>
      <c r="J51" s="7"/>
      <c r="K51" s="45" t="s">
        <v>24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45" t="s">
        <v>24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0">
        <v>0.93549400000000005</v>
      </c>
      <c r="AN51" s="7"/>
      <c r="AO51" s="7"/>
      <c r="AP51" s="17"/>
      <c r="AQ51" s="10">
        <v>0.91611739999999997</v>
      </c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10">
        <v>5.977797E-3</v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10">
        <v>0.47434690000000002</v>
      </c>
      <c r="BT51" s="7"/>
      <c r="BU51" s="7"/>
      <c r="BV51" s="7"/>
      <c r="BW51" s="45">
        <v>0.84011979999999997</v>
      </c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10">
        <v>0.8948718</v>
      </c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45">
        <v>0.92414229999999997</v>
      </c>
      <c r="CZ51" s="7"/>
      <c r="DA51" s="7"/>
      <c r="DB51" s="7"/>
      <c r="DC51" s="45">
        <v>0.94068300000000005</v>
      </c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45">
        <v>0.89991449999999995</v>
      </c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93">
        <v>0.89773440000000004</v>
      </c>
      <c r="EF51" s="7"/>
      <c r="EG51" s="7"/>
      <c r="EH51" s="7"/>
      <c r="EI51" s="14" t="s">
        <v>24</v>
      </c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14" t="s">
        <v>24</v>
      </c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</row>
    <row r="52" spans="3:166" ht="17" thickBot="1" x14ac:dyDescent="0.25">
      <c r="C52" s="6">
        <v>3</v>
      </c>
      <c r="D52" t="s">
        <v>42</v>
      </c>
      <c r="G52" s="10">
        <v>0.92571610000000004</v>
      </c>
      <c r="H52" s="7"/>
      <c r="I52" s="7"/>
      <c r="J52" s="7"/>
      <c r="K52" s="10">
        <v>0.93828639999999996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10">
        <v>0.90341879999999997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0">
        <v>0.92947100000000005</v>
      </c>
      <c r="AN52" s="7"/>
      <c r="AO52" s="7"/>
      <c r="AP52" s="17"/>
      <c r="AQ52" s="10">
        <v>0.54790419999999995</v>
      </c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10">
        <v>0.917948718</v>
      </c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10">
        <v>0.2603085</v>
      </c>
      <c r="BT52" s="7"/>
      <c r="BU52" s="7"/>
      <c r="BV52" s="7"/>
      <c r="BW52" s="45">
        <v>0.68783700000000003</v>
      </c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10">
        <v>0.86239319999999997</v>
      </c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45">
        <v>0.93104529999999996</v>
      </c>
      <c r="CZ52" s="7"/>
      <c r="DA52" s="7"/>
      <c r="DB52" s="7"/>
      <c r="DC52" s="45">
        <v>0.95152599999999998</v>
      </c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86">
        <v>0.92491469999999998</v>
      </c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93">
        <v>0.90273840000000005</v>
      </c>
      <c r="EF52" s="7"/>
      <c r="EG52" s="7"/>
      <c r="EH52" s="7"/>
      <c r="EI52" s="14" t="s">
        <v>24</v>
      </c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14" t="s">
        <v>24</v>
      </c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</row>
    <row r="53" spans="3:166" ht="17" thickBot="1" x14ac:dyDescent="0.25">
      <c r="C53" s="6">
        <v>3</v>
      </c>
      <c r="D53" t="s">
        <v>49</v>
      </c>
      <c r="G53" s="44">
        <f>AVERAGE(G50:G52)</f>
        <v>0.92047006666666675</v>
      </c>
      <c r="H53" s="7"/>
      <c r="I53" s="7"/>
      <c r="J53" s="7"/>
      <c r="K53" s="44">
        <f>AVERAGE(K50:K52)</f>
        <v>0.93768724999999997</v>
      </c>
      <c r="L53" s="7"/>
      <c r="M53" s="7"/>
      <c r="N53" s="7"/>
      <c r="O53" s="10" t="s">
        <v>24</v>
      </c>
      <c r="P53" s="7" t="s">
        <v>24</v>
      </c>
      <c r="Q53" s="7" t="s">
        <v>24</v>
      </c>
      <c r="R53" s="7" t="s">
        <v>24</v>
      </c>
      <c r="S53" s="7" t="s">
        <v>24</v>
      </c>
      <c r="T53" s="7" t="s">
        <v>24</v>
      </c>
      <c r="U53" s="7" t="s">
        <v>24</v>
      </c>
      <c r="V53" s="7" t="s">
        <v>24</v>
      </c>
      <c r="W53" s="7" t="s">
        <v>24</v>
      </c>
      <c r="X53" s="7" t="s">
        <v>24</v>
      </c>
      <c r="Y53" s="44">
        <f>AVERAGE(Y50:Y52)</f>
        <v>0.90979325</v>
      </c>
      <c r="Z53" s="7"/>
      <c r="AA53" s="7"/>
      <c r="AB53" s="7"/>
      <c r="AC53" s="10" t="s">
        <v>24</v>
      </c>
      <c r="AD53" s="7" t="s">
        <v>24</v>
      </c>
      <c r="AE53" s="7" t="s">
        <v>24</v>
      </c>
      <c r="AF53" s="7" t="s">
        <v>24</v>
      </c>
      <c r="AG53" s="7" t="s">
        <v>24</v>
      </c>
      <c r="AH53" s="7" t="s">
        <v>24</v>
      </c>
      <c r="AI53" s="7" t="s">
        <v>24</v>
      </c>
      <c r="AJ53" s="7" t="s">
        <v>24</v>
      </c>
      <c r="AK53" s="7" t="s">
        <v>24</v>
      </c>
      <c r="AL53" s="7" t="s">
        <v>24</v>
      </c>
      <c r="AM53" s="44">
        <f>AVERAGE(AM50:AM52)</f>
        <v>0.93117130000000004</v>
      </c>
      <c r="AN53" s="7"/>
      <c r="AO53" s="7"/>
      <c r="AP53" s="17"/>
      <c r="AQ53" s="44">
        <f>AVERAGE(AQ50:AQ52)</f>
        <v>0.80396486666666667</v>
      </c>
      <c r="AR53" s="7"/>
      <c r="AS53" s="7"/>
      <c r="AT53" s="7"/>
      <c r="AU53" s="10">
        <v>0.42399999999999999</v>
      </c>
      <c r="AV53" s="7">
        <v>0.25</v>
      </c>
      <c r="AW53" s="7">
        <v>0.25</v>
      </c>
      <c r="AX53" s="7">
        <v>0.5</v>
      </c>
      <c r="AY53" s="10">
        <v>8.1966670000000005E-2</v>
      </c>
      <c r="AZ53" s="10">
        <v>0.24193329999999999</v>
      </c>
      <c r="BA53" s="10">
        <v>0.67610000000000003</v>
      </c>
      <c r="BB53" s="10">
        <v>0.22512760000000001</v>
      </c>
      <c r="BC53" s="10">
        <v>2.9846330000000001E-2</v>
      </c>
      <c r="BD53" s="10">
        <v>0.74502599999999997</v>
      </c>
      <c r="BE53" s="44">
        <f>AVERAGE(BE50:BE52)</f>
        <v>0.6116792086666667</v>
      </c>
      <c r="BF53" s="7"/>
      <c r="BG53" s="7"/>
      <c r="BH53" s="7"/>
      <c r="BI53" s="10">
        <v>0.40100000000000002</v>
      </c>
      <c r="BJ53" s="7">
        <v>0</v>
      </c>
      <c r="BK53" s="7">
        <v>0.25</v>
      </c>
      <c r="BL53" s="7">
        <v>0.75</v>
      </c>
      <c r="BM53" s="7">
        <v>0</v>
      </c>
      <c r="BN53" s="10">
        <v>9.2966670000000001E-2</v>
      </c>
      <c r="BO53" s="10">
        <v>0.90703330000000004</v>
      </c>
      <c r="BP53" s="10">
        <v>0.2222324</v>
      </c>
      <c r="BQ53" s="10">
        <v>1.1987930000000001E-2</v>
      </c>
      <c r="BR53" s="10">
        <v>0.7657796</v>
      </c>
      <c r="BS53" s="44">
        <f>AVERAGE(BS50:BS52)</f>
        <v>0.49134406666666669</v>
      </c>
      <c r="BT53" s="7"/>
      <c r="BU53" s="7"/>
      <c r="BV53" s="7"/>
      <c r="BW53" s="29">
        <f>AVERAGE(BW50:BW52)</f>
        <v>0.68267623333333338</v>
      </c>
      <c r="BX53" s="7"/>
      <c r="BY53" s="7"/>
      <c r="BZ53" s="7"/>
      <c r="CA53" s="10">
        <v>5.586E-2</v>
      </c>
      <c r="CB53" s="7">
        <v>0.75</v>
      </c>
      <c r="CC53" s="7">
        <v>0.25</v>
      </c>
      <c r="CD53" s="7">
        <v>0</v>
      </c>
      <c r="CE53" s="28">
        <v>0.99126669999999995</v>
      </c>
      <c r="CF53" s="10">
        <v>8.7333329999999994E-3</v>
      </c>
      <c r="CG53" s="7">
        <v>0</v>
      </c>
      <c r="CH53" s="28">
        <v>0.96012059999999999</v>
      </c>
      <c r="CI53" s="10">
        <v>6.8005419999999997E-3</v>
      </c>
      <c r="CJ53" s="10">
        <v>3.3078829999999997E-2</v>
      </c>
      <c r="CK53" s="44">
        <f>AVERAGE(CK50:CK52)</f>
        <v>0.66859020000000002</v>
      </c>
      <c r="CL53" s="7"/>
      <c r="CM53" s="7"/>
      <c r="CN53" s="7"/>
      <c r="CO53" s="10">
        <v>0.26590000000000003</v>
      </c>
      <c r="CP53" s="7">
        <v>0.5</v>
      </c>
      <c r="CQ53" s="7">
        <v>0.25</v>
      </c>
      <c r="CR53" s="7">
        <v>0.25</v>
      </c>
      <c r="CS53" s="86">
        <v>0.88390000000000002</v>
      </c>
      <c r="CT53" s="86">
        <v>5.2666669999999999E-2</v>
      </c>
      <c r="CU53" s="7">
        <v>6.3433329999999996E-2</v>
      </c>
      <c r="CV53" s="28">
        <v>0.83102690000000001</v>
      </c>
      <c r="CW53" s="86">
        <v>2.0568860000000001E-2</v>
      </c>
      <c r="CX53" s="10">
        <v>0.14840429999999999</v>
      </c>
      <c r="CY53" s="44">
        <f>AVERAGE(CY50:CY52)</f>
        <v>0.92624146666666674</v>
      </c>
      <c r="CZ53" s="7"/>
      <c r="DA53" s="7"/>
      <c r="DB53" s="7"/>
      <c r="DC53" s="42">
        <f>AVERAGE(DC50:DC52)</f>
        <v>0.94528470000000009</v>
      </c>
      <c r="DD53" s="7"/>
      <c r="DE53" s="7"/>
      <c r="DF53" s="7"/>
      <c r="DG53" s="10"/>
      <c r="DH53" s="7">
        <v>0</v>
      </c>
      <c r="DI53" s="7">
        <v>0.25</v>
      </c>
      <c r="DJ53" s="7">
        <v>0.75</v>
      </c>
      <c r="DK53" s="7">
        <v>0</v>
      </c>
      <c r="DL53" s="10">
        <v>8.9999999999999993E-3</v>
      </c>
      <c r="DM53" s="49">
        <v>0.99099999999999999</v>
      </c>
      <c r="DN53" s="10">
        <v>6.1948919999999996E-3</v>
      </c>
      <c r="DO53" s="10">
        <v>1.149125E-2</v>
      </c>
      <c r="DP53" s="86">
        <v>0.98231389999999996</v>
      </c>
      <c r="DQ53" s="29">
        <f>AVERAGE(DQ50:DQ52)</f>
        <v>0.91198009999999996</v>
      </c>
      <c r="DR53" s="7"/>
      <c r="DS53" s="7"/>
      <c r="DT53" s="7"/>
      <c r="DU53" s="10">
        <v>2.9899999999999999E-2</v>
      </c>
      <c r="DV53" s="7">
        <v>0.75</v>
      </c>
      <c r="DW53" s="7">
        <v>0.25</v>
      </c>
      <c r="DX53" s="7">
        <v>0</v>
      </c>
      <c r="DY53" s="28">
        <v>0.96223329999999996</v>
      </c>
      <c r="DZ53" s="10">
        <v>3.7766670000000002E-2</v>
      </c>
      <c r="EA53" s="7">
        <v>0</v>
      </c>
      <c r="EB53" s="10">
        <v>0.94539660000000003</v>
      </c>
      <c r="EC53" s="10">
        <v>4.4751930000000002E-2</v>
      </c>
      <c r="ED53" s="10">
        <v>9.8514940000000006E-3</v>
      </c>
      <c r="EE53" s="44">
        <f>AVERAGE(EE50:EE52)</f>
        <v>0.90284426666666662</v>
      </c>
      <c r="EF53" s="7"/>
      <c r="EG53" s="7"/>
      <c r="EH53" s="7"/>
      <c r="EI53" s="14" t="s">
        <v>24</v>
      </c>
      <c r="EJ53" s="7"/>
      <c r="EK53" s="7"/>
      <c r="EL53" s="7"/>
      <c r="EM53" s="10" t="s">
        <v>24</v>
      </c>
      <c r="EN53" s="7" t="s">
        <v>24</v>
      </c>
      <c r="EO53" s="7" t="s">
        <v>24</v>
      </c>
      <c r="EP53" s="7" t="s">
        <v>24</v>
      </c>
      <c r="EQ53" s="7" t="s">
        <v>24</v>
      </c>
      <c r="ER53" s="7" t="s">
        <v>24</v>
      </c>
      <c r="ES53" s="7" t="s">
        <v>24</v>
      </c>
      <c r="ET53" s="7" t="s">
        <v>24</v>
      </c>
      <c r="EU53" s="7" t="s">
        <v>24</v>
      </c>
      <c r="EV53" s="7" t="s">
        <v>24</v>
      </c>
      <c r="EW53" s="14" t="s">
        <v>24</v>
      </c>
      <c r="EX53" s="7"/>
      <c r="EY53" s="7"/>
      <c r="EZ53" s="7"/>
      <c r="FA53" s="10" t="s">
        <v>24</v>
      </c>
      <c r="FB53" s="7" t="s">
        <v>24</v>
      </c>
      <c r="FC53" s="7" t="s">
        <v>24</v>
      </c>
      <c r="FD53" s="7" t="s">
        <v>24</v>
      </c>
      <c r="FE53" s="7" t="s">
        <v>24</v>
      </c>
      <c r="FF53" s="7" t="s">
        <v>24</v>
      </c>
      <c r="FG53" s="7" t="s">
        <v>24</v>
      </c>
      <c r="FH53" s="7" t="s">
        <v>24</v>
      </c>
      <c r="FI53" s="7" t="s">
        <v>24</v>
      </c>
      <c r="FJ53" s="7" t="s">
        <v>24</v>
      </c>
    </row>
    <row r="54" spans="3:166" ht="17" thickBot="1" x14ac:dyDescent="0.25">
      <c r="C54" s="6">
        <v>3</v>
      </c>
      <c r="D54" t="s">
        <v>43</v>
      </c>
      <c r="G54" s="10">
        <v>0.92400000000000004</v>
      </c>
      <c r="H54" s="10">
        <v>0.93224929999999995</v>
      </c>
      <c r="I54" s="10">
        <v>0.86868690000000004</v>
      </c>
      <c r="J54" s="10">
        <v>0.89934639999999999</v>
      </c>
      <c r="K54" s="10">
        <v>0.43730000000000002</v>
      </c>
      <c r="L54" s="10">
        <v>0.86061949999999998</v>
      </c>
      <c r="M54" s="10">
        <v>0.98232323200000005</v>
      </c>
      <c r="N54" s="10">
        <v>0.91745283</v>
      </c>
      <c r="O54" s="7" t="s">
        <v>24</v>
      </c>
      <c r="P54" s="7">
        <v>0</v>
      </c>
      <c r="Q54" s="7">
        <v>0.5</v>
      </c>
      <c r="R54" s="7">
        <v>0.5</v>
      </c>
      <c r="S54" s="10">
        <v>0</v>
      </c>
      <c r="T54" s="10">
        <v>0.15883330000000001</v>
      </c>
      <c r="U54" s="10">
        <v>0.84116670000000004</v>
      </c>
      <c r="V54" s="7" t="s">
        <v>24</v>
      </c>
      <c r="W54" s="7" t="s">
        <v>24</v>
      </c>
      <c r="X54" s="7" t="s">
        <v>24</v>
      </c>
      <c r="Y54" s="10">
        <v>0.70779999999999998</v>
      </c>
      <c r="Z54" s="10">
        <v>0.66176469999999998</v>
      </c>
      <c r="AA54" s="10">
        <v>0.11363636000000001</v>
      </c>
      <c r="AB54" s="10">
        <v>0.193965517</v>
      </c>
      <c r="AC54" s="7" t="s">
        <v>24</v>
      </c>
      <c r="AD54" s="10">
        <v>0</v>
      </c>
      <c r="AE54" s="10">
        <v>0.5</v>
      </c>
      <c r="AF54" s="10">
        <v>0.5</v>
      </c>
      <c r="AG54" s="10">
        <v>0</v>
      </c>
      <c r="AH54" s="10">
        <v>0.15989999999999999</v>
      </c>
      <c r="AI54" s="10">
        <v>0.84009999999999996</v>
      </c>
      <c r="AJ54" s="7" t="s">
        <v>24</v>
      </c>
      <c r="AK54" s="7" t="s">
        <v>24</v>
      </c>
      <c r="AL54" s="7" t="s">
        <v>24</v>
      </c>
      <c r="AM54" s="10">
        <v>0.92749999999999999</v>
      </c>
      <c r="AN54" s="10">
        <v>0.94535519999999995</v>
      </c>
      <c r="AO54" s="10">
        <v>0.8737374</v>
      </c>
      <c r="AP54" s="10">
        <v>0.90813650000000001</v>
      </c>
      <c r="AQ54" s="10">
        <v>0.43409999999999999</v>
      </c>
      <c r="AR54" s="10">
        <v>0.68</v>
      </c>
      <c r="AS54" s="10">
        <v>0.90151515199999999</v>
      </c>
      <c r="AT54" s="10">
        <v>0.7752443</v>
      </c>
      <c r="AU54" s="7" t="s">
        <v>24</v>
      </c>
      <c r="AV54" s="7">
        <v>0</v>
      </c>
      <c r="AW54" s="7">
        <v>0.5</v>
      </c>
      <c r="AX54" s="7">
        <v>0.5</v>
      </c>
      <c r="AY54" s="7">
        <v>0</v>
      </c>
      <c r="AZ54" s="10">
        <v>0.16256670000000001</v>
      </c>
      <c r="BA54" s="10">
        <v>0.83743330000000005</v>
      </c>
      <c r="BB54" s="7" t="s">
        <v>24</v>
      </c>
      <c r="BC54" s="7" t="s">
        <v>24</v>
      </c>
      <c r="BD54" s="7" t="s">
        <v>24</v>
      </c>
      <c r="BE54" s="10">
        <v>0.61939999999999995</v>
      </c>
      <c r="BF54" s="10">
        <v>1</v>
      </c>
      <c r="BG54" s="10">
        <v>5.0505050000000003E-3</v>
      </c>
      <c r="BH54" s="10">
        <v>1.005025E-2</v>
      </c>
      <c r="BI54" s="7" t="s">
        <v>24</v>
      </c>
      <c r="BJ54" s="7">
        <v>0</v>
      </c>
      <c r="BK54" s="7">
        <v>0.5</v>
      </c>
      <c r="BL54" s="7">
        <v>0.5</v>
      </c>
      <c r="BM54" s="7">
        <v>0</v>
      </c>
      <c r="BN54" s="10">
        <v>0.1594333</v>
      </c>
      <c r="BO54" s="10">
        <v>0.8405667</v>
      </c>
      <c r="BP54" s="7" t="s">
        <v>24</v>
      </c>
      <c r="BQ54" s="7" t="s">
        <v>24</v>
      </c>
      <c r="BR54" s="7" t="s">
        <v>24</v>
      </c>
      <c r="BS54" s="10">
        <v>0.37790000000000001</v>
      </c>
      <c r="BT54" s="10" t="s">
        <v>24</v>
      </c>
      <c r="BU54" s="10">
        <v>0</v>
      </c>
      <c r="BV54" s="10" t="s">
        <v>24</v>
      </c>
      <c r="BW54" s="45">
        <v>0.33110000000000001</v>
      </c>
      <c r="BX54" s="10">
        <v>0.71241829999999995</v>
      </c>
      <c r="BY54" s="10">
        <v>0.82575759999999998</v>
      </c>
      <c r="BZ54" s="10">
        <v>0.76491229999999999</v>
      </c>
      <c r="CA54" s="7" t="s">
        <v>24</v>
      </c>
      <c r="CB54" s="7">
        <v>0</v>
      </c>
      <c r="CC54" s="7">
        <v>0.5</v>
      </c>
      <c r="CD54" s="7">
        <v>0.5</v>
      </c>
      <c r="CE54" s="7">
        <v>0</v>
      </c>
      <c r="CF54" s="10">
        <v>0.16196669999999999</v>
      </c>
      <c r="CG54" s="10">
        <v>0.83803329999999998</v>
      </c>
      <c r="CH54" s="7" t="s">
        <v>24</v>
      </c>
      <c r="CI54" s="7" t="s">
        <v>24</v>
      </c>
      <c r="CJ54" s="7" t="s">
        <v>24</v>
      </c>
      <c r="CK54" s="10">
        <v>0.54879999999999995</v>
      </c>
      <c r="CL54" s="10" t="s">
        <v>24</v>
      </c>
      <c r="CM54" s="10">
        <v>0</v>
      </c>
      <c r="CN54" s="10" t="s">
        <v>24</v>
      </c>
      <c r="CO54" s="10" t="s">
        <v>24</v>
      </c>
      <c r="CP54" s="7">
        <v>0.5</v>
      </c>
      <c r="CQ54" s="7">
        <v>0.5</v>
      </c>
      <c r="CR54" s="7">
        <v>0</v>
      </c>
      <c r="CS54" s="7">
        <v>0.83946670000000001</v>
      </c>
      <c r="CT54" s="10">
        <v>0.16053329999999999</v>
      </c>
      <c r="CU54" s="10">
        <v>0</v>
      </c>
      <c r="CV54" s="7" t="s">
        <v>24</v>
      </c>
      <c r="CW54" s="7" t="s">
        <v>24</v>
      </c>
      <c r="CX54" s="7" t="s">
        <v>24</v>
      </c>
      <c r="CY54" s="45">
        <v>0.92449999999999999</v>
      </c>
      <c r="CZ54" s="10">
        <v>0.93800539999999999</v>
      </c>
      <c r="DA54" s="10">
        <v>0.87878789999999996</v>
      </c>
      <c r="DB54" s="10">
        <v>0.9074316</v>
      </c>
      <c r="DC54" s="86">
        <v>0.61050000000000004</v>
      </c>
      <c r="DD54" s="10">
        <v>0.85238100000000006</v>
      </c>
      <c r="DE54" s="86">
        <v>0.94230769000000003</v>
      </c>
      <c r="DF54" s="10">
        <v>0.92452829999999997</v>
      </c>
      <c r="DG54" s="65" t="s">
        <v>24</v>
      </c>
      <c r="DH54" s="7">
        <v>0</v>
      </c>
      <c r="DI54" s="7">
        <v>0.5</v>
      </c>
      <c r="DJ54" s="7">
        <v>0.5</v>
      </c>
      <c r="DK54" s="7">
        <v>0</v>
      </c>
      <c r="DL54" s="10">
        <v>0.1603</v>
      </c>
      <c r="DM54" s="86">
        <v>0.8397</v>
      </c>
      <c r="DN54" s="7" t="s">
        <v>24</v>
      </c>
      <c r="DO54" s="7" t="s">
        <v>24</v>
      </c>
      <c r="DP54" s="7" t="s">
        <v>24</v>
      </c>
      <c r="DQ54" s="45">
        <v>0.75560000000000005</v>
      </c>
      <c r="DR54" s="10">
        <v>0.3504505</v>
      </c>
      <c r="DS54" s="10">
        <v>0.98232319999999995</v>
      </c>
      <c r="DT54" s="10">
        <v>0.51660030000000001</v>
      </c>
      <c r="DU54" s="7" t="s">
        <v>24</v>
      </c>
      <c r="DV54" s="7">
        <v>0</v>
      </c>
      <c r="DW54" s="7">
        <v>0.5</v>
      </c>
      <c r="DX54" s="7">
        <v>0.5</v>
      </c>
      <c r="DY54" s="7">
        <v>0</v>
      </c>
      <c r="DZ54" s="10">
        <v>0.16120000000000001</v>
      </c>
      <c r="EA54" s="10">
        <v>0.83879999999999999</v>
      </c>
      <c r="EB54" s="7" t="s">
        <v>24</v>
      </c>
      <c r="EC54" s="7" t="s">
        <v>24</v>
      </c>
      <c r="ED54" s="7" t="s">
        <v>24</v>
      </c>
      <c r="EE54" s="46">
        <v>0.89439999999999997</v>
      </c>
      <c r="EF54" s="10">
        <v>0.85673350000000004</v>
      </c>
      <c r="EG54" s="10">
        <v>0.75505049999999996</v>
      </c>
      <c r="EH54" s="10">
        <v>0.80268459999999997</v>
      </c>
      <c r="EI54" s="45" t="s">
        <v>24</v>
      </c>
      <c r="EJ54" s="7" t="s">
        <v>24</v>
      </c>
      <c r="EK54" s="10" t="s">
        <v>24</v>
      </c>
      <c r="EL54" s="7" t="s">
        <v>24</v>
      </c>
      <c r="EM54" s="10" t="s">
        <v>24</v>
      </c>
      <c r="EN54" s="7" t="s">
        <v>24</v>
      </c>
      <c r="EO54" s="7" t="s">
        <v>24</v>
      </c>
      <c r="EP54" s="7" t="s">
        <v>24</v>
      </c>
      <c r="EQ54" s="7" t="s">
        <v>24</v>
      </c>
      <c r="ER54" s="7" t="s">
        <v>24</v>
      </c>
      <c r="ES54" s="7" t="s">
        <v>24</v>
      </c>
      <c r="ET54" s="7" t="s">
        <v>24</v>
      </c>
      <c r="EU54" s="7" t="s">
        <v>24</v>
      </c>
      <c r="EV54" s="7" t="s">
        <v>24</v>
      </c>
      <c r="EW54" s="45" t="s">
        <v>24</v>
      </c>
      <c r="EX54" s="7" t="s">
        <v>24</v>
      </c>
      <c r="EY54" s="10" t="s">
        <v>24</v>
      </c>
      <c r="EZ54" s="7" t="s">
        <v>24</v>
      </c>
      <c r="FA54" s="10" t="s">
        <v>24</v>
      </c>
      <c r="FB54" s="7" t="s">
        <v>24</v>
      </c>
      <c r="FC54" s="7" t="s">
        <v>24</v>
      </c>
      <c r="FD54" s="7" t="s">
        <v>24</v>
      </c>
      <c r="FE54" s="7" t="s">
        <v>24</v>
      </c>
      <c r="FF54" s="7" t="s">
        <v>24</v>
      </c>
      <c r="FG54" s="7" t="s">
        <v>24</v>
      </c>
      <c r="FH54" s="7" t="s">
        <v>24</v>
      </c>
      <c r="FI54" s="7" t="s">
        <v>24</v>
      </c>
      <c r="FJ54" s="7" t="s">
        <v>24</v>
      </c>
    </row>
    <row r="55" spans="3:166" ht="17" thickBot="1" x14ac:dyDescent="0.25">
      <c r="C55" s="6"/>
      <c r="G55" s="14"/>
      <c r="H55" s="7"/>
      <c r="I55" s="7"/>
      <c r="J55" s="7"/>
      <c r="K55" s="14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14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4"/>
      <c r="AN55" s="7"/>
      <c r="AO55" s="7"/>
      <c r="AP55" s="1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14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14"/>
      <c r="BT55" s="7"/>
      <c r="BU55" s="7"/>
      <c r="BV55" s="7"/>
      <c r="BW55" s="14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14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14"/>
      <c r="CZ55" s="7"/>
      <c r="DA55" s="7"/>
      <c r="DB55" s="7"/>
      <c r="DC55" s="14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14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14"/>
      <c r="EF55" s="7"/>
      <c r="EG55" s="7"/>
      <c r="EH55" s="7"/>
      <c r="EI55" s="14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14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</row>
    <row r="56" spans="3:166" ht="17" thickBot="1" x14ac:dyDescent="0.25">
      <c r="C56" s="6">
        <v>4</v>
      </c>
      <c r="D56" t="s">
        <v>40</v>
      </c>
      <c r="G56" s="10">
        <v>0.92225369999999995</v>
      </c>
      <c r="H56" s="7"/>
      <c r="I56" s="7"/>
      <c r="J56" s="7"/>
      <c r="K56" s="10">
        <v>0.96308720000000003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10">
        <v>0.82593859999999997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0">
        <v>0.92854890000000001</v>
      </c>
      <c r="AN56" s="7"/>
      <c r="AO56" s="7"/>
      <c r="AP56" s="17"/>
      <c r="AQ56" s="10">
        <v>0.9799331</v>
      </c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10">
        <v>0.83788399999999996</v>
      </c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10">
        <v>0.73937679999999995</v>
      </c>
      <c r="BT56" s="7"/>
      <c r="BU56" s="7"/>
      <c r="BV56" s="7"/>
      <c r="BW56" s="45">
        <v>0.94314379999999998</v>
      </c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86">
        <v>0.80375430000000003</v>
      </c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45">
        <v>0.92353680000000005</v>
      </c>
      <c r="CZ56" s="7"/>
      <c r="DA56" s="7"/>
      <c r="DB56" s="7"/>
      <c r="DC56" s="45">
        <v>0.98989899999999997</v>
      </c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45">
        <v>0.80887370000000003</v>
      </c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46">
        <v>0.90805999999999998</v>
      </c>
      <c r="EF56" s="7"/>
      <c r="EG56" s="7"/>
      <c r="EH56" s="7"/>
      <c r="EI56" s="45">
        <v>0.96321069999999998</v>
      </c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45">
        <v>0.956229</v>
      </c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</row>
    <row r="57" spans="3:166" ht="17" thickBot="1" x14ac:dyDescent="0.25">
      <c r="C57" s="6">
        <v>4</v>
      </c>
      <c r="D57" t="s">
        <v>41</v>
      </c>
      <c r="G57" s="10">
        <v>0.91344040000000004</v>
      </c>
      <c r="H57" s="7"/>
      <c r="I57" s="7"/>
      <c r="J57" s="7"/>
      <c r="K57" s="10">
        <v>0.97651010000000005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10">
        <v>0.79557069999999996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10">
        <v>0.93549400000000005</v>
      </c>
      <c r="AN57" s="7"/>
      <c r="AO57" s="7"/>
      <c r="AP57" s="17"/>
      <c r="AQ57" s="10">
        <v>0.98989899999999997</v>
      </c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10">
        <v>0.81228670000000003</v>
      </c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10">
        <v>0.47434690000000002</v>
      </c>
      <c r="BT57" s="7"/>
      <c r="BU57" s="7"/>
      <c r="BV57" s="7"/>
      <c r="BW57" s="45">
        <v>0.97297299999999998</v>
      </c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86">
        <v>0.78023849999999995</v>
      </c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45">
        <v>0.92414229999999997</v>
      </c>
      <c r="CZ57" s="7"/>
      <c r="DA57" s="7"/>
      <c r="DB57" s="7"/>
      <c r="DC57" s="45">
        <v>0.9799331</v>
      </c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45">
        <v>0.81771720000000003</v>
      </c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93">
        <v>0.89773440000000004</v>
      </c>
      <c r="EF57" s="7"/>
      <c r="EG57" s="7"/>
      <c r="EH57" s="7"/>
      <c r="EI57" s="45">
        <v>0.97651010000000005</v>
      </c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45">
        <v>0.97</v>
      </c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</row>
    <row r="58" spans="3:166" ht="17" thickBot="1" x14ac:dyDescent="0.25">
      <c r="C58" s="6">
        <v>1</v>
      </c>
      <c r="D58" t="s">
        <v>42</v>
      </c>
      <c r="G58" s="10">
        <v>0.92571610000000004</v>
      </c>
      <c r="H58" s="7"/>
      <c r="I58" s="7"/>
      <c r="J58" s="7"/>
      <c r="K58" s="10">
        <v>0.98322149999999997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10">
        <v>0.81228670000000003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0">
        <v>0.92947100000000005</v>
      </c>
      <c r="AN58" s="7"/>
      <c r="AO58" s="7"/>
      <c r="AP58" s="17"/>
      <c r="AQ58" s="10">
        <v>0.98322149999999997</v>
      </c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10">
        <v>0.80408860000000004</v>
      </c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10">
        <v>0.2603085</v>
      </c>
      <c r="BT58" s="7"/>
      <c r="BU58" s="7"/>
      <c r="BV58" s="7"/>
      <c r="BW58" s="45">
        <v>0.94648829999999995</v>
      </c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86">
        <v>0.76450510000000005</v>
      </c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45">
        <v>0.93104529999999996</v>
      </c>
      <c r="CZ58" s="7"/>
      <c r="DA58" s="7"/>
      <c r="DB58" s="7"/>
      <c r="DC58" s="45">
        <v>0.9899329</v>
      </c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45">
        <v>0.82764510000000002</v>
      </c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93">
        <v>0.90273840000000005</v>
      </c>
      <c r="EF58" s="7"/>
      <c r="EG58" s="7"/>
      <c r="EH58" s="7"/>
      <c r="EI58" s="45">
        <v>0.98316499999999996</v>
      </c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86">
        <v>0.97979799999999995</v>
      </c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</row>
    <row r="59" spans="3:166" ht="17" thickBot="1" x14ac:dyDescent="0.25">
      <c r="C59" s="6">
        <v>4</v>
      </c>
      <c r="D59" t="s">
        <v>49</v>
      </c>
      <c r="G59" s="44">
        <f>AVERAGE(G56:G58)</f>
        <v>0.92047006666666675</v>
      </c>
      <c r="H59" s="7"/>
      <c r="I59" s="7"/>
      <c r="J59" s="7"/>
      <c r="K59" s="29">
        <f>AVERAGE(K56:K58)</f>
        <v>0.97427293333333331</v>
      </c>
      <c r="L59" s="7"/>
      <c r="M59" s="7"/>
      <c r="N59" s="7"/>
      <c r="O59" s="10">
        <v>2.895E-2</v>
      </c>
      <c r="P59" s="7">
        <v>0.75</v>
      </c>
      <c r="Q59" s="7">
        <v>0.25</v>
      </c>
      <c r="R59" s="7">
        <v>0</v>
      </c>
      <c r="S59" s="28">
        <v>0.99080000000000001</v>
      </c>
      <c r="T59" s="10">
        <v>9.1999999999999998E-3</v>
      </c>
      <c r="U59" s="7">
        <v>0</v>
      </c>
      <c r="V59" s="27">
        <v>0.97209129999999999</v>
      </c>
      <c r="W59" s="10">
        <v>1.4154160000000001E-2</v>
      </c>
      <c r="X59" s="10">
        <v>1.3754509999999999E-2</v>
      </c>
      <c r="Y59" s="42">
        <f>AVERAGE(Y56:Y58)</f>
        <v>0.81126533333333339</v>
      </c>
      <c r="Z59" s="7"/>
      <c r="AA59" s="7"/>
      <c r="AB59" s="7"/>
      <c r="AC59" s="10">
        <v>3.601E-3</v>
      </c>
      <c r="AD59" s="7">
        <v>0</v>
      </c>
      <c r="AE59" s="7">
        <v>0.25</v>
      </c>
      <c r="AF59" s="7">
        <v>0.75</v>
      </c>
      <c r="AG59" s="7">
        <v>0</v>
      </c>
      <c r="AH59" s="10">
        <v>9.0333329999999993E-3</v>
      </c>
      <c r="AI59" s="49">
        <v>0.99096669999999998</v>
      </c>
      <c r="AJ59" s="10">
        <v>2.0135330000000001E-3</v>
      </c>
      <c r="AK59" s="10">
        <v>8.8594659999999997E-4</v>
      </c>
      <c r="AL59" s="49">
        <v>0.99710049999999995</v>
      </c>
      <c r="AM59" s="44">
        <f>AVERAGE(AM56:AM58)</f>
        <v>0.93117130000000004</v>
      </c>
      <c r="AN59" s="7"/>
      <c r="AO59" s="7"/>
      <c r="AP59" s="17"/>
      <c r="AQ59" s="29">
        <f>AVERAGE(AQ56:AQ58)</f>
        <v>0.98435119999999998</v>
      </c>
      <c r="AR59" s="7"/>
      <c r="AS59" s="7"/>
      <c r="AT59" s="7"/>
      <c r="AU59" s="10">
        <v>5.0000000000000001E-3</v>
      </c>
      <c r="AV59" s="7">
        <v>0.75</v>
      </c>
      <c r="AW59" s="7">
        <v>0.25</v>
      </c>
      <c r="AX59" s="7">
        <v>0</v>
      </c>
      <c r="AY59" s="28">
        <v>0.99146670000000003</v>
      </c>
      <c r="AZ59" s="10">
        <v>8.5333330000000006E-3</v>
      </c>
      <c r="BA59" s="10">
        <v>0</v>
      </c>
      <c r="BB59" s="28">
        <v>0.99498209999999998</v>
      </c>
      <c r="BC59" s="10">
        <v>2.6551729999999998E-3</v>
      </c>
      <c r="BD59" s="10">
        <v>2.362758E-3</v>
      </c>
      <c r="BE59" s="42">
        <f>AVERAGE(BE56:BE58)</f>
        <v>0.81808643333333331</v>
      </c>
      <c r="BF59" s="7"/>
      <c r="BG59" s="7"/>
      <c r="BH59" s="7"/>
      <c r="BI59" s="10">
        <v>8.9239999999999996E-3</v>
      </c>
      <c r="BJ59" s="7">
        <v>0</v>
      </c>
      <c r="BK59" s="7">
        <v>0.25</v>
      </c>
      <c r="BL59" s="7">
        <v>0.75</v>
      </c>
      <c r="BM59" s="7">
        <v>0</v>
      </c>
      <c r="BN59" s="10">
        <v>9.7000000000000003E-3</v>
      </c>
      <c r="BO59" s="49">
        <v>0.99029999999999996</v>
      </c>
      <c r="BP59" s="10">
        <v>5.0136030000000002E-3</v>
      </c>
      <c r="BQ59" s="10">
        <v>2.0888579999999999E-3</v>
      </c>
      <c r="BR59" s="49">
        <v>0.99289749999999999</v>
      </c>
      <c r="BS59" s="44">
        <f>AVERAGE(BS56:BS58)</f>
        <v>0.49134406666666669</v>
      </c>
      <c r="BT59" s="7"/>
      <c r="BU59" s="7"/>
      <c r="BV59" s="7"/>
      <c r="BW59" s="29">
        <f>AVERAGE(BW56:BW58)</f>
        <v>0.95420169999999993</v>
      </c>
      <c r="BX59" s="7"/>
      <c r="BY59" s="7"/>
      <c r="BZ59" s="7"/>
      <c r="CA59" s="10">
        <v>7.0400000000000004E-2</v>
      </c>
      <c r="CB59" s="7">
        <v>0.75</v>
      </c>
      <c r="CC59" s="7">
        <v>0.25</v>
      </c>
      <c r="CD59" s="7">
        <v>0</v>
      </c>
      <c r="CE59" s="28">
        <v>0.99093330000000002</v>
      </c>
      <c r="CF59" s="10">
        <v>9.0666670000000005E-3</v>
      </c>
      <c r="CG59" s="7">
        <v>0</v>
      </c>
      <c r="CH59" s="28">
        <v>0.95287080000000002</v>
      </c>
      <c r="CI59" s="10">
        <v>3.4060660000000001E-3</v>
      </c>
      <c r="CJ59" s="10">
        <v>4.3723119999999997E-2</v>
      </c>
      <c r="CK59" s="29">
        <f>AVERAGE(CK56:CK58)</f>
        <v>0.78283263333333331</v>
      </c>
      <c r="CL59" s="7"/>
      <c r="CM59" s="7"/>
      <c r="CN59" s="7"/>
      <c r="CO59" s="10">
        <v>0.14899999999999999</v>
      </c>
      <c r="CP59" s="7">
        <v>0.75</v>
      </c>
      <c r="CQ59" s="7">
        <v>0.25</v>
      </c>
      <c r="CR59" s="7">
        <v>0</v>
      </c>
      <c r="CS59" s="28">
        <v>0.9917667</v>
      </c>
      <c r="CT59" s="10">
        <v>8.2333330000000007E-3</v>
      </c>
      <c r="CU59" s="7">
        <v>0</v>
      </c>
      <c r="CV59" s="28">
        <v>0.90235489999999996</v>
      </c>
      <c r="CW59" s="10">
        <v>9.4155709999999993E-3</v>
      </c>
      <c r="CX59" s="10">
        <v>8.8229509999999997E-2</v>
      </c>
      <c r="CY59" s="44">
        <f>AVERAGE(CY56:CY58)</f>
        <v>0.92624146666666674</v>
      </c>
      <c r="CZ59" s="7"/>
      <c r="DA59" s="7"/>
      <c r="DB59" s="7"/>
      <c r="DC59" s="29">
        <f>AVERAGE(DC56:DC58)</f>
        <v>0.98658833333333329</v>
      </c>
      <c r="DD59" s="7"/>
      <c r="DE59" s="7"/>
      <c r="DF59" s="7"/>
      <c r="DG59" s="10">
        <v>2.1649999999999998E-3</v>
      </c>
      <c r="DH59" s="7">
        <v>0.75</v>
      </c>
      <c r="DI59" s="7">
        <v>0.25</v>
      </c>
      <c r="DJ59" s="7">
        <v>0</v>
      </c>
      <c r="DK59" s="28">
        <v>0.99129999999999996</v>
      </c>
      <c r="DL59" s="10">
        <v>8.6999999999999994E-3</v>
      </c>
      <c r="DM59" s="7">
        <v>0</v>
      </c>
      <c r="DN59" s="28">
        <v>0.99793200000000004</v>
      </c>
      <c r="DO59" s="10">
        <v>1.005499E-3</v>
      </c>
      <c r="DP59" s="10">
        <v>1.0624569999999999E-3</v>
      </c>
      <c r="DQ59" s="42">
        <f>AVERAGE(DQ56:DQ58)</f>
        <v>0.81807866666666662</v>
      </c>
      <c r="DR59" s="7"/>
      <c r="DS59" s="7"/>
      <c r="DT59" s="7"/>
      <c r="DU59" s="10">
        <v>4.7780000000000001E-3</v>
      </c>
      <c r="DV59" s="7">
        <v>0</v>
      </c>
      <c r="DW59" s="7">
        <v>0.25</v>
      </c>
      <c r="DX59" s="7">
        <v>0.75</v>
      </c>
      <c r="DY59" s="7">
        <v>0</v>
      </c>
      <c r="DZ59" s="10">
        <v>9.8333329999999997E-3</v>
      </c>
      <c r="EA59" s="49">
        <v>0.99016669999999996</v>
      </c>
      <c r="EB59" s="10">
        <v>2.6668579999999998E-3</v>
      </c>
      <c r="EC59" s="10">
        <v>1.183611E-3</v>
      </c>
      <c r="ED59" s="49">
        <v>0.99614950000000002</v>
      </c>
      <c r="EE59" s="44">
        <f>AVERAGE(EE56:EE58)</f>
        <v>0.90284426666666662</v>
      </c>
      <c r="EF59" s="7"/>
      <c r="EG59" s="7"/>
      <c r="EH59" s="7"/>
      <c r="EI59" s="29">
        <f>AVERAGE(EI56:EI58)</f>
        <v>0.97429526666666666</v>
      </c>
      <c r="EJ59" s="7"/>
      <c r="EK59" s="7"/>
      <c r="EL59" s="7"/>
      <c r="EM59" s="10">
        <v>1.281E-2</v>
      </c>
      <c r="EN59" s="7">
        <v>0.75</v>
      </c>
      <c r="EO59" s="7">
        <v>0.25</v>
      </c>
      <c r="EP59" s="7">
        <v>0</v>
      </c>
      <c r="EQ59" s="28">
        <v>0.99133329999999997</v>
      </c>
      <c r="ER59" s="10">
        <v>8.6666669999999994E-3</v>
      </c>
      <c r="ES59" s="7">
        <v>0</v>
      </c>
      <c r="ET59" s="28">
        <v>0.98863230000000002</v>
      </c>
      <c r="EU59" s="10">
        <v>4.8012990000000002E-3</v>
      </c>
      <c r="EV59" s="10">
        <v>6.5663529999999996E-3</v>
      </c>
      <c r="EW59" s="29">
        <f>AVERAGE(EW56:EW58)</f>
        <v>0.9686756666666666</v>
      </c>
      <c r="EX59" s="7"/>
      <c r="EY59" s="7"/>
      <c r="EZ59" s="7"/>
      <c r="FA59" s="28">
        <v>1.7940000000000001E-2</v>
      </c>
      <c r="FB59" s="7">
        <v>0.75</v>
      </c>
      <c r="FC59" s="7">
        <v>0.25</v>
      </c>
      <c r="FD59" s="7">
        <v>0</v>
      </c>
      <c r="FE59" s="28">
        <v>0.99103330000000001</v>
      </c>
      <c r="FF59" s="10">
        <v>8.9666669999999993E-3</v>
      </c>
      <c r="FG59" s="7">
        <v>0</v>
      </c>
      <c r="FH59" s="28">
        <v>0.98373900000000003</v>
      </c>
      <c r="FI59" s="86">
        <v>7.2466709999999997E-3</v>
      </c>
      <c r="FJ59" s="10">
        <v>9.0143240000000006E-3</v>
      </c>
    </row>
    <row r="60" spans="3:166" ht="17" thickBot="1" x14ac:dyDescent="0.25">
      <c r="C60" s="6">
        <v>4</v>
      </c>
      <c r="D60" t="s">
        <v>43</v>
      </c>
      <c r="G60" s="10">
        <v>0.92400000000000004</v>
      </c>
      <c r="H60" s="10">
        <v>0.93224929999999995</v>
      </c>
      <c r="I60" s="10">
        <v>0.86868690000000004</v>
      </c>
      <c r="J60" s="10">
        <v>0.89934639999999999</v>
      </c>
      <c r="K60" s="10">
        <v>0.31269999999999998</v>
      </c>
      <c r="L60" s="10">
        <v>0.97872340000000002</v>
      </c>
      <c r="M60" s="10">
        <v>0.23232320000000001</v>
      </c>
      <c r="N60" s="10">
        <v>0.37551020000000002</v>
      </c>
      <c r="O60" s="7" t="s">
        <v>24</v>
      </c>
      <c r="P60" s="7">
        <v>0</v>
      </c>
      <c r="Q60" s="7">
        <v>0.5</v>
      </c>
      <c r="R60" s="7">
        <v>0.5</v>
      </c>
      <c r="S60" s="10">
        <v>0</v>
      </c>
      <c r="T60" s="10">
        <v>0.1589333</v>
      </c>
      <c r="U60" s="10">
        <v>0.84106669999999994</v>
      </c>
      <c r="V60" s="7" t="s">
        <v>24</v>
      </c>
      <c r="W60" s="7" t="s">
        <v>24</v>
      </c>
      <c r="X60" s="7" t="s">
        <v>24</v>
      </c>
      <c r="Y60" s="10">
        <v>0.49709999999999999</v>
      </c>
      <c r="Z60" s="7" t="s">
        <v>24</v>
      </c>
      <c r="AA60" s="7">
        <v>0</v>
      </c>
      <c r="AB60" s="7" t="s">
        <v>24</v>
      </c>
      <c r="AC60" s="7" t="s">
        <v>24</v>
      </c>
      <c r="AD60" s="10">
        <v>0</v>
      </c>
      <c r="AE60" s="10">
        <v>0.5</v>
      </c>
      <c r="AF60" s="10">
        <v>0.5</v>
      </c>
      <c r="AG60" s="10">
        <v>0</v>
      </c>
      <c r="AH60" s="10">
        <v>0.1593</v>
      </c>
      <c r="AI60" s="10">
        <v>0.8407</v>
      </c>
      <c r="AJ60" s="7" t="s">
        <v>24</v>
      </c>
      <c r="AK60" s="7" t="s">
        <v>24</v>
      </c>
      <c r="AL60" s="7" t="s">
        <v>24</v>
      </c>
      <c r="AM60" s="10">
        <v>0.92749999999999999</v>
      </c>
      <c r="AN60" s="10">
        <v>0.94535519999999995</v>
      </c>
      <c r="AO60" s="10">
        <v>0.8737374</v>
      </c>
      <c r="AP60" s="10">
        <v>0.90813650000000001</v>
      </c>
      <c r="AQ60" s="10">
        <v>0.33700000000000002</v>
      </c>
      <c r="AR60" s="10">
        <v>0.97345130000000002</v>
      </c>
      <c r="AS60" s="10">
        <v>0.55555560000000004</v>
      </c>
      <c r="AT60" s="10"/>
      <c r="AU60" s="7" t="s">
        <v>24</v>
      </c>
      <c r="AV60" s="7">
        <v>0</v>
      </c>
      <c r="AW60" s="7">
        <v>0.5</v>
      </c>
      <c r="AX60" s="7">
        <v>0.5</v>
      </c>
      <c r="AY60" s="7">
        <v>0</v>
      </c>
      <c r="AZ60" s="10">
        <v>0.1605</v>
      </c>
      <c r="BA60" s="10">
        <v>0.83950000000000002</v>
      </c>
      <c r="BB60" s="7" t="s">
        <v>24</v>
      </c>
      <c r="BC60" s="7" t="s">
        <v>24</v>
      </c>
      <c r="BD60" s="7" t="s">
        <v>24</v>
      </c>
      <c r="BE60" s="10">
        <v>0.3931</v>
      </c>
      <c r="BF60" s="7" t="s">
        <v>24</v>
      </c>
      <c r="BG60" s="7">
        <v>0</v>
      </c>
      <c r="BH60" s="7" t="s">
        <v>24</v>
      </c>
      <c r="BI60" s="7" t="s">
        <v>24</v>
      </c>
      <c r="BJ60" s="7">
        <v>0</v>
      </c>
      <c r="BK60" s="7">
        <v>0.5</v>
      </c>
      <c r="BL60" s="7">
        <v>0.5</v>
      </c>
      <c r="BM60" s="7">
        <v>0</v>
      </c>
      <c r="BN60" s="10">
        <v>0.1624333</v>
      </c>
      <c r="BO60" s="10">
        <v>0.8375667</v>
      </c>
      <c r="BP60" s="7" t="s">
        <v>24</v>
      </c>
      <c r="BQ60" s="7" t="s">
        <v>24</v>
      </c>
      <c r="BR60" s="7" t="s">
        <v>24</v>
      </c>
      <c r="BS60" s="10">
        <v>0.37790000000000001</v>
      </c>
      <c r="BT60" s="10" t="s">
        <v>24</v>
      </c>
      <c r="BU60" s="10">
        <v>0</v>
      </c>
      <c r="BV60" s="10" t="s">
        <v>24</v>
      </c>
      <c r="BW60" s="7">
        <v>0.26469999999999999</v>
      </c>
      <c r="BX60" s="10" t="s">
        <v>24</v>
      </c>
      <c r="BY60" s="10">
        <v>0</v>
      </c>
      <c r="BZ60" s="10" t="s">
        <v>24</v>
      </c>
      <c r="CA60" s="10" t="s">
        <v>24</v>
      </c>
      <c r="CB60" s="7">
        <v>0</v>
      </c>
      <c r="CC60" s="7">
        <v>0.5</v>
      </c>
      <c r="CD60" s="7">
        <v>0.5</v>
      </c>
      <c r="CE60" s="7">
        <v>0</v>
      </c>
      <c r="CF60" s="10">
        <v>0.15559999999999999</v>
      </c>
      <c r="CG60" s="10">
        <v>0.84440000000000004</v>
      </c>
      <c r="CH60" s="7" t="s">
        <v>24</v>
      </c>
      <c r="CI60" s="7" t="s">
        <v>24</v>
      </c>
      <c r="CJ60" s="7" t="s">
        <v>24</v>
      </c>
      <c r="CK60" s="86">
        <v>0.39610000000000001</v>
      </c>
      <c r="CL60" s="10" t="s">
        <v>24</v>
      </c>
      <c r="CM60" s="10">
        <v>0</v>
      </c>
      <c r="CN60" s="10" t="s">
        <v>24</v>
      </c>
      <c r="CO60" s="10" t="s">
        <v>24</v>
      </c>
      <c r="CP60" s="7">
        <v>0.5</v>
      </c>
      <c r="CQ60" s="7">
        <v>0.5</v>
      </c>
      <c r="CR60" s="7">
        <v>0</v>
      </c>
      <c r="CS60" s="7">
        <v>0.54053329999999999</v>
      </c>
      <c r="CT60" s="10">
        <v>0.45946670000000001</v>
      </c>
      <c r="CU60" s="10">
        <v>0</v>
      </c>
      <c r="CV60" s="7" t="s">
        <v>24</v>
      </c>
      <c r="CW60" s="7" t="s">
        <v>24</v>
      </c>
      <c r="CX60" s="7" t="s">
        <v>24</v>
      </c>
      <c r="CY60" s="45">
        <v>0.92449999999999999</v>
      </c>
      <c r="CZ60" s="10">
        <v>0.93800539999999999</v>
      </c>
      <c r="DA60" s="10">
        <v>0.87878789999999996</v>
      </c>
      <c r="DB60" s="10">
        <v>0.9074316</v>
      </c>
      <c r="DC60" s="45">
        <v>0.34310000000000002</v>
      </c>
      <c r="DD60" s="10">
        <v>0.94811319999999999</v>
      </c>
      <c r="DE60" s="86">
        <v>0.50757580000000002</v>
      </c>
      <c r="DF60" s="10">
        <v>0.6611842</v>
      </c>
      <c r="DG60" s="65" t="s">
        <v>24</v>
      </c>
      <c r="DH60" s="7">
        <v>0</v>
      </c>
      <c r="DI60" s="7">
        <v>0.5</v>
      </c>
      <c r="DJ60" s="7">
        <v>0.5</v>
      </c>
      <c r="DK60" s="7">
        <v>0</v>
      </c>
      <c r="DL60" s="10">
        <v>0.15983330000000001</v>
      </c>
      <c r="DM60" s="10">
        <v>0.84016670000000004</v>
      </c>
      <c r="DN60" s="7" t="s">
        <v>24</v>
      </c>
      <c r="DO60" s="7" t="s">
        <v>24</v>
      </c>
      <c r="DP60" s="7" t="s">
        <v>24</v>
      </c>
      <c r="DQ60" s="45">
        <v>0.6623</v>
      </c>
      <c r="DR60" s="7" t="s">
        <v>24</v>
      </c>
      <c r="DS60" s="7">
        <v>0</v>
      </c>
      <c r="DT60" s="7" t="s">
        <v>24</v>
      </c>
      <c r="DU60" s="7" t="s">
        <v>24</v>
      </c>
      <c r="DV60" s="7">
        <v>0</v>
      </c>
      <c r="DW60" s="7">
        <v>0.5</v>
      </c>
      <c r="DX60" s="7">
        <v>0.5</v>
      </c>
      <c r="DY60" s="7">
        <v>0</v>
      </c>
      <c r="DZ60" s="10">
        <v>0.1584333</v>
      </c>
      <c r="EA60" s="10">
        <v>0.8415667</v>
      </c>
      <c r="EB60" s="7" t="s">
        <v>24</v>
      </c>
      <c r="EC60" s="7" t="s">
        <v>24</v>
      </c>
      <c r="ED60" s="7" t="s">
        <v>24</v>
      </c>
      <c r="EE60" s="46">
        <v>0.89439999999999997</v>
      </c>
      <c r="EF60" s="10">
        <v>0.85673350000000004</v>
      </c>
      <c r="EG60" s="10">
        <v>0.75505049999999996</v>
      </c>
      <c r="EH60" s="10">
        <v>0.80268459999999997</v>
      </c>
      <c r="EI60" s="45">
        <v>0.3473</v>
      </c>
      <c r="EJ60" s="10">
        <v>0.30861909999999998</v>
      </c>
      <c r="EK60" s="10">
        <v>0.84090909999999996</v>
      </c>
      <c r="EL60" s="10">
        <v>0.45152540000000002</v>
      </c>
      <c r="EM60" s="10" t="s">
        <v>24</v>
      </c>
      <c r="EN60" s="7">
        <v>0</v>
      </c>
      <c r="EO60" s="7">
        <v>0.5</v>
      </c>
      <c r="EP60" s="7">
        <v>0.5</v>
      </c>
      <c r="EQ60" s="7">
        <v>0</v>
      </c>
      <c r="ER60" s="10">
        <v>0.16159999999999999</v>
      </c>
      <c r="ES60" s="10">
        <v>0.83840000000000003</v>
      </c>
      <c r="ET60" s="7" t="s">
        <v>24</v>
      </c>
      <c r="EU60" s="7" t="s">
        <v>24</v>
      </c>
      <c r="EV60" s="7" t="s">
        <v>24</v>
      </c>
      <c r="EW60" s="45">
        <v>0.3473</v>
      </c>
      <c r="EX60" s="10">
        <v>0.30861909999999998</v>
      </c>
      <c r="EY60" s="86">
        <v>0.84090909999999996</v>
      </c>
      <c r="EZ60" s="10">
        <v>0.45152540000000002</v>
      </c>
      <c r="FA60" s="10" t="s">
        <v>24</v>
      </c>
      <c r="FB60" s="7">
        <v>0</v>
      </c>
      <c r="FC60" s="7">
        <v>0.5</v>
      </c>
      <c r="FD60" s="7">
        <v>0.5</v>
      </c>
      <c r="FE60" s="10">
        <v>0</v>
      </c>
      <c r="FF60" s="10">
        <v>0.1629333</v>
      </c>
      <c r="FG60" s="10">
        <v>0.83706670000000005</v>
      </c>
      <c r="FH60" s="7" t="s">
        <v>24</v>
      </c>
      <c r="FI60" s="7" t="s">
        <v>24</v>
      </c>
      <c r="FJ60" s="7" t="s">
        <v>24</v>
      </c>
    </row>
    <row r="61" spans="3:166" ht="17" thickBot="1" x14ac:dyDescent="0.25">
      <c r="C61" s="6"/>
      <c r="G61" s="14"/>
      <c r="H61" s="7"/>
      <c r="I61" s="7"/>
      <c r="J61" s="7"/>
      <c r="K61" s="14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14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4"/>
      <c r="AN61" s="7"/>
      <c r="AO61" s="7"/>
      <c r="AP61" s="1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14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14"/>
      <c r="BT61" s="7"/>
      <c r="BU61" s="7"/>
      <c r="BV61" s="7"/>
      <c r="BW61" s="14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14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14"/>
      <c r="CZ61" s="7"/>
      <c r="DA61" s="7"/>
      <c r="DB61" s="7"/>
      <c r="DC61" s="14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14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14"/>
      <c r="EF61" s="7"/>
      <c r="EG61" s="7"/>
      <c r="EH61" s="7"/>
      <c r="EI61" s="14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14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</row>
    <row r="62" spans="3:166" ht="17" thickBot="1" x14ac:dyDescent="0.25">
      <c r="C62" s="6">
        <v>5</v>
      </c>
      <c r="D62" t="s">
        <v>40</v>
      </c>
      <c r="G62" s="10">
        <v>0.92225369999999995</v>
      </c>
      <c r="H62" s="7"/>
      <c r="I62" s="7"/>
      <c r="J62" s="7"/>
      <c r="K62" s="14" t="s">
        <v>24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10">
        <v>0.71317830000000004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10">
        <v>0.92854890000000001</v>
      </c>
      <c r="AN62" s="7"/>
      <c r="AO62" s="7"/>
      <c r="AP62" s="17"/>
      <c r="AQ62" s="14" t="s">
        <v>24</v>
      </c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10">
        <v>0.50387599999999999</v>
      </c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10">
        <v>0.73937679999999995</v>
      </c>
      <c r="BT62" s="7"/>
      <c r="BU62" s="7"/>
      <c r="BV62" s="7"/>
      <c r="BW62" s="14" t="s">
        <v>24</v>
      </c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86">
        <v>0.7081712</v>
      </c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45">
        <v>0.92353680000000005</v>
      </c>
      <c r="CZ62" s="7"/>
      <c r="DA62" s="7"/>
      <c r="DB62" s="7"/>
      <c r="DC62" s="14" t="s">
        <v>24</v>
      </c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45">
        <v>0.72972970000000004</v>
      </c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46">
        <v>0.90805999999999998</v>
      </c>
      <c r="EF62" s="7"/>
      <c r="EG62" s="7"/>
      <c r="EH62" s="7"/>
      <c r="EI62" s="14" t="s">
        <v>24</v>
      </c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14" t="s">
        <v>24</v>
      </c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</row>
    <row r="63" spans="3:166" ht="17" thickBot="1" x14ac:dyDescent="0.25">
      <c r="C63" s="6">
        <v>5</v>
      </c>
      <c r="D63" t="s">
        <v>41</v>
      </c>
      <c r="G63" s="10">
        <v>0.91344040000000004</v>
      </c>
      <c r="H63" s="7"/>
      <c r="I63" s="7"/>
      <c r="J63" s="7"/>
      <c r="K63" s="14" t="s">
        <v>24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10">
        <v>0.73929959999999995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10">
        <v>0.93549400000000005</v>
      </c>
      <c r="AN63" s="7"/>
      <c r="AO63" s="7"/>
      <c r="AP63" s="17"/>
      <c r="AQ63" s="14" t="s">
        <v>24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10">
        <v>0.71042470000000002</v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10">
        <v>0.47434690000000002</v>
      </c>
      <c r="BT63" s="7"/>
      <c r="BU63" s="7"/>
      <c r="BV63" s="7"/>
      <c r="BW63" s="14" t="s">
        <v>24</v>
      </c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10">
        <v>0.73255809999999999</v>
      </c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45">
        <v>0.92414229999999997</v>
      </c>
      <c r="CZ63" s="7"/>
      <c r="DA63" s="7"/>
      <c r="DB63" s="7"/>
      <c r="DC63" s="14" t="s">
        <v>24</v>
      </c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86">
        <v>0.73151750000000004</v>
      </c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93">
        <v>0.89773440000000004</v>
      </c>
      <c r="EF63" s="7"/>
      <c r="EG63" s="7"/>
      <c r="EH63" s="7"/>
      <c r="EI63" s="14" t="s">
        <v>24</v>
      </c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14" t="s">
        <v>24</v>
      </c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</row>
    <row r="64" spans="3:166" ht="17" thickBot="1" x14ac:dyDescent="0.25">
      <c r="C64" s="6">
        <v>5</v>
      </c>
      <c r="D64" t="s">
        <v>42</v>
      </c>
      <c r="G64" s="10">
        <v>0.92571610000000004</v>
      </c>
      <c r="H64" s="7"/>
      <c r="I64" s="7"/>
      <c r="J64" s="7"/>
      <c r="K64" s="14" t="s">
        <v>24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 t="s">
        <v>24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10">
        <v>0.92947100000000005</v>
      </c>
      <c r="AN64" s="7"/>
      <c r="AO64" s="7"/>
      <c r="AP64" s="17"/>
      <c r="AQ64" s="14" t="s">
        <v>24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10">
        <v>0.73540859999999997</v>
      </c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10">
        <v>0.2603085</v>
      </c>
      <c r="BT64" s="7"/>
      <c r="BU64" s="7"/>
      <c r="BV64" s="7"/>
      <c r="BW64" s="14" t="s">
        <v>24</v>
      </c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10">
        <v>0.56370659999999995</v>
      </c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45">
        <v>0.93104529999999996</v>
      </c>
      <c r="CZ64" s="7"/>
      <c r="DA64" s="7"/>
      <c r="DB64" s="7"/>
      <c r="DC64" s="14" t="s">
        <v>24</v>
      </c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86">
        <v>0.748062</v>
      </c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93">
        <v>0.90273840000000005</v>
      </c>
      <c r="EF64" s="7"/>
      <c r="EG64" s="7"/>
      <c r="EH64" s="7"/>
      <c r="EI64" s="14" t="s">
        <v>24</v>
      </c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14" t="s">
        <v>24</v>
      </c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</row>
    <row r="65" spans="2:167" ht="17" thickBot="1" x14ac:dyDescent="0.25">
      <c r="C65" s="6">
        <v>5</v>
      </c>
      <c r="D65" t="s">
        <v>49</v>
      </c>
      <c r="G65" s="44">
        <f>AVERAGE(G62:G64)</f>
        <v>0.92047006666666675</v>
      </c>
      <c r="H65" s="7"/>
      <c r="I65" s="7"/>
      <c r="J65" s="7"/>
      <c r="K65" s="14" t="s">
        <v>24</v>
      </c>
      <c r="L65" s="7"/>
      <c r="M65" s="7"/>
      <c r="N65" s="7"/>
      <c r="O65" s="10" t="s">
        <v>24</v>
      </c>
      <c r="P65" s="7" t="s">
        <v>24</v>
      </c>
      <c r="Q65" s="7" t="s">
        <v>24</v>
      </c>
      <c r="R65" s="7" t="s">
        <v>24</v>
      </c>
      <c r="S65" s="7" t="s">
        <v>24</v>
      </c>
      <c r="T65" s="7" t="s">
        <v>24</v>
      </c>
      <c r="U65" s="7" t="s">
        <v>24</v>
      </c>
      <c r="V65" s="7" t="s">
        <v>24</v>
      </c>
      <c r="W65" s="7" t="s">
        <v>24</v>
      </c>
      <c r="X65" s="7" t="s">
        <v>24</v>
      </c>
      <c r="Y65" s="44">
        <f>AVERAGE(Y62:Y64)</f>
        <v>0.72623894999999994</v>
      </c>
      <c r="Z65" s="7"/>
      <c r="AA65" s="7"/>
      <c r="AB65" s="7"/>
      <c r="AC65" s="10" t="s">
        <v>24</v>
      </c>
      <c r="AD65" s="7" t="s">
        <v>24</v>
      </c>
      <c r="AE65" s="7" t="s">
        <v>24</v>
      </c>
      <c r="AF65" s="7" t="s">
        <v>24</v>
      </c>
      <c r="AG65" s="7" t="s">
        <v>24</v>
      </c>
      <c r="AH65" s="7" t="s">
        <v>24</v>
      </c>
      <c r="AI65" s="7" t="s">
        <v>24</v>
      </c>
      <c r="AJ65" s="7" t="s">
        <v>24</v>
      </c>
      <c r="AK65" s="7" t="s">
        <v>24</v>
      </c>
      <c r="AL65" s="7" t="s">
        <v>24</v>
      </c>
      <c r="AM65" s="44">
        <f>AVERAGE(AM62:AM64)</f>
        <v>0.93117130000000004</v>
      </c>
      <c r="AN65" s="7"/>
      <c r="AO65" s="7"/>
      <c r="AP65" s="17"/>
      <c r="AQ65" s="14" t="s">
        <v>24</v>
      </c>
      <c r="AR65" s="7"/>
      <c r="AS65" s="7"/>
      <c r="AT65" s="7"/>
      <c r="AU65" s="10" t="s">
        <v>24</v>
      </c>
      <c r="AV65" s="7" t="s">
        <v>24</v>
      </c>
      <c r="AW65" s="7" t="s">
        <v>24</v>
      </c>
      <c r="AX65" s="7" t="s">
        <v>24</v>
      </c>
      <c r="AY65" s="7" t="s">
        <v>24</v>
      </c>
      <c r="AZ65" s="7" t="s">
        <v>24</v>
      </c>
      <c r="BA65" s="7" t="s">
        <v>24</v>
      </c>
      <c r="BB65" s="7" t="s">
        <v>24</v>
      </c>
      <c r="BC65" s="7" t="s">
        <v>24</v>
      </c>
      <c r="BD65" s="7" t="s">
        <v>24</v>
      </c>
      <c r="BE65" s="42">
        <f>AVERAGE(BE62:BE64)</f>
        <v>0.64990309999999996</v>
      </c>
      <c r="BF65" s="7"/>
      <c r="BG65" s="7"/>
      <c r="BH65" s="7"/>
      <c r="BI65" s="10">
        <v>5.9580000000000001E-2</v>
      </c>
      <c r="BJ65" s="7">
        <v>0</v>
      </c>
      <c r="BK65" s="7">
        <v>0.25</v>
      </c>
      <c r="BL65" s="7">
        <v>0.75</v>
      </c>
      <c r="BM65" s="7">
        <v>0</v>
      </c>
      <c r="BN65" s="10">
        <v>8.633333E-3</v>
      </c>
      <c r="BO65" s="49">
        <v>0.99136670000000005</v>
      </c>
      <c r="BP65" s="10">
        <v>3.627002E-2</v>
      </c>
      <c r="BQ65" s="10">
        <v>4.8784900000000001E-3</v>
      </c>
      <c r="BR65" s="28">
        <v>0.95885149999999997</v>
      </c>
      <c r="BS65" s="44">
        <f>AVERAGE(BS62:BS64)</f>
        <v>0.49134406666666669</v>
      </c>
      <c r="BT65" s="7"/>
      <c r="BU65" s="7"/>
      <c r="BV65" s="7"/>
      <c r="BW65" s="14" t="s">
        <v>24</v>
      </c>
      <c r="BX65" s="7"/>
      <c r="BY65" s="7"/>
      <c r="BZ65" s="7"/>
      <c r="CA65" s="10" t="s">
        <v>24</v>
      </c>
      <c r="CB65" s="7" t="s">
        <v>24</v>
      </c>
      <c r="CC65" s="7" t="s">
        <v>24</v>
      </c>
      <c r="CD65" s="7" t="s">
        <v>24</v>
      </c>
      <c r="CE65" s="7" t="s">
        <v>24</v>
      </c>
      <c r="CF65" s="7" t="s">
        <v>24</v>
      </c>
      <c r="CG65" s="7" t="s">
        <v>24</v>
      </c>
      <c r="CH65" s="7" t="s">
        <v>24</v>
      </c>
      <c r="CI65" s="7" t="s">
        <v>24</v>
      </c>
      <c r="CJ65" s="7" t="s">
        <v>24</v>
      </c>
      <c r="CK65" s="44">
        <f>AVERAGE(CK62:CK64)</f>
        <v>0.66814529999999994</v>
      </c>
      <c r="CL65" s="7"/>
      <c r="CM65" s="7"/>
      <c r="CN65" s="7"/>
      <c r="CO65" s="10">
        <v>0.23369999999999999</v>
      </c>
      <c r="CP65" s="7">
        <v>0.5</v>
      </c>
      <c r="CQ65" s="7">
        <v>0.25</v>
      </c>
      <c r="CR65" s="7">
        <v>0.25</v>
      </c>
      <c r="CS65" s="10">
        <v>0.87429999999999997</v>
      </c>
      <c r="CT65" s="10">
        <v>1.496667E-2</v>
      </c>
      <c r="CU65" s="7">
        <v>0.11073330000000001</v>
      </c>
      <c r="CV65" s="10">
        <v>0.84895670000000001</v>
      </c>
      <c r="CW65" s="10">
        <v>1.9686220000000001E-2</v>
      </c>
      <c r="CX65" s="10">
        <v>0.1313571</v>
      </c>
      <c r="CY65" s="44">
        <f>AVERAGE(CY62:CY64)</f>
        <v>0.92624146666666674</v>
      </c>
      <c r="CZ65" s="7"/>
      <c r="DA65" s="7"/>
      <c r="DB65" s="7"/>
      <c r="DC65" s="14" t="s">
        <v>24</v>
      </c>
      <c r="DD65" s="7"/>
      <c r="DE65" s="7"/>
      <c r="DF65" s="7"/>
      <c r="DG65" s="10" t="s">
        <v>24</v>
      </c>
      <c r="DH65" s="7" t="s">
        <v>24</v>
      </c>
      <c r="DI65" s="7" t="s">
        <v>24</v>
      </c>
      <c r="DJ65" s="7" t="s">
        <v>24</v>
      </c>
      <c r="DK65" s="7" t="s">
        <v>24</v>
      </c>
      <c r="DL65" s="7" t="s">
        <v>24</v>
      </c>
      <c r="DM65" s="7" t="s">
        <v>24</v>
      </c>
      <c r="DN65" s="7" t="s">
        <v>24</v>
      </c>
      <c r="DO65" s="7" t="s">
        <v>24</v>
      </c>
      <c r="DP65" s="7" t="s">
        <v>24</v>
      </c>
      <c r="DQ65" s="42">
        <f>AVERAGE(DQ62:DQ64)</f>
        <v>0.73643639999999999</v>
      </c>
      <c r="DR65" s="7"/>
      <c r="DS65" s="7"/>
      <c r="DT65" s="7"/>
      <c r="DU65" s="10">
        <v>1.482E-3</v>
      </c>
      <c r="DV65" s="7">
        <v>0</v>
      </c>
      <c r="DW65" s="7">
        <v>0.25</v>
      </c>
      <c r="DX65" s="7">
        <v>0.75</v>
      </c>
      <c r="DY65" s="7">
        <v>0</v>
      </c>
      <c r="DZ65" s="10">
        <v>8.5000000000000006E-3</v>
      </c>
      <c r="EA65" s="49">
        <v>0.99150000000000005</v>
      </c>
      <c r="EB65" s="10">
        <v>8.9134529999999998E-4</v>
      </c>
      <c r="EC65" s="86">
        <v>2.0862929999999999E-4</v>
      </c>
      <c r="ED65" s="89">
        <v>0.99890000000000001</v>
      </c>
      <c r="EE65" s="44">
        <f>AVERAGE(EE62:EE64)</f>
        <v>0.90284426666666662</v>
      </c>
      <c r="EF65" s="7"/>
      <c r="EG65" s="7"/>
      <c r="EH65" s="7"/>
      <c r="EI65" s="14" t="s">
        <v>24</v>
      </c>
      <c r="EJ65" s="7"/>
      <c r="EK65" s="7"/>
      <c r="EL65" s="7"/>
      <c r="EM65" s="10" t="s">
        <v>24</v>
      </c>
      <c r="EN65" s="7" t="s">
        <v>24</v>
      </c>
      <c r="EO65" s="7" t="s">
        <v>24</v>
      </c>
      <c r="EP65" s="7" t="s">
        <v>24</v>
      </c>
      <c r="EQ65" s="7" t="s">
        <v>24</v>
      </c>
      <c r="ER65" s="7" t="s">
        <v>24</v>
      </c>
      <c r="ES65" s="7" t="s">
        <v>24</v>
      </c>
      <c r="ET65" s="7" t="s">
        <v>24</v>
      </c>
      <c r="EU65" s="7" t="s">
        <v>24</v>
      </c>
      <c r="EV65" s="7" t="s">
        <v>24</v>
      </c>
      <c r="EW65" s="14" t="s">
        <v>24</v>
      </c>
      <c r="EX65" s="7"/>
      <c r="EY65" s="7"/>
      <c r="EZ65" s="7"/>
      <c r="FA65" s="10" t="s">
        <v>24</v>
      </c>
      <c r="FB65" s="7" t="s">
        <v>24</v>
      </c>
      <c r="FC65" s="7" t="s">
        <v>24</v>
      </c>
      <c r="FD65" s="7" t="s">
        <v>24</v>
      </c>
      <c r="FE65" s="7" t="s">
        <v>24</v>
      </c>
      <c r="FF65" s="7" t="s">
        <v>24</v>
      </c>
      <c r="FG65" s="7" t="s">
        <v>24</v>
      </c>
      <c r="FH65" s="7" t="s">
        <v>24</v>
      </c>
      <c r="FI65" s="7" t="s">
        <v>24</v>
      </c>
      <c r="FJ65" s="7" t="s">
        <v>24</v>
      </c>
    </row>
    <row r="66" spans="2:167" x14ac:dyDescent="0.2">
      <c r="C66" s="6">
        <v>5</v>
      </c>
      <c r="D66" t="s">
        <v>43</v>
      </c>
      <c r="G66" s="10">
        <v>0.92400000000000004</v>
      </c>
      <c r="H66" s="10">
        <v>0.93224929999999995</v>
      </c>
      <c r="I66" s="10">
        <v>0.86868690000000004</v>
      </c>
      <c r="J66" s="10">
        <v>0.89934639999999999</v>
      </c>
      <c r="K66" s="45" t="s">
        <v>24</v>
      </c>
      <c r="L66" s="7" t="s">
        <v>24</v>
      </c>
      <c r="M66" s="10" t="s">
        <v>24</v>
      </c>
      <c r="N66" s="7" t="s">
        <v>24</v>
      </c>
      <c r="O66" s="10" t="s">
        <v>24</v>
      </c>
      <c r="P66" s="7" t="s">
        <v>24</v>
      </c>
      <c r="Q66" s="7" t="s">
        <v>24</v>
      </c>
      <c r="R66" s="7" t="s">
        <v>24</v>
      </c>
      <c r="S66" s="7" t="s">
        <v>24</v>
      </c>
      <c r="T66" s="7" t="s">
        <v>24</v>
      </c>
      <c r="U66" s="7" t="s">
        <v>24</v>
      </c>
      <c r="V66" s="7" t="s">
        <v>24</v>
      </c>
      <c r="W66" s="7" t="s">
        <v>24</v>
      </c>
      <c r="X66" s="7" t="s">
        <v>24</v>
      </c>
      <c r="Y66" s="10">
        <v>0.41909999999999997</v>
      </c>
      <c r="Z66" s="7" t="s">
        <v>24</v>
      </c>
      <c r="AA66" s="7">
        <v>0</v>
      </c>
      <c r="AB66" s="7" t="s">
        <v>24</v>
      </c>
      <c r="AC66" s="7" t="s">
        <v>24</v>
      </c>
      <c r="AD66" s="10">
        <v>0</v>
      </c>
      <c r="AE66" s="10">
        <v>0.5</v>
      </c>
      <c r="AF66" s="10">
        <v>0.5</v>
      </c>
      <c r="AG66" s="10">
        <v>0</v>
      </c>
      <c r="AH66" s="10">
        <v>0.15570000000000001</v>
      </c>
      <c r="AI66" s="10">
        <v>0.84430000000000005</v>
      </c>
      <c r="AJ66" s="7" t="s">
        <v>24</v>
      </c>
      <c r="AK66" s="7" t="s">
        <v>24</v>
      </c>
      <c r="AL66" s="7" t="s">
        <v>24</v>
      </c>
      <c r="AM66" s="10">
        <v>0.92749999999999999</v>
      </c>
      <c r="AN66" s="10">
        <v>0.94535519999999995</v>
      </c>
      <c r="AO66" s="10">
        <v>0.8737374</v>
      </c>
      <c r="AP66" s="10">
        <v>0.90813650000000001</v>
      </c>
      <c r="AQ66" s="45" t="s">
        <v>24</v>
      </c>
      <c r="AR66" s="7" t="s">
        <v>24</v>
      </c>
      <c r="AS66" s="10" t="s">
        <v>24</v>
      </c>
      <c r="AT66" s="7" t="s">
        <v>24</v>
      </c>
      <c r="AU66" s="10" t="s">
        <v>24</v>
      </c>
      <c r="AV66" s="7" t="s">
        <v>24</v>
      </c>
      <c r="AW66" s="7" t="s">
        <v>24</v>
      </c>
      <c r="AX66" s="7" t="s">
        <v>24</v>
      </c>
      <c r="AY66" s="7" t="s">
        <v>24</v>
      </c>
      <c r="AZ66" s="7" t="s">
        <v>24</v>
      </c>
      <c r="BA66" s="7" t="s">
        <v>24</v>
      </c>
      <c r="BB66" s="7" t="s">
        <v>24</v>
      </c>
      <c r="BC66" s="7" t="s">
        <v>24</v>
      </c>
      <c r="BD66" s="7" t="s">
        <v>24</v>
      </c>
      <c r="BE66" s="10">
        <v>0.30049999999999999</v>
      </c>
      <c r="BF66" s="7" t="s">
        <v>24</v>
      </c>
      <c r="BG66" s="7">
        <v>0</v>
      </c>
      <c r="BH66" s="7" t="s">
        <v>24</v>
      </c>
      <c r="BI66" s="7" t="s">
        <v>24</v>
      </c>
      <c r="BJ66" s="7">
        <v>0</v>
      </c>
      <c r="BK66" s="7">
        <v>0.5</v>
      </c>
      <c r="BL66" s="7">
        <v>0.5</v>
      </c>
      <c r="BM66" s="7">
        <v>0</v>
      </c>
      <c r="BN66" s="10">
        <v>0.1574333</v>
      </c>
      <c r="BO66" s="10">
        <v>0.8425667</v>
      </c>
      <c r="BP66" s="7" t="s">
        <v>24</v>
      </c>
      <c r="BQ66" s="7" t="s">
        <v>24</v>
      </c>
      <c r="BR66" s="7" t="s">
        <v>24</v>
      </c>
      <c r="BS66" s="10">
        <v>0.37790000000000001</v>
      </c>
      <c r="BT66" s="10" t="s">
        <v>24</v>
      </c>
      <c r="BU66" s="10">
        <v>0</v>
      </c>
      <c r="BV66" s="10" t="s">
        <v>24</v>
      </c>
      <c r="BW66" s="45" t="s">
        <v>24</v>
      </c>
      <c r="BX66" s="7" t="s">
        <v>24</v>
      </c>
      <c r="BY66" s="10" t="s">
        <v>24</v>
      </c>
      <c r="BZ66" s="7" t="s">
        <v>24</v>
      </c>
      <c r="CA66" s="10" t="s">
        <v>24</v>
      </c>
      <c r="CB66" s="7" t="s">
        <v>24</v>
      </c>
      <c r="CC66" s="7" t="s">
        <v>24</v>
      </c>
      <c r="CD66" s="7" t="s">
        <v>24</v>
      </c>
      <c r="CE66" s="7" t="s">
        <v>24</v>
      </c>
      <c r="CF66" s="7" t="s">
        <v>24</v>
      </c>
      <c r="CG66" s="7" t="s">
        <v>24</v>
      </c>
      <c r="CH66" s="7" t="s">
        <v>24</v>
      </c>
      <c r="CI66" s="7" t="s">
        <v>24</v>
      </c>
      <c r="CJ66" s="7" t="s">
        <v>24</v>
      </c>
      <c r="CK66" s="10">
        <v>0.38009999999999999</v>
      </c>
      <c r="CL66" s="7" t="s">
        <v>24</v>
      </c>
      <c r="CM66" s="7">
        <v>0</v>
      </c>
      <c r="CN66" s="7" t="s">
        <v>24</v>
      </c>
      <c r="CO66" s="7" t="s">
        <v>24</v>
      </c>
      <c r="CP66" s="7">
        <v>0</v>
      </c>
      <c r="CQ66" s="7">
        <v>1</v>
      </c>
      <c r="CR66" s="7">
        <v>0</v>
      </c>
      <c r="CS66" s="7">
        <v>0</v>
      </c>
      <c r="CT66" s="10">
        <v>1</v>
      </c>
      <c r="CU66" s="10">
        <v>0</v>
      </c>
      <c r="CV66" s="7" t="s">
        <v>24</v>
      </c>
      <c r="CW66" s="7" t="s">
        <v>24</v>
      </c>
      <c r="CX66" s="7" t="s">
        <v>24</v>
      </c>
      <c r="CY66" s="45">
        <v>0.92449999999999999</v>
      </c>
      <c r="CZ66" s="10">
        <v>0.93800539999999999</v>
      </c>
      <c r="DA66" s="10">
        <v>0.87878789999999996</v>
      </c>
      <c r="DB66" s="10">
        <v>0.9074316</v>
      </c>
      <c r="DC66" s="45" t="s">
        <v>24</v>
      </c>
      <c r="DD66" s="7" t="s">
        <v>24</v>
      </c>
      <c r="DE66" s="10" t="s">
        <v>24</v>
      </c>
      <c r="DF66" s="7" t="s">
        <v>24</v>
      </c>
      <c r="DG66" s="10" t="s">
        <v>24</v>
      </c>
      <c r="DH66" s="7" t="s">
        <v>24</v>
      </c>
      <c r="DI66" s="7" t="s">
        <v>24</v>
      </c>
      <c r="DJ66" s="7" t="s">
        <v>24</v>
      </c>
      <c r="DK66" s="7" t="s">
        <v>24</v>
      </c>
      <c r="DL66" s="7" t="s">
        <v>24</v>
      </c>
      <c r="DM66" s="7" t="s">
        <v>24</v>
      </c>
      <c r="DN66" s="7" t="s">
        <v>24</v>
      </c>
      <c r="DO66" s="7" t="s">
        <v>24</v>
      </c>
      <c r="DP66" s="7" t="s">
        <v>24</v>
      </c>
      <c r="DQ66" s="45">
        <v>0.56589999999999996</v>
      </c>
      <c r="DR66" s="7" t="s">
        <v>24</v>
      </c>
      <c r="DS66" s="7">
        <v>0</v>
      </c>
      <c r="DT66" s="7" t="s">
        <v>24</v>
      </c>
      <c r="DU66" s="7" t="s">
        <v>24</v>
      </c>
      <c r="DV66" s="7">
        <v>0</v>
      </c>
      <c r="DW66" s="7">
        <v>0.5</v>
      </c>
      <c r="DX66" s="7">
        <v>0.5</v>
      </c>
      <c r="DY66" s="7">
        <v>0</v>
      </c>
      <c r="DZ66" s="10">
        <v>0.15676670000000001</v>
      </c>
      <c r="EA66" s="10">
        <v>0.84323329999999996</v>
      </c>
      <c r="EB66" s="7" t="s">
        <v>24</v>
      </c>
      <c r="EC66" s="7" t="s">
        <v>24</v>
      </c>
      <c r="ED66" s="7" t="s">
        <v>24</v>
      </c>
      <c r="EE66" s="46">
        <v>0.89439999999999997</v>
      </c>
      <c r="EF66" s="10">
        <v>0.85673350000000004</v>
      </c>
      <c r="EG66" s="10">
        <v>0.75505049999999996</v>
      </c>
      <c r="EH66" s="10">
        <v>0.80268459999999997</v>
      </c>
      <c r="EI66" s="45" t="s">
        <v>24</v>
      </c>
      <c r="EJ66" s="7" t="s">
        <v>24</v>
      </c>
      <c r="EK66" s="10" t="s">
        <v>24</v>
      </c>
      <c r="EL66" s="7" t="s">
        <v>24</v>
      </c>
      <c r="EM66" s="10" t="s">
        <v>24</v>
      </c>
      <c r="EN66" s="7" t="s">
        <v>24</v>
      </c>
      <c r="EO66" s="7" t="s">
        <v>24</v>
      </c>
      <c r="EP66" s="7" t="s">
        <v>24</v>
      </c>
      <c r="EQ66" s="7" t="s">
        <v>24</v>
      </c>
      <c r="ER66" s="7" t="s">
        <v>24</v>
      </c>
      <c r="ES66" s="7" t="s">
        <v>24</v>
      </c>
      <c r="ET66" s="7" t="s">
        <v>24</v>
      </c>
      <c r="EU66" s="7" t="s">
        <v>24</v>
      </c>
      <c r="EV66" s="7" t="s">
        <v>24</v>
      </c>
      <c r="EW66" s="45" t="s">
        <v>24</v>
      </c>
      <c r="EX66" s="7" t="s">
        <v>24</v>
      </c>
      <c r="EY66" s="10" t="s">
        <v>24</v>
      </c>
      <c r="EZ66" s="7" t="s">
        <v>24</v>
      </c>
      <c r="FA66" s="10" t="s">
        <v>24</v>
      </c>
      <c r="FB66" s="7" t="s">
        <v>24</v>
      </c>
      <c r="FC66" s="7" t="s">
        <v>24</v>
      </c>
      <c r="FD66" s="7" t="s">
        <v>24</v>
      </c>
      <c r="FE66" s="7" t="s">
        <v>24</v>
      </c>
      <c r="FF66" s="7" t="s">
        <v>24</v>
      </c>
      <c r="FG66" s="7" t="s">
        <v>24</v>
      </c>
      <c r="FH66" s="7" t="s">
        <v>24</v>
      </c>
      <c r="FI66" s="7" t="s">
        <v>24</v>
      </c>
      <c r="FJ66" s="7" t="s">
        <v>24</v>
      </c>
    </row>
    <row r="67" spans="2:167" s="23" customFormat="1" ht="17" thickBot="1" x14ac:dyDescent="0.25">
      <c r="G67" s="25"/>
      <c r="H67" s="24"/>
      <c r="I67" s="24"/>
      <c r="J67" s="24"/>
      <c r="K67" s="25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5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5"/>
      <c r="AN67" s="24"/>
      <c r="AO67" s="24"/>
      <c r="AP67" s="26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5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5"/>
      <c r="BT67" s="24"/>
      <c r="BU67" s="24"/>
      <c r="BV67" s="24"/>
      <c r="BW67" s="25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5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5"/>
      <c r="CZ67" s="24"/>
      <c r="DA67" s="24"/>
      <c r="DB67" s="24"/>
      <c r="DC67" s="25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5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5"/>
      <c r="EF67" s="24"/>
      <c r="EG67" s="24"/>
      <c r="EH67" s="24"/>
      <c r="EI67" s="25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5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6"/>
      <c r="FK67" s="21"/>
    </row>
    <row r="68" spans="2:167" x14ac:dyDescent="0.2">
      <c r="G68" s="14"/>
      <c r="H68" s="7"/>
      <c r="I68" s="7"/>
      <c r="J68" s="7"/>
      <c r="K68" s="1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14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4"/>
      <c r="AN68" s="7"/>
      <c r="AO68" s="7"/>
      <c r="AP68" s="1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14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14"/>
      <c r="BT68" s="7"/>
      <c r="BU68" s="7"/>
      <c r="BV68" s="7"/>
      <c r="BW68" s="14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14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14"/>
      <c r="CZ68" s="7"/>
      <c r="DA68" s="7"/>
      <c r="DB68" s="7"/>
      <c r="DC68" s="14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14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14"/>
      <c r="EF68" s="7"/>
      <c r="EG68" s="7"/>
      <c r="EH68" s="7"/>
      <c r="EI68" s="14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14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</row>
    <row r="69" spans="2:167" x14ac:dyDescent="0.2">
      <c r="G69" s="14"/>
      <c r="H69" s="7"/>
      <c r="I69" s="7"/>
      <c r="J69" s="7"/>
      <c r="K69" s="1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14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4"/>
      <c r="AN69" s="7"/>
      <c r="AO69" s="7"/>
      <c r="AP69" s="1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14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14"/>
      <c r="BT69" s="7"/>
      <c r="BU69" s="7"/>
      <c r="BV69" s="7"/>
      <c r="BW69" s="14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14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14"/>
      <c r="CZ69" s="7"/>
      <c r="DA69" s="7"/>
      <c r="DB69" s="7"/>
      <c r="DC69" s="14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14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14"/>
      <c r="EF69" s="7"/>
      <c r="EG69" s="7"/>
      <c r="EH69" s="7"/>
      <c r="EI69" s="14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14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</row>
    <row r="70" spans="2:167" x14ac:dyDescent="0.2">
      <c r="B70" s="3" t="s">
        <v>11</v>
      </c>
      <c r="E70" s="3">
        <v>17898</v>
      </c>
      <c r="F70" s="3">
        <v>9</v>
      </c>
      <c r="G70" s="14"/>
      <c r="H70" s="7"/>
      <c r="I70" s="7"/>
      <c r="J70" s="7"/>
      <c r="K70" s="1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14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"/>
      <c r="AN70" s="7"/>
      <c r="AO70" s="7"/>
      <c r="AP70" s="1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14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14"/>
      <c r="BT70" s="7"/>
      <c r="BU70" s="7"/>
      <c r="BV70" s="7"/>
      <c r="BW70" s="14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14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14"/>
      <c r="CZ70" s="7"/>
      <c r="DA70" s="7"/>
      <c r="DB70" s="7"/>
      <c r="DC70" s="14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14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14"/>
      <c r="EF70" s="7"/>
      <c r="EG70" s="7"/>
      <c r="EH70" s="7"/>
      <c r="EI70" s="14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14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</row>
    <row r="71" spans="2:167" x14ac:dyDescent="0.2">
      <c r="C71" s="6">
        <v>1</v>
      </c>
      <c r="D71" t="s">
        <v>40</v>
      </c>
      <c r="G71" s="10">
        <v>0.97868770000000005</v>
      </c>
      <c r="H71" s="7"/>
      <c r="I71" s="7"/>
      <c r="J71" s="7"/>
      <c r="K71" s="10">
        <v>0.99458409999999997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45">
        <v>0.96362130000000001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45">
        <v>0.97797460000000003</v>
      </c>
      <c r="AN71" s="7"/>
      <c r="AO71" s="7"/>
      <c r="AP71" s="17"/>
      <c r="AQ71" s="10">
        <v>0.99419729999999995</v>
      </c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10">
        <v>0.98836310000000005</v>
      </c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45">
        <v>0.98036400000000001</v>
      </c>
      <c r="BT71" s="7"/>
      <c r="BU71" s="7"/>
      <c r="BV71" s="7"/>
      <c r="BW71" s="10">
        <v>0.99439069999999996</v>
      </c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10">
        <v>0.9644334</v>
      </c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10">
        <v>0.97845340000000003</v>
      </c>
      <c r="CZ71" s="7"/>
      <c r="DA71" s="7"/>
      <c r="DB71" s="7"/>
      <c r="DC71" s="10">
        <v>0.99419729999999995</v>
      </c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10">
        <v>0.96319270000000001</v>
      </c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53">
        <v>0.96312260000000005</v>
      </c>
      <c r="EF71" s="7"/>
      <c r="EG71" s="7"/>
      <c r="EH71" s="7"/>
      <c r="EI71" s="10">
        <v>0.98684720000000004</v>
      </c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10">
        <v>0.95411330000000005</v>
      </c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</row>
    <row r="72" spans="2:167" x14ac:dyDescent="0.2">
      <c r="C72" s="6">
        <v>1</v>
      </c>
      <c r="D72" t="s">
        <v>41</v>
      </c>
      <c r="G72" s="10">
        <v>0.97701150000000003</v>
      </c>
      <c r="H72" s="7"/>
      <c r="I72" s="7"/>
      <c r="J72" s="7"/>
      <c r="K72" s="10">
        <v>0.99458409999999997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45">
        <v>0.96608769999999999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45">
        <v>0.98060340000000001</v>
      </c>
      <c r="AN72" s="7"/>
      <c r="AO72" s="7"/>
      <c r="AP72" s="17"/>
      <c r="AQ72" s="10">
        <v>0.99438959999999998</v>
      </c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10">
        <v>0.98836310000000005</v>
      </c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45">
        <v>0.97893220000000003</v>
      </c>
      <c r="BT72" s="7"/>
      <c r="BU72" s="7"/>
      <c r="BV72" s="7"/>
      <c r="BW72" s="10">
        <v>0.99419840000000004</v>
      </c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10">
        <v>0.97312940000000003</v>
      </c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10">
        <v>0.98251920000000004</v>
      </c>
      <c r="CZ72" s="7"/>
      <c r="DA72" s="7"/>
      <c r="DB72" s="7"/>
      <c r="DC72" s="10">
        <v>0.99439069999999996</v>
      </c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10">
        <v>0.97106239999999999</v>
      </c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53">
        <v>0.96576490000000004</v>
      </c>
      <c r="EF72" s="7"/>
      <c r="EG72" s="7"/>
      <c r="EH72" s="7"/>
      <c r="EI72" s="10">
        <v>0.99129590000000001</v>
      </c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10">
        <v>0.95119929999999997</v>
      </c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</row>
    <row r="73" spans="2:167" x14ac:dyDescent="0.2">
      <c r="C73" s="6">
        <v>1</v>
      </c>
      <c r="D73" t="s">
        <v>42</v>
      </c>
      <c r="G73" s="10">
        <v>0.98324160000000005</v>
      </c>
      <c r="H73" s="7"/>
      <c r="I73" s="7"/>
      <c r="J73" s="7"/>
      <c r="K73" s="10">
        <v>0.99400390000000005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45">
        <v>0.97270469999999998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45">
        <v>0.9789272</v>
      </c>
      <c r="AN73" s="7"/>
      <c r="AO73" s="7"/>
      <c r="AP73" s="17"/>
      <c r="AQ73" s="10">
        <v>0.99419840000000004</v>
      </c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14">
        <v>0.98759209999999997</v>
      </c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45">
        <v>0.98036400000000001</v>
      </c>
      <c r="BT73" s="7"/>
      <c r="BU73" s="7"/>
      <c r="BV73" s="7"/>
      <c r="BW73" s="10">
        <v>0.99438959999999998</v>
      </c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10">
        <v>0.96939620000000004</v>
      </c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10">
        <v>0.97701150000000003</v>
      </c>
      <c r="CZ73" s="7"/>
      <c r="DA73" s="7"/>
      <c r="DB73" s="7"/>
      <c r="DC73" s="10">
        <v>0.99439069999999996</v>
      </c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10">
        <v>0.96526049999999997</v>
      </c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53">
        <v>0.95929120000000001</v>
      </c>
      <c r="EF73" s="7"/>
      <c r="EG73" s="7"/>
      <c r="EH73" s="7"/>
      <c r="EI73" s="10">
        <v>0.99187619999999999</v>
      </c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10">
        <v>0.9520265</v>
      </c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</row>
    <row r="74" spans="2:167" x14ac:dyDescent="0.2">
      <c r="C74" s="6">
        <v>1</v>
      </c>
      <c r="D74" t="s">
        <v>60</v>
      </c>
      <c r="G74" s="44">
        <f>AVERAGE(G71:G73)</f>
        <v>0.97964693333333341</v>
      </c>
      <c r="H74" s="7"/>
      <c r="I74" s="7"/>
      <c r="J74" s="7"/>
      <c r="K74" s="44">
        <f>AVERAGE(K71:K73)</f>
        <v>0.99439069999999996</v>
      </c>
      <c r="L74" s="7"/>
      <c r="M74" s="7"/>
      <c r="N74" s="7"/>
      <c r="O74" s="10">
        <v>1.4919999999999999E-2</v>
      </c>
      <c r="P74" s="7">
        <v>0.75</v>
      </c>
      <c r="Q74" s="7">
        <v>0.25</v>
      </c>
      <c r="R74" s="7">
        <v>0</v>
      </c>
      <c r="S74" s="10">
        <v>0.83450000000000002</v>
      </c>
      <c r="T74" s="10">
        <v>0.16550000000000001</v>
      </c>
      <c r="U74" s="7">
        <v>0</v>
      </c>
      <c r="V74" s="10">
        <v>0.92363899999999999</v>
      </c>
      <c r="W74" s="10">
        <v>7.2788580000000005E-2</v>
      </c>
      <c r="X74" s="10">
        <v>3.5724469999999999E-3</v>
      </c>
      <c r="Y74" s="44">
        <f>AVERAGE(Y71:Y73)</f>
        <v>0.96747123333333329</v>
      </c>
      <c r="Z74" s="7"/>
      <c r="AA74" s="7"/>
      <c r="AB74" s="7"/>
      <c r="AC74" s="10">
        <v>0.1106</v>
      </c>
      <c r="AD74" s="7">
        <v>0</v>
      </c>
      <c r="AE74" s="7">
        <v>0.5</v>
      </c>
      <c r="AF74" s="7">
        <v>0.5</v>
      </c>
      <c r="AG74" s="7">
        <v>0</v>
      </c>
      <c r="AH74" s="10">
        <v>0.48456670000000002</v>
      </c>
      <c r="AI74" s="10">
        <v>0.51543329999999998</v>
      </c>
      <c r="AJ74" s="10">
        <v>2.460942E-2</v>
      </c>
      <c r="AK74" s="10">
        <v>0.33125789999999999</v>
      </c>
      <c r="AL74" s="10">
        <v>0.6441327</v>
      </c>
      <c r="AM74" s="44">
        <f>AVERAGE(AM71:AM73)</f>
        <v>0.97916840000000016</v>
      </c>
      <c r="AN74" s="7"/>
      <c r="AO74" s="7"/>
      <c r="AP74" s="17"/>
      <c r="AQ74" s="44">
        <f>AVERAGE(AQ71:AQ73)</f>
        <v>0.99426176666666677</v>
      </c>
      <c r="AR74" s="7"/>
      <c r="AS74" s="7"/>
      <c r="AT74" s="7"/>
      <c r="AU74" s="10">
        <v>2.199E-3</v>
      </c>
      <c r="AV74" s="7">
        <v>0.75</v>
      </c>
      <c r="AW74" s="7">
        <v>0.25</v>
      </c>
      <c r="AX74" s="7">
        <v>0</v>
      </c>
      <c r="AY74" s="53">
        <v>0.83809999999999996</v>
      </c>
      <c r="AZ74" s="10">
        <v>0.16189999999999999</v>
      </c>
      <c r="BA74" s="7">
        <v>0</v>
      </c>
      <c r="BB74" s="28">
        <v>0.98756359999999999</v>
      </c>
      <c r="BC74" s="10">
        <v>1.190506E-2</v>
      </c>
      <c r="BD74" s="10">
        <v>5.3129200000000005E-4</v>
      </c>
      <c r="BE74" s="44">
        <f>AVERAGE(BE71:BE73)</f>
        <v>0.98810609999999999</v>
      </c>
      <c r="BF74" s="7"/>
      <c r="BG74" s="7"/>
      <c r="BH74" s="7"/>
      <c r="BI74" s="7">
        <v>4.2959999999999998E-2</v>
      </c>
      <c r="BJ74" s="7">
        <v>0.25</v>
      </c>
      <c r="BK74" s="7">
        <v>0.75</v>
      </c>
      <c r="BL74" s="7">
        <v>0</v>
      </c>
      <c r="BM74" s="7">
        <v>0.1588667</v>
      </c>
      <c r="BN74" s="7">
        <v>0.84113329999999997</v>
      </c>
      <c r="BO74" s="7">
        <v>0</v>
      </c>
      <c r="BP74" s="7">
        <v>0.26908520000000002</v>
      </c>
      <c r="BQ74" s="7">
        <v>0.7246108</v>
      </c>
      <c r="BR74" s="7">
        <v>6.3040279999999997E-3</v>
      </c>
      <c r="BS74" s="44">
        <f>AVERAGE(BS71:BS73)</f>
        <v>0.97988673333333332</v>
      </c>
      <c r="BT74" s="7"/>
      <c r="BU74" s="7"/>
      <c r="BV74" s="7"/>
      <c r="BW74" s="44">
        <f>AVERAGE(BW71:BW73)</f>
        <v>0.99432623333333325</v>
      </c>
      <c r="BX74" s="7"/>
      <c r="BY74" s="7"/>
      <c r="BZ74" s="7"/>
      <c r="CA74" s="10">
        <v>1.255E-3</v>
      </c>
      <c r="CB74" s="7">
        <v>0.75</v>
      </c>
      <c r="CC74" s="7">
        <v>0.25</v>
      </c>
      <c r="CD74" s="7">
        <v>0</v>
      </c>
      <c r="CE74" s="10">
        <v>0.8348333</v>
      </c>
      <c r="CF74" s="10">
        <v>0.1651667</v>
      </c>
      <c r="CG74" s="7">
        <v>0</v>
      </c>
      <c r="CH74" s="10">
        <v>0.99136360000000001</v>
      </c>
      <c r="CI74" s="10">
        <v>8.3440730000000005E-3</v>
      </c>
      <c r="CJ74" s="10">
        <v>2.9228210000000003E-4</v>
      </c>
      <c r="CK74" s="44">
        <f>AVERAGE(CK71:CK73)</f>
        <v>0.96898633333333339</v>
      </c>
      <c r="CL74" s="7"/>
      <c r="CM74" s="7"/>
      <c r="CN74" s="7"/>
      <c r="CO74" s="10">
        <v>6.5009999999999998E-2</v>
      </c>
      <c r="CP74" s="7">
        <v>0</v>
      </c>
      <c r="CQ74" s="7">
        <v>0.5</v>
      </c>
      <c r="CR74" s="7">
        <v>0.5</v>
      </c>
      <c r="CS74" s="7">
        <v>0</v>
      </c>
      <c r="CT74" s="10">
        <v>0.48799999999999999</v>
      </c>
      <c r="CU74" s="10">
        <v>0.51200000000000001</v>
      </c>
      <c r="CV74" s="10">
        <v>1.2557230000000001E-2</v>
      </c>
      <c r="CW74" s="10">
        <v>0.39478429999999998</v>
      </c>
      <c r="CX74" s="10">
        <v>0.59265849999999998</v>
      </c>
      <c r="CY74" s="44">
        <f>AVERAGE(CY71:CY73)</f>
        <v>0.97932803333333329</v>
      </c>
      <c r="CZ74" s="7"/>
      <c r="DA74" s="7"/>
      <c r="DB74" s="7"/>
      <c r="DC74" s="44">
        <f>AVERAGE(DC71:DC73)</f>
        <v>0.99432623333333325</v>
      </c>
      <c r="DD74" s="7"/>
      <c r="DE74" s="7"/>
      <c r="DF74" s="7"/>
      <c r="DG74" s="10">
        <v>1.1650000000000001E-2</v>
      </c>
      <c r="DH74" s="7">
        <v>0.75</v>
      </c>
      <c r="DI74" s="7">
        <v>0.25</v>
      </c>
      <c r="DJ74" s="7">
        <v>0</v>
      </c>
      <c r="DK74" s="10">
        <v>0.83166669999999998</v>
      </c>
      <c r="DL74" s="10">
        <v>0.16833329999999999</v>
      </c>
      <c r="DM74" s="7">
        <v>0</v>
      </c>
      <c r="DN74" s="10">
        <v>0.94113800000000003</v>
      </c>
      <c r="DO74" s="10">
        <v>5.6041000000000001E-2</v>
      </c>
      <c r="DP74" s="10">
        <v>2.8210010000000001E-3</v>
      </c>
      <c r="DQ74" s="44">
        <f>AVERAGE(DQ71:DQ73)</f>
        <v>0.96650519999999995</v>
      </c>
      <c r="DR74" s="7"/>
      <c r="DS74" s="7"/>
      <c r="DT74" s="7"/>
      <c r="DU74" s="10">
        <v>8.9589999999999999E-3</v>
      </c>
      <c r="DV74" s="7">
        <v>0</v>
      </c>
      <c r="DW74" s="7">
        <v>0.25</v>
      </c>
      <c r="DX74" s="7">
        <v>0.75</v>
      </c>
      <c r="DY74" s="7">
        <v>0</v>
      </c>
      <c r="DZ74" s="10">
        <v>0.16520000000000001</v>
      </c>
      <c r="EA74" s="10">
        <v>0.83479999999999999</v>
      </c>
      <c r="EB74" s="10">
        <v>1.900073E-3</v>
      </c>
      <c r="EC74" s="10">
        <v>8.9807659999999997E-2</v>
      </c>
      <c r="ED74" s="10">
        <v>0.90829230000000005</v>
      </c>
      <c r="EE74" s="44">
        <f>AVERAGE(EE71:EE73)</f>
        <v>0.9627262333333334</v>
      </c>
      <c r="EF74" s="7"/>
      <c r="EG74" s="7"/>
      <c r="EH74" s="7"/>
      <c r="EI74" s="29">
        <f>AVERAGE(EI71:EI73)</f>
        <v>0.99000643333333338</v>
      </c>
      <c r="EJ74" s="7"/>
      <c r="EK74" s="7"/>
      <c r="EL74" s="7"/>
      <c r="EM74" s="10">
        <v>9.6760000000000006E-3</v>
      </c>
      <c r="EN74" s="7">
        <v>0.75</v>
      </c>
      <c r="EO74" s="7">
        <v>0.25</v>
      </c>
      <c r="EP74" s="7">
        <v>0</v>
      </c>
      <c r="EQ74" s="28">
        <v>0.9909</v>
      </c>
      <c r="ER74" s="10">
        <v>9.1000000000000004E-3</v>
      </c>
      <c r="ES74" s="7">
        <v>0</v>
      </c>
      <c r="ET74" s="28">
        <v>0.98444339999999997</v>
      </c>
      <c r="EU74" s="10">
        <v>1.208795E-2</v>
      </c>
      <c r="EV74" s="10">
        <v>3.4686780000000002E-3</v>
      </c>
      <c r="EW74" s="44">
        <f>AVERAGE(EW71:EW73)</f>
        <v>0.9524463666666666</v>
      </c>
      <c r="EX74" s="7"/>
      <c r="EY74" s="7"/>
      <c r="EZ74" s="7"/>
      <c r="FA74" s="10">
        <v>4.292E-2</v>
      </c>
      <c r="FB74" s="7">
        <v>0</v>
      </c>
      <c r="FC74" s="7">
        <v>0.75</v>
      </c>
      <c r="FD74" s="7">
        <v>0.25</v>
      </c>
      <c r="FE74" s="7">
        <v>0</v>
      </c>
      <c r="FF74" s="10">
        <v>0.67589999999999995</v>
      </c>
      <c r="FG74" s="10">
        <v>0.3241</v>
      </c>
      <c r="FH74" s="10">
        <v>7.6739970000000001E-3</v>
      </c>
      <c r="FI74" s="10">
        <v>0.45351380000000002</v>
      </c>
      <c r="FJ74" s="10">
        <v>0.53881219999999996</v>
      </c>
    </row>
    <row r="75" spans="2:167" x14ac:dyDescent="0.2">
      <c r="C75" s="6">
        <v>1</v>
      </c>
      <c r="D75" t="s">
        <v>43</v>
      </c>
      <c r="G75" s="10">
        <v>0.98029999999999995</v>
      </c>
      <c r="H75" s="10">
        <v>0.98247039999999997</v>
      </c>
      <c r="I75" s="10">
        <v>0.99586779999999997</v>
      </c>
      <c r="J75" s="10">
        <v>0.98912370000000005</v>
      </c>
      <c r="K75" s="10">
        <v>0.90690000000000004</v>
      </c>
      <c r="L75" s="10">
        <v>0.90636704000000001</v>
      </c>
      <c r="M75" s="10">
        <v>1</v>
      </c>
      <c r="N75" s="10">
        <v>0.95088408999999996</v>
      </c>
      <c r="O75" s="7" t="s">
        <v>24</v>
      </c>
      <c r="P75" s="10">
        <v>0</v>
      </c>
      <c r="Q75" s="10">
        <v>0.5</v>
      </c>
      <c r="R75" s="10">
        <v>0.5</v>
      </c>
      <c r="S75" s="10">
        <v>0</v>
      </c>
      <c r="T75" s="10">
        <v>0.15709999999999999</v>
      </c>
      <c r="U75" s="10">
        <v>0.84289999999999998</v>
      </c>
      <c r="V75" s="7" t="s">
        <v>24</v>
      </c>
      <c r="W75" s="7" t="s">
        <v>24</v>
      </c>
      <c r="X75" s="7" t="s">
        <v>24</v>
      </c>
      <c r="Y75" s="81">
        <v>0.99139999999999995</v>
      </c>
      <c r="Z75" s="10">
        <v>0.99138990000000005</v>
      </c>
      <c r="AA75" s="10">
        <v>0.9991736</v>
      </c>
      <c r="AB75" s="10">
        <v>0.99526650000000005</v>
      </c>
      <c r="AC75" s="7" t="s">
        <v>24</v>
      </c>
      <c r="AD75" s="10">
        <v>0.5</v>
      </c>
      <c r="AE75" s="10">
        <v>0.5</v>
      </c>
      <c r="AF75" s="10">
        <v>0</v>
      </c>
      <c r="AG75" s="10">
        <v>0.54049999999999998</v>
      </c>
      <c r="AH75" s="10">
        <v>0.45950000000000002</v>
      </c>
      <c r="AI75" s="10">
        <v>0</v>
      </c>
      <c r="AJ75" s="7" t="s">
        <v>24</v>
      </c>
      <c r="AK75" s="7" t="s">
        <v>24</v>
      </c>
      <c r="AL75" s="7" t="s">
        <v>24</v>
      </c>
      <c r="AM75" s="45">
        <v>0.9778</v>
      </c>
      <c r="AN75" s="10">
        <v>0.9789004</v>
      </c>
      <c r="AO75" s="10">
        <v>0.99690080000000003</v>
      </c>
      <c r="AP75" s="10">
        <v>0.98781859999999999</v>
      </c>
      <c r="AQ75" s="10">
        <v>0.90149999999999997</v>
      </c>
      <c r="AR75" s="10">
        <v>0.90147140000000003</v>
      </c>
      <c r="AS75" s="10">
        <v>1</v>
      </c>
      <c r="AT75" s="10">
        <v>0.948183</v>
      </c>
      <c r="AU75" s="7" t="s">
        <v>24</v>
      </c>
      <c r="AV75" s="10">
        <v>0</v>
      </c>
      <c r="AW75" s="10">
        <v>0.5</v>
      </c>
      <c r="AX75" s="10">
        <v>0.5</v>
      </c>
      <c r="AY75" s="10">
        <v>0</v>
      </c>
      <c r="AZ75" s="10">
        <v>0.1593667</v>
      </c>
      <c r="BA75" s="10">
        <v>0.84063330000000003</v>
      </c>
      <c r="BB75" s="7" t="s">
        <v>24</v>
      </c>
      <c r="BC75" s="7" t="s">
        <v>24</v>
      </c>
      <c r="BD75" s="7" t="s">
        <v>24</v>
      </c>
      <c r="BE75" s="10">
        <v>0.90300000000000002</v>
      </c>
      <c r="BF75" s="10">
        <v>0.90281663999999995</v>
      </c>
      <c r="BG75" s="7">
        <v>1</v>
      </c>
      <c r="BH75" s="10">
        <v>0.94892657999999996</v>
      </c>
      <c r="BI75" s="7" t="s">
        <v>24</v>
      </c>
      <c r="BJ75" s="10">
        <v>0</v>
      </c>
      <c r="BK75" s="7">
        <v>0.5</v>
      </c>
      <c r="BL75" s="10">
        <v>0.5</v>
      </c>
      <c r="BM75" s="7">
        <v>0</v>
      </c>
      <c r="BN75" s="10">
        <v>0.15783330000000001</v>
      </c>
      <c r="BO75" s="10">
        <v>0.84216670000000005</v>
      </c>
      <c r="BP75" s="7" t="s">
        <v>24</v>
      </c>
      <c r="BQ75" s="7" t="s">
        <v>24</v>
      </c>
      <c r="BR75" s="7" t="s">
        <v>24</v>
      </c>
      <c r="BS75" s="45">
        <v>0.98119999999999996</v>
      </c>
      <c r="BT75" s="10">
        <v>0.98386770000000001</v>
      </c>
      <c r="BU75" s="10">
        <v>0.99545450000000002</v>
      </c>
      <c r="BV75" s="10">
        <v>0.98962720000000004</v>
      </c>
      <c r="BW75" s="10">
        <v>0.90149999999999997</v>
      </c>
      <c r="BX75" s="10">
        <v>0.90147140000000003</v>
      </c>
      <c r="BY75" s="10">
        <v>1</v>
      </c>
      <c r="BZ75" s="10">
        <v>0.948183</v>
      </c>
      <c r="CA75" s="7" t="s">
        <v>24</v>
      </c>
      <c r="CB75" s="10">
        <v>0</v>
      </c>
      <c r="CC75" s="10">
        <v>0.5</v>
      </c>
      <c r="CD75" s="10">
        <v>0.5</v>
      </c>
      <c r="CE75" s="10">
        <v>0</v>
      </c>
      <c r="CF75" s="10">
        <v>0.15726670000000001</v>
      </c>
      <c r="CG75" s="10">
        <v>0.84273330000000002</v>
      </c>
      <c r="CH75" s="7" t="s">
        <v>24</v>
      </c>
      <c r="CI75" s="7" t="s">
        <v>24</v>
      </c>
      <c r="CJ75" s="7" t="s">
        <v>24</v>
      </c>
      <c r="CK75" s="10">
        <v>0.98080000000000001</v>
      </c>
      <c r="CL75" s="10">
        <v>0.98346599999999995</v>
      </c>
      <c r="CM75" s="10">
        <v>0.99545450000000002</v>
      </c>
      <c r="CN75" s="10">
        <v>0.98942399999999997</v>
      </c>
      <c r="CO75" s="7" t="s">
        <v>24</v>
      </c>
      <c r="CP75" s="10">
        <v>0</v>
      </c>
      <c r="CQ75" s="50">
        <v>1</v>
      </c>
      <c r="CR75" s="10">
        <v>0</v>
      </c>
      <c r="CS75" s="10">
        <v>0</v>
      </c>
      <c r="CT75" s="50">
        <v>1</v>
      </c>
      <c r="CU75" s="10">
        <v>0</v>
      </c>
      <c r="CV75" s="7" t="s">
        <v>24</v>
      </c>
      <c r="CW75" s="7" t="s">
        <v>24</v>
      </c>
      <c r="CX75" s="7" t="s">
        <v>24</v>
      </c>
      <c r="CY75" s="10">
        <v>0.98080000000000001</v>
      </c>
      <c r="CZ75" s="10">
        <v>0.97968310000000003</v>
      </c>
      <c r="DA75" s="10">
        <v>0.99628099999999997</v>
      </c>
      <c r="DB75" s="10">
        <v>0.98791229999999997</v>
      </c>
      <c r="DC75" s="10">
        <v>0.90329999999999999</v>
      </c>
      <c r="DD75" s="10">
        <v>0.90315356999999996</v>
      </c>
      <c r="DE75" s="10">
        <v>1</v>
      </c>
      <c r="DF75" s="10">
        <v>0.94911266000000005</v>
      </c>
      <c r="DG75" s="7" t="s">
        <v>24</v>
      </c>
      <c r="DH75" s="10">
        <v>0</v>
      </c>
      <c r="DI75" s="10">
        <v>0.5</v>
      </c>
      <c r="DJ75" s="10">
        <v>0.5</v>
      </c>
      <c r="DK75" s="10">
        <v>0</v>
      </c>
      <c r="DL75" s="10">
        <v>0.1574333</v>
      </c>
      <c r="DM75" s="10">
        <v>0.8425667</v>
      </c>
      <c r="DN75" s="7" t="s">
        <v>24</v>
      </c>
      <c r="DO75" s="7" t="s">
        <v>24</v>
      </c>
      <c r="DP75" s="7" t="s">
        <v>24</v>
      </c>
      <c r="DQ75" s="50">
        <v>0.97950000000000004</v>
      </c>
      <c r="DR75" s="10">
        <v>0.98127799999999998</v>
      </c>
      <c r="DS75" s="10">
        <v>0.99628099999999997</v>
      </c>
      <c r="DT75" s="10">
        <v>0.98872260000000001</v>
      </c>
      <c r="DU75" s="7" t="s">
        <v>24</v>
      </c>
      <c r="DV75" s="10">
        <v>0</v>
      </c>
      <c r="DW75" s="50">
        <v>1</v>
      </c>
      <c r="DX75" s="10">
        <v>0</v>
      </c>
      <c r="DY75" s="10">
        <v>0</v>
      </c>
      <c r="DZ75" s="50">
        <v>1</v>
      </c>
      <c r="EA75" s="10">
        <v>0</v>
      </c>
      <c r="EB75" s="7" t="s">
        <v>24</v>
      </c>
      <c r="EC75" s="7" t="s">
        <v>24</v>
      </c>
      <c r="ED75" s="7" t="s">
        <v>24</v>
      </c>
      <c r="EE75" s="53">
        <v>0.9667</v>
      </c>
      <c r="EF75" s="10">
        <v>0.98481379999999996</v>
      </c>
      <c r="EG75" s="10">
        <v>0.97809919999999995</v>
      </c>
      <c r="EH75" s="10">
        <v>0.98144500000000001</v>
      </c>
      <c r="EI75" s="10">
        <v>0.92900000000000005</v>
      </c>
      <c r="EJ75" s="7" t="s">
        <v>24</v>
      </c>
      <c r="EK75" s="7" t="s">
        <v>24</v>
      </c>
      <c r="EL75" s="7" t="s">
        <v>24</v>
      </c>
      <c r="EM75" s="7" t="s">
        <v>24</v>
      </c>
      <c r="EN75" s="7">
        <v>0</v>
      </c>
      <c r="EO75" s="7">
        <v>0.5</v>
      </c>
      <c r="EP75" s="7">
        <v>0.5</v>
      </c>
      <c r="EQ75" s="7">
        <v>0</v>
      </c>
      <c r="ER75" s="10">
        <v>0.16103329999999999</v>
      </c>
      <c r="ES75" s="10">
        <v>0.83896669999999995</v>
      </c>
      <c r="ET75" s="7" t="s">
        <v>24</v>
      </c>
      <c r="EU75" s="7" t="s">
        <v>24</v>
      </c>
      <c r="EV75" s="7" t="s">
        <v>24</v>
      </c>
      <c r="EW75" s="50">
        <v>0.97109999999999996</v>
      </c>
      <c r="EX75" s="7" t="s">
        <v>24</v>
      </c>
      <c r="EY75" s="7" t="s">
        <v>24</v>
      </c>
      <c r="EZ75" s="7" t="s">
        <v>24</v>
      </c>
      <c r="FA75" s="7" t="s">
        <v>24</v>
      </c>
      <c r="FB75" s="7">
        <v>0</v>
      </c>
      <c r="FC75" s="32">
        <v>1</v>
      </c>
      <c r="FD75" s="7">
        <v>0</v>
      </c>
      <c r="FE75" s="7">
        <v>0</v>
      </c>
      <c r="FF75" s="32">
        <v>1</v>
      </c>
      <c r="FG75" s="7">
        <v>0</v>
      </c>
      <c r="FH75" s="7" t="s">
        <v>24</v>
      </c>
      <c r="FI75" s="7" t="s">
        <v>24</v>
      </c>
      <c r="FJ75" s="7" t="s">
        <v>24</v>
      </c>
    </row>
    <row r="76" spans="2:167" x14ac:dyDescent="0.2">
      <c r="C76" s="6"/>
      <c r="G76" s="14"/>
      <c r="H76" s="7"/>
      <c r="I76" s="7"/>
      <c r="J76" s="7"/>
      <c r="K76" s="1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14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"/>
      <c r="AN76" s="7"/>
      <c r="AO76" s="7"/>
      <c r="AP76" s="1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14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14"/>
      <c r="BT76" s="7"/>
      <c r="BU76" s="7"/>
      <c r="BV76" s="7"/>
      <c r="BW76" s="14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14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14"/>
      <c r="CZ76" s="7"/>
      <c r="DA76" s="7"/>
      <c r="DB76" s="7"/>
      <c r="DC76" s="14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14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14"/>
      <c r="EF76" s="7"/>
      <c r="EG76" s="7"/>
      <c r="EH76" s="7"/>
      <c r="EI76" s="14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14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</row>
    <row r="77" spans="2:167" x14ac:dyDescent="0.2">
      <c r="C77" s="6">
        <v>2</v>
      </c>
      <c r="D77" t="s">
        <v>40</v>
      </c>
      <c r="G77" s="10">
        <v>0.97868770000000005</v>
      </c>
      <c r="H77" s="7"/>
      <c r="I77" s="7"/>
      <c r="J77" s="7"/>
      <c r="K77" s="10">
        <v>0.98054399999999997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45">
        <v>0.98050510000000002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45">
        <v>0.97797460000000003</v>
      </c>
      <c r="AN77" s="7"/>
      <c r="AO77" s="7"/>
      <c r="AP77" s="17"/>
      <c r="AQ77" s="10">
        <v>0.98126460000000004</v>
      </c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10">
        <v>0.98139120000000002</v>
      </c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45">
        <v>0.98036400000000001</v>
      </c>
      <c r="BT77" s="7"/>
      <c r="BU77" s="7"/>
      <c r="BV77" s="7"/>
      <c r="BW77" s="10">
        <v>0.98324630000000002</v>
      </c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10">
        <v>0.98350519999999997</v>
      </c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10">
        <v>0.97845340000000003</v>
      </c>
      <c r="CZ77" s="7"/>
      <c r="DA77" s="7"/>
      <c r="DB77" s="7"/>
      <c r="DC77" s="10">
        <v>0.98180509999999999</v>
      </c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10">
        <v>0.97874220000000001</v>
      </c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53">
        <v>0.96312260000000005</v>
      </c>
      <c r="EF77" s="7"/>
      <c r="EG77" s="7"/>
      <c r="EH77" s="7"/>
      <c r="EI77" s="10">
        <v>0.95388220000000001</v>
      </c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10">
        <v>0.9547911</v>
      </c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</row>
    <row r="78" spans="2:167" x14ac:dyDescent="0.2">
      <c r="C78" s="6">
        <v>2</v>
      </c>
      <c r="D78" t="s">
        <v>41</v>
      </c>
      <c r="G78" s="10">
        <v>0.97701150000000003</v>
      </c>
      <c r="H78" s="7"/>
      <c r="I78" s="7"/>
      <c r="J78" s="7"/>
      <c r="K78" s="10">
        <v>0.98433000000000004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45">
        <v>0.9800797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45">
        <v>0.98060340000000001</v>
      </c>
      <c r="AN78" s="7"/>
      <c r="AO78" s="7"/>
      <c r="AP78" s="17"/>
      <c r="AQ78" s="10">
        <v>0.98216539999999997</v>
      </c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10">
        <v>0.97697080000000003</v>
      </c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45">
        <v>0.97893220000000003</v>
      </c>
      <c r="BT78" s="7"/>
      <c r="BU78" s="7"/>
      <c r="BV78" s="7"/>
      <c r="BW78" s="10">
        <v>0.98216539999999997</v>
      </c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10">
        <v>0.98392420000000003</v>
      </c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10">
        <v>0.98251920000000004</v>
      </c>
      <c r="CZ78" s="7"/>
      <c r="DA78" s="7"/>
      <c r="DB78" s="7"/>
      <c r="DC78" s="10">
        <v>0.98000359999999997</v>
      </c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10">
        <v>0.98051370000000004</v>
      </c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53">
        <v>0.96576490000000004</v>
      </c>
      <c r="EF78" s="7"/>
      <c r="EG78" s="7"/>
      <c r="EH78" s="7"/>
      <c r="EI78" s="10">
        <v>0.95640429999999999</v>
      </c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10">
        <v>0.95550349999999995</v>
      </c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</row>
    <row r="79" spans="2:167" x14ac:dyDescent="0.2">
      <c r="C79" s="6">
        <v>2</v>
      </c>
      <c r="D79" t="s">
        <v>42</v>
      </c>
      <c r="G79" s="10">
        <v>0.98324160000000005</v>
      </c>
      <c r="H79" s="7"/>
      <c r="I79" s="7"/>
      <c r="J79" s="7"/>
      <c r="K79" s="10">
        <v>0.98108450000000003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45">
        <v>0.98094820000000005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45">
        <v>0.9789272</v>
      </c>
      <c r="AN79" s="7"/>
      <c r="AO79" s="7"/>
      <c r="AP79" s="17"/>
      <c r="AQ79" s="10">
        <v>0.98162819999999995</v>
      </c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10">
        <v>0.98139949999999998</v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45">
        <v>0.98036400000000001</v>
      </c>
      <c r="BT79" s="7"/>
      <c r="BU79" s="7"/>
      <c r="BV79" s="7"/>
      <c r="BW79" s="10">
        <v>0.98144810000000005</v>
      </c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10">
        <v>0.9831067</v>
      </c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10">
        <v>0.97701150000000003</v>
      </c>
      <c r="CZ79" s="7"/>
      <c r="DA79" s="7"/>
      <c r="DB79" s="7"/>
      <c r="DC79" s="10">
        <v>0.9809078</v>
      </c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10">
        <v>0.98094820000000005</v>
      </c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53">
        <v>0.95929120000000001</v>
      </c>
      <c r="EF79" s="7"/>
      <c r="EG79" s="7"/>
      <c r="EH79" s="7"/>
      <c r="EI79" s="10">
        <v>0.95262970000000002</v>
      </c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10">
        <v>0.95063949999999997</v>
      </c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</row>
    <row r="80" spans="2:167" x14ac:dyDescent="0.2">
      <c r="C80" s="6">
        <v>2</v>
      </c>
      <c r="D80" t="s">
        <v>49</v>
      </c>
      <c r="G80" s="44">
        <f>AVERAGE(G77:G79)</f>
        <v>0.97964693333333341</v>
      </c>
      <c r="H80" s="7"/>
      <c r="I80" s="7"/>
      <c r="J80" s="7"/>
      <c r="K80" s="43">
        <f>AVERAGE(K77:K79)</f>
        <v>0.98198616666666672</v>
      </c>
      <c r="L80" s="7"/>
      <c r="M80" s="7"/>
      <c r="N80" s="7"/>
      <c r="O80" s="10">
        <v>0.45710000000000001</v>
      </c>
      <c r="P80" s="7">
        <v>0</v>
      </c>
      <c r="Q80" s="32">
        <v>1</v>
      </c>
      <c r="R80" s="7">
        <v>0</v>
      </c>
      <c r="S80" s="7">
        <v>0</v>
      </c>
      <c r="T80" s="32">
        <v>1</v>
      </c>
      <c r="U80" s="7">
        <v>0</v>
      </c>
      <c r="V80" s="10">
        <v>6.1049689999999997E-2</v>
      </c>
      <c r="W80" s="10">
        <v>0.91253340000000005</v>
      </c>
      <c r="X80" s="10">
        <v>2.6416909999999998E-2</v>
      </c>
      <c r="Y80" s="43">
        <f>AVERAGE(Y77:Y79)</f>
        <v>0.98051099999999991</v>
      </c>
      <c r="Z80" s="7"/>
      <c r="AA80" s="7"/>
      <c r="AB80" s="7"/>
      <c r="AC80" s="10">
        <v>0.70020000000000004</v>
      </c>
      <c r="AD80" s="7">
        <v>0</v>
      </c>
      <c r="AE80" s="32">
        <v>1</v>
      </c>
      <c r="AF80" s="7">
        <v>0</v>
      </c>
      <c r="AG80" s="7">
        <v>0</v>
      </c>
      <c r="AH80" s="31">
        <v>1</v>
      </c>
      <c r="AI80" s="7">
        <v>0</v>
      </c>
      <c r="AJ80" s="10">
        <v>2.7710140000000001E-2</v>
      </c>
      <c r="AK80" s="10">
        <v>0.95221310000000003</v>
      </c>
      <c r="AL80" s="10">
        <v>2.0076730000000001E-2</v>
      </c>
      <c r="AM80" s="44">
        <f>AVERAGE(AM77:AM79)</f>
        <v>0.97916840000000016</v>
      </c>
      <c r="AN80" s="7"/>
      <c r="AO80" s="7"/>
      <c r="AP80" s="17"/>
      <c r="AQ80" s="43">
        <f>AVERAGE(AQ77:AQ79)</f>
        <v>0.98168606666666669</v>
      </c>
      <c r="AR80" s="7"/>
      <c r="AS80" s="7"/>
      <c r="AT80" s="7"/>
      <c r="AU80" s="7">
        <v>7.7810000000000004E-2</v>
      </c>
      <c r="AV80" s="10">
        <v>0</v>
      </c>
      <c r="AW80" s="32">
        <v>1</v>
      </c>
      <c r="AX80" s="7">
        <v>0</v>
      </c>
      <c r="AY80" s="7">
        <v>0</v>
      </c>
      <c r="AZ80" s="50">
        <v>1</v>
      </c>
      <c r="BA80" s="79">
        <v>0</v>
      </c>
      <c r="BB80" s="10">
        <v>6.5079789999999997E-3</v>
      </c>
      <c r="BC80" s="50">
        <v>0.9911373</v>
      </c>
      <c r="BD80" s="10">
        <v>2.354737E-3</v>
      </c>
      <c r="BE80" s="43">
        <f>AVERAGE(BE77:BE79)</f>
        <v>0.97992050000000008</v>
      </c>
      <c r="BF80" s="7"/>
      <c r="BG80" s="7"/>
      <c r="BH80" s="7"/>
      <c r="BI80" s="10">
        <v>0.85570000000000002</v>
      </c>
      <c r="BJ80" s="7">
        <v>0</v>
      </c>
      <c r="BK80" s="32">
        <v>1</v>
      </c>
      <c r="BL80" s="7">
        <v>0</v>
      </c>
      <c r="BM80" s="7">
        <v>0</v>
      </c>
      <c r="BN80" s="32">
        <v>1</v>
      </c>
      <c r="BO80" s="7">
        <v>0</v>
      </c>
      <c r="BP80" s="10">
        <v>1.195328E-2</v>
      </c>
      <c r="BQ80" s="10">
        <v>0.97729299999999997</v>
      </c>
      <c r="BR80" s="10">
        <v>1.075372E-2</v>
      </c>
      <c r="BS80" s="44">
        <f>AVERAGE(BS77:BS79)</f>
        <v>0.97988673333333332</v>
      </c>
      <c r="BT80" s="7"/>
      <c r="BU80" s="7"/>
      <c r="BV80" s="7"/>
      <c r="BW80" s="43">
        <f>AVERAGE(BW77:BW79)</f>
        <v>0.98228660000000001</v>
      </c>
      <c r="BX80" s="7"/>
      <c r="BY80" s="7"/>
      <c r="BZ80" s="7"/>
      <c r="CA80" s="10">
        <v>0.13389999999999999</v>
      </c>
      <c r="CB80" s="7">
        <v>0</v>
      </c>
      <c r="CC80" s="32">
        <v>1</v>
      </c>
      <c r="CD80" s="7">
        <v>0</v>
      </c>
      <c r="CE80" s="7">
        <v>0</v>
      </c>
      <c r="CF80" s="32">
        <v>1</v>
      </c>
      <c r="CG80" s="7">
        <v>0</v>
      </c>
      <c r="CH80" s="10">
        <v>1.071255E-2</v>
      </c>
      <c r="CI80" s="10">
        <v>0.98518099999999997</v>
      </c>
      <c r="CJ80" s="10">
        <v>4.1064170000000002E-3</v>
      </c>
      <c r="CK80" s="43">
        <f>AVERAGE(CK77:CK79)</f>
        <v>0.98351203333333326</v>
      </c>
      <c r="CL80" s="7"/>
      <c r="CM80" s="7"/>
      <c r="CN80" s="7"/>
      <c r="CO80" s="10">
        <v>3.465E-2</v>
      </c>
      <c r="CP80" s="10">
        <v>0</v>
      </c>
      <c r="CQ80" s="50">
        <v>1</v>
      </c>
      <c r="CR80" s="10">
        <v>0</v>
      </c>
      <c r="CS80" s="10">
        <v>0</v>
      </c>
      <c r="CT80" s="50">
        <v>1</v>
      </c>
      <c r="CU80" s="10">
        <v>0</v>
      </c>
      <c r="CV80" s="10">
        <v>7.6956969999999996E-3</v>
      </c>
      <c r="CW80" s="10">
        <v>0.99058889999999999</v>
      </c>
      <c r="CX80" s="10">
        <v>1.7153769999999999E-3</v>
      </c>
      <c r="CY80" s="44">
        <f>AVERAGE(CY77:CY79)</f>
        <v>0.97932803333333329</v>
      </c>
      <c r="CZ80" s="7"/>
      <c r="DA80" s="7"/>
      <c r="DB80" s="7"/>
      <c r="DC80" s="43">
        <f>AVERAGE(DC77:DC79)</f>
        <v>0.98090549999999999</v>
      </c>
      <c r="DD80" s="7"/>
      <c r="DE80" s="7"/>
      <c r="DF80" s="7"/>
      <c r="DG80" s="10">
        <v>0.52249999999999996</v>
      </c>
      <c r="DH80" s="7">
        <v>0</v>
      </c>
      <c r="DI80" s="32">
        <v>1</v>
      </c>
      <c r="DJ80" s="7">
        <v>0</v>
      </c>
      <c r="DK80" s="7">
        <v>0</v>
      </c>
      <c r="DL80" s="32">
        <v>1</v>
      </c>
      <c r="DM80" s="7">
        <v>0</v>
      </c>
      <c r="DN80" s="10">
        <v>3.5434529999999999E-2</v>
      </c>
      <c r="DO80" s="10">
        <v>0.94484310000000005</v>
      </c>
      <c r="DP80" s="10">
        <v>1.9722400000000001E-2</v>
      </c>
      <c r="DQ80" s="43">
        <f>AVERAGE(DQ77:DQ79)</f>
        <v>0.98006803333333326</v>
      </c>
      <c r="DR80" s="7"/>
      <c r="DS80" s="7"/>
      <c r="DT80" s="7"/>
      <c r="DU80" s="10">
        <v>0.71050000000000002</v>
      </c>
      <c r="DV80" s="10">
        <v>0</v>
      </c>
      <c r="DW80" s="50">
        <v>1</v>
      </c>
      <c r="DX80" s="10">
        <v>0</v>
      </c>
      <c r="DY80" s="10">
        <v>0</v>
      </c>
      <c r="DZ80" s="50">
        <v>1</v>
      </c>
      <c r="EA80" s="10">
        <v>0</v>
      </c>
      <c r="EB80" s="10">
        <v>2.176384E-2</v>
      </c>
      <c r="EC80" s="10">
        <v>0.96178529999999995</v>
      </c>
      <c r="ED80" s="10">
        <v>1.6450909999999999E-2</v>
      </c>
      <c r="EE80" s="44">
        <f>AVERAGE(EE77:EE79)</f>
        <v>0.9627262333333334</v>
      </c>
      <c r="EF80" s="7"/>
      <c r="EG80" s="7"/>
      <c r="EH80" s="7"/>
      <c r="EI80" s="43">
        <f>AVERAGE(EI77:EI79)</f>
        <v>0.95430539999999997</v>
      </c>
      <c r="EJ80" s="7"/>
      <c r="EK80" s="7"/>
      <c r="EL80" s="7"/>
      <c r="EM80" s="10">
        <v>1.0749999999999999E-2</v>
      </c>
      <c r="EN80" s="7">
        <v>0</v>
      </c>
      <c r="EO80" s="32">
        <v>1</v>
      </c>
      <c r="EP80" s="7">
        <v>0</v>
      </c>
      <c r="EQ80" s="7">
        <v>0</v>
      </c>
      <c r="ER80" s="32">
        <v>1</v>
      </c>
      <c r="ES80" s="7">
        <v>0</v>
      </c>
      <c r="ET80" s="10">
        <v>1.5157689999999999E-3</v>
      </c>
      <c r="EU80" s="10">
        <v>0.86821619999999999</v>
      </c>
      <c r="EV80" s="10">
        <v>0.1302681</v>
      </c>
      <c r="EW80" s="43">
        <f>AVERAGE(EW77:EW79)</f>
        <v>0.9536446999999999</v>
      </c>
      <c r="EX80" s="7"/>
      <c r="EY80" s="7"/>
      <c r="EZ80" s="7"/>
      <c r="FA80" s="10">
        <v>4.2950000000000002E-3</v>
      </c>
      <c r="FB80" s="7">
        <v>0</v>
      </c>
      <c r="FC80" s="7">
        <v>0.75</v>
      </c>
      <c r="FD80" s="7">
        <v>0.25</v>
      </c>
      <c r="FE80" s="7">
        <v>0</v>
      </c>
      <c r="FF80" s="50">
        <v>0.95256669999999999</v>
      </c>
      <c r="FG80" s="10">
        <v>4.7433330000000003E-2</v>
      </c>
      <c r="FH80" s="10">
        <v>6.5157089999999995E-4</v>
      </c>
      <c r="FI80" s="10">
        <v>0.84217500000000001</v>
      </c>
      <c r="FJ80" s="10">
        <v>0.15717349999999999</v>
      </c>
    </row>
    <row r="81" spans="3:166" x14ac:dyDescent="0.2">
      <c r="C81" s="6">
        <v>2</v>
      </c>
      <c r="D81" t="s">
        <v>43</v>
      </c>
      <c r="G81" s="10">
        <v>0.98029999999999995</v>
      </c>
      <c r="H81" s="10">
        <v>0.98247039999999997</v>
      </c>
      <c r="I81" s="10">
        <v>0.99586779999999997</v>
      </c>
      <c r="J81" s="10">
        <v>0.98912370000000005</v>
      </c>
      <c r="K81" s="10">
        <v>0.94379999999999997</v>
      </c>
      <c r="L81" s="10">
        <v>0.94126799999999999</v>
      </c>
      <c r="M81" s="10">
        <v>1</v>
      </c>
      <c r="N81" s="10">
        <v>0.96974550000000004</v>
      </c>
      <c r="O81" s="7" t="s">
        <v>24</v>
      </c>
      <c r="P81" s="10">
        <v>0</v>
      </c>
      <c r="Q81" s="10">
        <v>0.5</v>
      </c>
      <c r="R81" s="10">
        <v>0.5</v>
      </c>
      <c r="S81" s="10">
        <v>0</v>
      </c>
      <c r="T81" s="10">
        <v>0.16096669999999999</v>
      </c>
      <c r="U81" s="10">
        <v>0.83903329999999998</v>
      </c>
      <c r="V81" s="7" t="s">
        <v>24</v>
      </c>
      <c r="W81" s="7" t="s">
        <v>24</v>
      </c>
      <c r="X81" s="7" t="s">
        <v>24</v>
      </c>
      <c r="Y81" s="45">
        <v>0.91790000000000005</v>
      </c>
      <c r="Z81" s="10">
        <v>0.92015279999999999</v>
      </c>
      <c r="AA81" s="10">
        <v>0.99524789999999996</v>
      </c>
      <c r="AB81" s="10">
        <v>0.95622830000000003</v>
      </c>
      <c r="AC81" s="7" t="s">
        <v>24</v>
      </c>
      <c r="AD81" s="10">
        <v>0</v>
      </c>
      <c r="AE81" s="10">
        <v>0.5</v>
      </c>
      <c r="AF81" s="10">
        <v>0.5</v>
      </c>
      <c r="AG81" s="10">
        <v>0</v>
      </c>
      <c r="AH81" s="10">
        <v>0.1598667</v>
      </c>
      <c r="AI81" s="10">
        <v>0.84013329999999997</v>
      </c>
      <c r="AJ81" s="7" t="s">
        <v>24</v>
      </c>
      <c r="AK81" s="7" t="s">
        <v>24</v>
      </c>
      <c r="AL81" s="7" t="s">
        <v>24</v>
      </c>
      <c r="AM81" s="45">
        <v>0.9778</v>
      </c>
      <c r="AN81" s="10">
        <v>0.9789004</v>
      </c>
      <c r="AO81" s="10">
        <v>0.99690080000000003</v>
      </c>
      <c r="AP81" s="10">
        <v>0.98781859999999999</v>
      </c>
      <c r="AQ81" s="10">
        <v>0.92490000000000006</v>
      </c>
      <c r="AR81" s="10">
        <v>0.92475589999999996</v>
      </c>
      <c r="AS81" s="10">
        <v>0.99793390000000004</v>
      </c>
      <c r="AT81" s="10">
        <v>0.95995229999999998</v>
      </c>
      <c r="AU81" s="7" t="s">
        <v>24</v>
      </c>
      <c r="AV81" s="10">
        <v>0</v>
      </c>
      <c r="AW81" s="10">
        <v>0.5</v>
      </c>
      <c r="AX81" s="10">
        <v>0.5</v>
      </c>
      <c r="AY81" s="10">
        <v>0</v>
      </c>
      <c r="AZ81" s="10">
        <v>0.16126670000000001</v>
      </c>
      <c r="BA81" s="10">
        <v>0.83873330000000001</v>
      </c>
      <c r="BB81" s="7" t="s">
        <v>24</v>
      </c>
      <c r="BC81" s="7" t="s">
        <v>24</v>
      </c>
      <c r="BD81" s="7" t="s">
        <v>24</v>
      </c>
      <c r="BE81" s="10">
        <v>0.90820000000000001</v>
      </c>
      <c r="BF81" s="10">
        <v>0.90770961999999999</v>
      </c>
      <c r="BG81" s="10">
        <v>0.99979339</v>
      </c>
      <c r="BH81" s="10">
        <v>0.95152886000000003</v>
      </c>
      <c r="BI81" s="7" t="s">
        <v>24</v>
      </c>
      <c r="BJ81" s="10">
        <v>0</v>
      </c>
      <c r="BK81" s="7">
        <v>0.5</v>
      </c>
      <c r="BL81" s="10">
        <v>0.5</v>
      </c>
      <c r="BM81" s="7">
        <v>0</v>
      </c>
      <c r="BN81" s="10">
        <v>0.1611667</v>
      </c>
      <c r="BO81" s="10">
        <v>0.8388333</v>
      </c>
      <c r="BP81" s="7" t="s">
        <v>24</v>
      </c>
      <c r="BQ81" s="7" t="s">
        <v>24</v>
      </c>
      <c r="BR81" s="7" t="s">
        <v>24</v>
      </c>
      <c r="BS81" s="45">
        <v>0.98119999999999996</v>
      </c>
      <c r="BT81" s="10">
        <v>0.98386770000000001</v>
      </c>
      <c r="BU81" s="10">
        <v>0.99545450000000002</v>
      </c>
      <c r="BV81" s="10">
        <v>0.98962720000000004</v>
      </c>
      <c r="BW81" s="10">
        <v>0.93030000000000002</v>
      </c>
      <c r="BX81" s="10">
        <v>0.93058229999999997</v>
      </c>
      <c r="BY81" s="10">
        <v>0.99710739999999998</v>
      </c>
      <c r="BZ81" s="10">
        <v>0.96269700000000002</v>
      </c>
      <c r="CA81" s="7" t="s">
        <v>24</v>
      </c>
      <c r="CB81" s="10">
        <v>0</v>
      </c>
      <c r="CC81" s="10">
        <v>0.5</v>
      </c>
      <c r="CD81" s="10">
        <v>0.5</v>
      </c>
      <c r="CE81" s="10">
        <v>0</v>
      </c>
      <c r="CF81" s="10">
        <v>0.1618667</v>
      </c>
      <c r="CG81" s="10">
        <v>0.83813329999999997</v>
      </c>
      <c r="CH81" s="7" t="s">
        <v>24</v>
      </c>
      <c r="CI81" s="7" t="s">
        <v>24</v>
      </c>
      <c r="CJ81" s="7" t="s">
        <v>24</v>
      </c>
      <c r="CK81" s="50">
        <v>0.9778</v>
      </c>
      <c r="CL81" s="10">
        <v>0.98202979999999995</v>
      </c>
      <c r="CM81" s="10">
        <v>0.99359500000000001</v>
      </c>
      <c r="CN81" s="10">
        <v>0.98777859999999995</v>
      </c>
      <c r="CO81" s="7" t="s">
        <v>24</v>
      </c>
      <c r="CP81" s="10">
        <v>0</v>
      </c>
      <c r="CQ81" s="50">
        <v>1</v>
      </c>
      <c r="CR81" s="10">
        <v>0</v>
      </c>
      <c r="CS81" s="10">
        <v>0</v>
      </c>
      <c r="CT81" s="50">
        <v>1</v>
      </c>
      <c r="CU81" s="10">
        <v>0</v>
      </c>
      <c r="CV81" s="7" t="s">
        <v>24</v>
      </c>
      <c r="CW81" s="7" t="s">
        <v>24</v>
      </c>
      <c r="CX81" s="7" t="s">
        <v>24</v>
      </c>
      <c r="CY81" s="10">
        <v>0.98080000000000001</v>
      </c>
      <c r="CZ81" s="10">
        <v>0.97968310000000003</v>
      </c>
      <c r="DA81" s="10">
        <v>0.99628099999999997</v>
      </c>
      <c r="DB81" s="10">
        <v>0.98791229999999997</v>
      </c>
      <c r="DC81" s="50">
        <v>0.97240000000000004</v>
      </c>
      <c r="DD81" s="10">
        <v>0.97374799999999995</v>
      </c>
      <c r="DE81" s="10">
        <v>0.99628099999999997</v>
      </c>
      <c r="DF81" s="10">
        <v>0.98488560000000003</v>
      </c>
      <c r="DG81" s="7" t="s">
        <v>24</v>
      </c>
      <c r="DH81" s="7">
        <v>0</v>
      </c>
      <c r="DI81" s="32">
        <v>1</v>
      </c>
      <c r="DJ81" s="7">
        <v>0</v>
      </c>
      <c r="DK81" s="7">
        <v>0</v>
      </c>
      <c r="DL81" s="32">
        <v>1</v>
      </c>
      <c r="DM81" s="7">
        <v>0</v>
      </c>
      <c r="DN81" s="7" t="s">
        <v>24</v>
      </c>
      <c r="DO81" s="7" t="s">
        <v>24</v>
      </c>
      <c r="DP81" s="7" t="s">
        <v>24</v>
      </c>
      <c r="DQ81" s="50">
        <v>0.97909999999999997</v>
      </c>
      <c r="DR81" s="10">
        <v>0.9840295</v>
      </c>
      <c r="DS81" s="10">
        <v>0.99297519999999995</v>
      </c>
      <c r="DT81" s="10">
        <v>0.98848210000000003</v>
      </c>
      <c r="DU81" s="7" t="s">
        <v>24</v>
      </c>
      <c r="DV81" s="10">
        <v>0</v>
      </c>
      <c r="DW81" s="50">
        <v>1</v>
      </c>
      <c r="DX81" s="10">
        <v>0</v>
      </c>
      <c r="DY81" s="10">
        <v>0</v>
      </c>
      <c r="DZ81" s="50">
        <v>1</v>
      </c>
      <c r="EA81" s="10">
        <v>0</v>
      </c>
      <c r="EB81" s="7" t="s">
        <v>24</v>
      </c>
      <c r="EC81" s="7" t="s">
        <v>24</v>
      </c>
      <c r="ED81" s="7" t="s">
        <v>24</v>
      </c>
      <c r="EE81" s="53">
        <v>0.9667</v>
      </c>
      <c r="EF81" s="10">
        <v>0.98481379999999996</v>
      </c>
      <c r="EG81" s="10">
        <v>0.97809919999999995</v>
      </c>
      <c r="EH81" s="10">
        <v>0.98144500000000001</v>
      </c>
      <c r="EI81" s="10">
        <v>0.95550000000000002</v>
      </c>
      <c r="EJ81" s="10">
        <v>0.98462190000000005</v>
      </c>
      <c r="EK81" s="10">
        <v>0.96570250000000002</v>
      </c>
      <c r="EL81" s="10">
        <v>0.96570250000000002</v>
      </c>
      <c r="EM81" s="7" t="s">
        <v>24</v>
      </c>
      <c r="EN81" s="7">
        <v>0</v>
      </c>
      <c r="EO81" s="7">
        <v>0.5</v>
      </c>
      <c r="EP81" s="7">
        <v>0.5</v>
      </c>
      <c r="EQ81" s="7">
        <v>0</v>
      </c>
      <c r="ER81" s="10">
        <v>0.46343329999999999</v>
      </c>
      <c r="ES81" s="10">
        <v>0.53656669999999995</v>
      </c>
      <c r="ET81" s="7" t="s">
        <v>24</v>
      </c>
      <c r="EU81" s="7" t="s">
        <v>24</v>
      </c>
      <c r="EV81" s="7" t="s">
        <v>24</v>
      </c>
      <c r="EW81" s="10">
        <v>0.95550000000000002</v>
      </c>
      <c r="EX81" s="10">
        <v>0.98462190000000005</v>
      </c>
      <c r="EY81" s="10">
        <v>0.96570250000000002</v>
      </c>
      <c r="EZ81" s="10">
        <v>0.9750704</v>
      </c>
      <c r="FA81" s="7" t="s">
        <v>24</v>
      </c>
      <c r="FB81" s="10">
        <v>0</v>
      </c>
      <c r="FC81" s="10">
        <v>0.5</v>
      </c>
      <c r="FD81" s="10">
        <v>0.5</v>
      </c>
      <c r="FE81" s="10">
        <v>0</v>
      </c>
      <c r="FF81" s="10">
        <v>0.46289999999999998</v>
      </c>
      <c r="FG81" s="10">
        <v>0.53710000000000002</v>
      </c>
      <c r="FH81" s="7" t="s">
        <v>24</v>
      </c>
      <c r="FI81" s="7" t="s">
        <v>24</v>
      </c>
      <c r="FJ81" s="7" t="s">
        <v>24</v>
      </c>
    </row>
    <row r="82" spans="3:166" x14ac:dyDescent="0.2">
      <c r="C82" s="6"/>
      <c r="G82" s="14"/>
      <c r="H82" s="7"/>
      <c r="I82" s="7"/>
      <c r="J82" s="7"/>
      <c r="K82" s="1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14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"/>
      <c r="AN82" s="7"/>
      <c r="AO82" s="7"/>
      <c r="AP82" s="1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14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14"/>
      <c r="BT82" s="7"/>
      <c r="BU82" s="7"/>
      <c r="BV82" s="7"/>
      <c r="BW82" s="14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36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14"/>
      <c r="CZ82" s="7"/>
      <c r="DA82" s="7"/>
      <c r="DB82" s="7"/>
      <c r="DC82" s="14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14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14"/>
      <c r="EF82" s="7"/>
      <c r="EG82" s="7"/>
      <c r="EH82" s="7"/>
      <c r="EI82" s="14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14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</row>
    <row r="83" spans="3:166" x14ac:dyDescent="0.2">
      <c r="C83" s="6">
        <v>3</v>
      </c>
      <c r="D83" t="s">
        <v>40</v>
      </c>
      <c r="G83" s="10">
        <v>0.97868770000000005</v>
      </c>
      <c r="H83" s="7"/>
      <c r="I83" s="7"/>
      <c r="J83" s="7"/>
      <c r="K83" s="10">
        <v>0.93548390000000003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45">
        <v>0.98351869999999997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45">
        <v>0.97797460000000003</v>
      </c>
      <c r="AN83" s="7"/>
      <c r="AO83" s="7"/>
      <c r="AP83" s="17"/>
      <c r="AQ83" s="10">
        <v>0.93989979999999995</v>
      </c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10">
        <v>0.98392420000000003</v>
      </c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45">
        <v>0.98036400000000001</v>
      </c>
      <c r="BT83" s="7"/>
      <c r="BU83" s="7"/>
      <c r="BV83" s="7"/>
      <c r="BW83" s="10">
        <v>0.93882089999999996</v>
      </c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10">
        <v>0.9843364</v>
      </c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10">
        <v>0.97845340000000003</v>
      </c>
      <c r="CZ83" s="7"/>
      <c r="DA83" s="7"/>
      <c r="DB83" s="7"/>
      <c r="DC83" s="10">
        <v>0.93107280000000003</v>
      </c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10">
        <v>0.98392420000000003</v>
      </c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53">
        <v>0.96312260000000005</v>
      </c>
      <c r="EF83" s="7"/>
      <c r="EG83" s="7"/>
      <c r="EH83" s="7"/>
      <c r="EI83" s="10">
        <v>0.92269190000000001</v>
      </c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10">
        <v>0.9221357</v>
      </c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</row>
    <row r="84" spans="3:166" x14ac:dyDescent="0.2">
      <c r="C84" s="6">
        <v>3</v>
      </c>
      <c r="D84" t="s">
        <v>41</v>
      </c>
      <c r="G84" s="10">
        <v>0.97701150000000003</v>
      </c>
      <c r="H84" s="7"/>
      <c r="I84" s="7"/>
      <c r="J84" s="7"/>
      <c r="K84" s="10">
        <v>0.94549499999999997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45">
        <v>0.98226800000000003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45">
        <v>0.98060340000000001</v>
      </c>
      <c r="AN84" s="7"/>
      <c r="AO84" s="7"/>
      <c r="AP84" s="17"/>
      <c r="AQ84" s="10">
        <v>0.94107839999999998</v>
      </c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10">
        <v>0.9839175</v>
      </c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45">
        <v>0.97893220000000003</v>
      </c>
      <c r="BT84" s="7"/>
      <c r="BU84" s="7"/>
      <c r="BV84" s="7"/>
      <c r="BW84" s="10">
        <v>0.94101279999999998</v>
      </c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10">
        <v>0.9843364</v>
      </c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10">
        <v>0.98251920000000004</v>
      </c>
      <c r="CZ84" s="7"/>
      <c r="DA84" s="7"/>
      <c r="DB84" s="7"/>
      <c r="DC84" s="10">
        <v>0.93882089999999996</v>
      </c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10">
        <v>0.98351869999999997</v>
      </c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53">
        <v>0.96576490000000004</v>
      </c>
      <c r="EF84" s="7"/>
      <c r="EG84" s="7"/>
      <c r="EH84" s="7"/>
      <c r="EI84" s="10">
        <v>0.9221357</v>
      </c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10">
        <v>0.92547270000000004</v>
      </c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</row>
    <row r="85" spans="3:166" x14ac:dyDescent="0.2">
      <c r="C85" s="6">
        <v>3</v>
      </c>
      <c r="D85" t="s">
        <v>42</v>
      </c>
      <c r="G85" s="10">
        <v>0.98324160000000005</v>
      </c>
      <c r="H85" s="7"/>
      <c r="I85" s="7"/>
      <c r="J85" s="7"/>
      <c r="K85" s="10">
        <v>0.93882089999999996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45">
        <v>0.98268759999999999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45">
        <v>0.9789272</v>
      </c>
      <c r="AN85" s="7"/>
      <c r="AO85" s="7"/>
      <c r="AP85" s="17"/>
      <c r="AQ85" s="10">
        <v>0.94215800000000005</v>
      </c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10">
        <v>0.9831067</v>
      </c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45">
        <v>0.98036400000000001</v>
      </c>
      <c r="BT85" s="7"/>
      <c r="BU85" s="7"/>
      <c r="BV85" s="7"/>
      <c r="BW85" s="10">
        <v>0.93551969999999995</v>
      </c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10">
        <v>0.98351200000000005</v>
      </c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10">
        <v>0.97701150000000003</v>
      </c>
      <c r="CZ85" s="7"/>
      <c r="DA85" s="7"/>
      <c r="DB85" s="7"/>
      <c r="DC85" s="10">
        <v>0.93043960000000003</v>
      </c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10">
        <v>0.98515459999999999</v>
      </c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53">
        <v>0.95929120000000001</v>
      </c>
      <c r="EF85" s="7"/>
      <c r="EG85" s="7"/>
      <c r="EH85" s="7"/>
      <c r="EI85" s="10">
        <v>0.92602890000000004</v>
      </c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10">
        <v>0.92269190000000001</v>
      </c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</row>
    <row r="86" spans="3:166" x14ac:dyDescent="0.2">
      <c r="C86" s="6">
        <v>3</v>
      </c>
      <c r="D86" t="s">
        <v>49</v>
      </c>
      <c r="G86" s="44">
        <f>AVERAGE(G83:G85)</f>
        <v>0.97964693333333341</v>
      </c>
      <c r="H86" s="7"/>
      <c r="I86" s="7"/>
      <c r="J86" s="7"/>
      <c r="K86" s="42">
        <f>AVERAGE(K83:K85)</f>
        <v>0.93993326666666677</v>
      </c>
      <c r="L86" s="7"/>
      <c r="M86" s="7"/>
      <c r="N86" s="7"/>
      <c r="O86" s="10">
        <v>7.582E-4</v>
      </c>
      <c r="P86" s="7">
        <v>0</v>
      </c>
      <c r="Q86" s="7">
        <v>0.25</v>
      </c>
      <c r="R86" s="7">
        <v>0.75</v>
      </c>
      <c r="S86" s="7">
        <v>0</v>
      </c>
      <c r="T86" s="10">
        <v>8.3666669999999995E-3</v>
      </c>
      <c r="U86" s="49">
        <v>0.99163330000000005</v>
      </c>
      <c r="V86" s="10">
        <v>6.1049689999999997E-2</v>
      </c>
      <c r="W86" s="10">
        <v>0.91253340000000005</v>
      </c>
      <c r="X86" s="10">
        <v>2.6416909999999998E-2</v>
      </c>
      <c r="Y86" s="43">
        <f>AVERAGE(Y83:Y85)</f>
        <v>0.98282476666666663</v>
      </c>
      <c r="Z86" s="7"/>
      <c r="AA86" s="7"/>
      <c r="AB86" s="7"/>
      <c r="AC86" s="10">
        <v>0.23130000000000001</v>
      </c>
      <c r="AD86" s="7">
        <v>0</v>
      </c>
      <c r="AE86" s="32">
        <v>1</v>
      </c>
      <c r="AF86" s="7">
        <v>0</v>
      </c>
      <c r="AG86" s="10">
        <v>0</v>
      </c>
      <c r="AH86" s="50">
        <v>1</v>
      </c>
      <c r="AI86" s="7">
        <v>0</v>
      </c>
      <c r="AJ86" s="10">
        <v>4.3631530000000002E-2</v>
      </c>
      <c r="AK86" s="10">
        <v>0.94346180000000002</v>
      </c>
      <c r="AL86" s="10">
        <v>1.290667E-2</v>
      </c>
      <c r="AM86" s="44">
        <f>AVERAGE(AM83:AM85)</f>
        <v>0.97916840000000016</v>
      </c>
      <c r="AN86" s="7"/>
      <c r="AO86" s="7"/>
      <c r="AP86" s="17"/>
      <c r="AQ86" s="42">
        <f>AVERAGE(AQ83:AQ85)</f>
        <v>0.94104540000000003</v>
      </c>
      <c r="AR86" s="7"/>
      <c r="AS86" s="7"/>
      <c r="AT86" s="7"/>
      <c r="AU86" s="10">
        <v>4.3560000000000002E-4</v>
      </c>
      <c r="AV86" s="7">
        <v>0</v>
      </c>
      <c r="AW86" s="7">
        <v>0.25</v>
      </c>
      <c r="AX86" s="7">
        <v>0.75</v>
      </c>
      <c r="AY86" s="7">
        <v>0</v>
      </c>
      <c r="AZ86" s="10">
        <v>8.9999999999999993E-3</v>
      </c>
      <c r="BA86" s="49">
        <v>0.99099999999999999</v>
      </c>
      <c r="BB86" s="10">
        <v>1.8225749999999999E-4</v>
      </c>
      <c r="BC86" s="10">
        <v>3.508435E-4</v>
      </c>
      <c r="BD86" s="49">
        <v>0.99946690000000005</v>
      </c>
      <c r="BE86" s="43">
        <f>AVERAGE(BE83:BE85)</f>
        <v>0.98364946666666675</v>
      </c>
      <c r="BF86" s="7"/>
      <c r="BG86" s="7"/>
      <c r="BH86" s="7"/>
      <c r="BI86" s="7">
        <v>0.15740000000000001</v>
      </c>
      <c r="BJ86" s="7">
        <v>0</v>
      </c>
      <c r="BK86" s="32">
        <v>1</v>
      </c>
      <c r="BL86" s="7">
        <v>0</v>
      </c>
      <c r="BM86" s="7">
        <v>0</v>
      </c>
      <c r="BN86" s="32">
        <v>1</v>
      </c>
      <c r="BO86" s="7">
        <v>0</v>
      </c>
      <c r="BP86" s="10">
        <v>5.1438280000000003E-2</v>
      </c>
      <c r="BQ86" s="10">
        <v>0.93779789999999996</v>
      </c>
      <c r="BR86" s="10">
        <v>1.076383E-2</v>
      </c>
      <c r="BS86" s="44">
        <f>AVERAGE(BS83:BS85)</f>
        <v>0.97988673333333332</v>
      </c>
      <c r="BT86" s="7"/>
      <c r="BU86" s="7"/>
      <c r="BV86" s="7"/>
      <c r="BW86" s="42">
        <f>AVERAGE(BW83:BW85)</f>
        <v>0.9384511333333333</v>
      </c>
      <c r="BX86" s="7"/>
      <c r="BY86" s="7"/>
      <c r="BZ86" s="7"/>
      <c r="CA86" s="10">
        <v>1.7149999999999999E-3</v>
      </c>
      <c r="CB86" s="7">
        <v>0</v>
      </c>
      <c r="CC86" s="7">
        <v>0.25</v>
      </c>
      <c r="CD86" s="7">
        <v>0.75</v>
      </c>
      <c r="CE86" s="7">
        <v>0</v>
      </c>
      <c r="CF86" s="10">
        <v>9.2666669999999993E-3</v>
      </c>
      <c r="CG86" s="49">
        <v>0.99073330000000004</v>
      </c>
      <c r="CH86" s="10">
        <v>7.4243930000000001E-4</v>
      </c>
      <c r="CI86" s="10">
        <v>1.2378440000000001E-3</v>
      </c>
      <c r="CJ86" s="68">
        <v>0.99801969999999995</v>
      </c>
      <c r="CK86" s="43">
        <f>AVERAGE(CK83:CK85)</f>
        <v>0.98406159999999998</v>
      </c>
      <c r="CL86" s="7"/>
      <c r="CM86" s="7"/>
      <c r="CN86" s="7"/>
      <c r="CO86" s="10">
        <v>2.343E-3</v>
      </c>
      <c r="CP86" s="10">
        <v>0</v>
      </c>
      <c r="CQ86" s="50">
        <v>1</v>
      </c>
      <c r="CR86" s="10">
        <v>0</v>
      </c>
      <c r="CS86" s="10">
        <v>0</v>
      </c>
      <c r="CT86" s="50">
        <v>1</v>
      </c>
      <c r="CU86" s="10">
        <v>0</v>
      </c>
      <c r="CV86" s="10">
        <v>8.0325809999999998E-4</v>
      </c>
      <c r="CW86" s="10">
        <v>0.99906079999999997</v>
      </c>
      <c r="CX86" s="10">
        <v>1.359283E-4</v>
      </c>
      <c r="CY86" s="44">
        <f>AVERAGE(CY83:CY85)</f>
        <v>0.97932803333333329</v>
      </c>
      <c r="CZ86" s="7"/>
      <c r="DA86" s="7"/>
      <c r="DB86" s="7"/>
      <c r="DC86" s="43">
        <f>AVERAGE(DC83:DC85)</f>
        <v>0.93344443333333338</v>
      </c>
      <c r="DD86" s="7"/>
      <c r="DE86" s="7"/>
      <c r="DF86" s="7"/>
      <c r="DG86" s="10">
        <v>0.52249999999999996</v>
      </c>
      <c r="DH86" s="7">
        <v>0</v>
      </c>
      <c r="DI86" s="32">
        <v>1</v>
      </c>
      <c r="DJ86" s="7">
        <v>0</v>
      </c>
      <c r="DK86" s="7">
        <v>0</v>
      </c>
      <c r="DL86" s="32">
        <v>1</v>
      </c>
      <c r="DM86" s="7">
        <v>0</v>
      </c>
      <c r="DN86" s="10">
        <v>3.5434529999999999E-2</v>
      </c>
      <c r="DO86" s="10">
        <v>0.94484310000000005</v>
      </c>
      <c r="DP86" s="10">
        <v>1.9722400000000001E-2</v>
      </c>
      <c r="DQ86" s="43">
        <f>AVERAGE(DQ83:DQ85)</f>
        <v>0.98419916666666662</v>
      </c>
      <c r="DR86" s="7"/>
      <c r="DS86" s="7"/>
      <c r="DT86" s="7"/>
      <c r="DU86" s="10">
        <v>0.71050000000000002</v>
      </c>
      <c r="DV86" s="7">
        <v>0</v>
      </c>
      <c r="DW86" s="32">
        <v>1</v>
      </c>
      <c r="DX86" s="7">
        <v>0</v>
      </c>
      <c r="DY86" s="7">
        <v>0</v>
      </c>
      <c r="DZ86" s="32">
        <v>1</v>
      </c>
      <c r="EA86" s="7">
        <v>0</v>
      </c>
      <c r="EB86" s="10">
        <v>2.176384E-2</v>
      </c>
      <c r="EC86" s="10">
        <v>0.96178529999999995</v>
      </c>
      <c r="ED86" s="10">
        <v>1.6450909999999999E-2</v>
      </c>
      <c r="EE86" s="44">
        <f>AVERAGE(EE83:EE85)</f>
        <v>0.9627262333333334</v>
      </c>
      <c r="EF86" s="7"/>
      <c r="EG86" s="7"/>
      <c r="EH86" s="7"/>
      <c r="EI86" s="42">
        <f>AVERAGE(EI83:EI85)</f>
        <v>0.92361883333333328</v>
      </c>
      <c r="EJ86" s="7"/>
      <c r="EK86" s="7"/>
      <c r="EL86" s="7"/>
      <c r="EM86" s="7" t="s">
        <v>24</v>
      </c>
      <c r="EN86" s="7">
        <v>0</v>
      </c>
      <c r="EO86" s="7">
        <v>0.25</v>
      </c>
      <c r="EP86" s="7">
        <v>0.75</v>
      </c>
      <c r="EQ86" s="7">
        <v>0</v>
      </c>
      <c r="ER86" s="10">
        <v>8.3333330000000001E-3</v>
      </c>
      <c r="ES86" s="49">
        <v>0.99166670000000001</v>
      </c>
      <c r="ET86" s="7" t="s">
        <v>24</v>
      </c>
      <c r="EU86" s="7" t="s">
        <v>24</v>
      </c>
      <c r="EV86" s="7" t="s">
        <v>24</v>
      </c>
      <c r="EW86" s="42">
        <f>AVERAGE(EW83:EW85)</f>
        <v>0.92343343333333328</v>
      </c>
      <c r="EX86" s="7"/>
      <c r="EY86" s="7"/>
      <c r="EZ86" s="7"/>
      <c r="FA86" s="10">
        <v>1.199E-3</v>
      </c>
      <c r="FB86" s="7">
        <v>0</v>
      </c>
      <c r="FC86" s="7">
        <v>0.25</v>
      </c>
      <c r="FD86" s="7">
        <v>0.75</v>
      </c>
      <c r="FE86" s="7">
        <v>0</v>
      </c>
      <c r="FF86" s="10">
        <v>8.9333329999999999E-3</v>
      </c>
      <c r="FG86" s="49">
        <v>0.99106669999999997</v>
      </c>
      <c r="FH86" s="10">
        <v>5.0789430000000005E-4</v>
      </c>
      <c r="FI86" s="10">
        <v>9.2630360000000005E-4</v>
      </c>
      <c r="FJ86" s="49">
        <v>0.99856579999999995</v>
      </c>
    </row>
    <row r="87" spans="3:166" x14ac:dyDescent="0.2">
      <c r="C87" s="6">
        <v>3</v>
      </c>
      <c r="D87" t="s">
        <v>43</v>
      </c>
      <c r="G87" s="10">
        <v>0.98029999999999995</v>
      </c>
      <c r="H87" s="10">
        <v>0.98247039999999997</v>
      </c>
      <c r="I87" s="10">
        <v>0.99586779999999997</v>
      </c>
      <c r="J87" s="10">
        <v>0.98912370000000005</v>
      </c>
      <c r="K87" s="10">
        <v>0.51870000000000005</v>
      </c>
      <c r="L87" s="10">
        <v>0.97554810000000003</v>
      </c>
      <c r="M87" s="10">
        <v>0.4780992</v>
      </c>
      <c r="N87" s="10">
        <v>0.64170830000000001</v>
      </c>
      <c r="O87" s="7" t="s">
        <v>24</v>
      </c>
      <c r="P87" s="10">
        <v>0</v>
      </c>
      <c r="Q87" s="10">
        <v>0.5</v>
      </c>
      <c r="R87" s="10">
        <v>0.5</v>
      </c>
      <c r="S87" s="10">
        <v>0</v>
      </c>
      <c r="T87" s="10">
        <v>0.15873329999999999</v>
      </c>
      <c r="U87" s="10">
        <v>0.84126670000000003</v>
      </c>
      <c r="V87" s="7" t="s">
        <v>24</v>
      </c>
      <c r="W87" s="7" t="s">
        <v>24</v>
      </c>
      <c r="X87" s="7" t="s">
        <v>24</v>
      </c>
      <c r="Y87" s="46">
        <v>0.84730000000000005</v>
      </c>
      <c r="Z87" s="10">
        <v>0.9130703</v>
      </c>
      <c r="AA87" s="10">
        <v>0.91797519999999999</v>
      </c>
      <c r="AB87" s="10">
        <v>0.9155162</v>
      </c>
      <c r="AC87" s="7" t="s">
        <v>24</v>
      </c>
      <c r="AD87" s="10">
        <v>0</v>
      </c>
      <c r="AE87" s="10">
        <v>0.5</v>
      </c>
      <c r="AF87" s="10">
        <v>0.5</v>
      </c>
      <c r="AG87" s="10">
        <v>0</v>
      </c>
      <c r="AH87" s="53">
        <v>0.16106670000000001</v>
      </c>
      <c r="AI87" s="10">
        <v>0.83893329999999999</v>
      </c>
      <c r="AJ87" s="7" t="s">
        <v>24</v>
      </c>
      <c r="AK87" s="7" t="s">
        <v>24</v>
      </c>
      <c r="AL87" s="7" t="s">
        <v>24</v>
      </c>
      <c r="AM87" s="45">
        <v>0.9778</v>
      </c>
      <c r="AN87" s="10">
        <v>0.9789004</v>
      </c>
      <c r="AO87" s="10">
        <v>0.99690080000000003</v>
      </c>
      <c r="AP87" s="10">
        <v>0.98781859999999999</v>
      </c>
      <c r="AQ87" s="10">
        <v>0.48039999999999999</v>
      </c>
      <c r="AR87" s="10">
        <v>0.91464400000000001</v>
      </c>
      <c r="AS87" s="10">
        <v>0.46714879999999998</v>
      </c>
      <c r="AT87" s="10">
        <v>0.61843539999999997</v>
      </c>
      <c r="AU87" s="7" t="s">
        <v>24</v>
      </c>
      <c r="AV87" s="10">
        <v>0</v>
      </c>
      <c r="AW87" s="10">
        <v>0.5</v>
      </c>
      <c r="AX87" s="10">
        <v>0.5</v>
      </c>
      <c r="AY87" s="10">
        <v>0</v>
      </c>
      <c r="AZ87" s="10">
        <v>0.15703329999999999</v>
      </c>
      <c r="BA87" s="10">
        <v>0.84296669999999996</v>
      </c>
      <c r="BB87" s="7" t="s">
        <v>24</v>
      </c>
      <c r="BC87" s="7" t="s">
        <v>24</v>
      </c>
      <c r="BD87" s="7" t="s">
        <v>24</v>
      </c>
      <c r="BE87" s="10">
        <v>0.90310000000000001</v>
      </c>
      <c r="BF87" s="10">
        <v>0.90328602999999996</v>
      </c>
      <c r="BG87" s="7">
        <v>0.99958678000000001</v>
      </c>
      <c r="BH87" s="10">
        <v>0.94899960999999999</v>
      </c>
      <c r="BI87" s="7" t="s">
        <v>24</v>
      </c>
      <c r="BJ87" s="10"/>
      <c r="BK87" s="7"/>
      <c r="BL87" s="10"/>
      <c r="BM87" s="7"/>
      <c r="BN87" s="10"/>
      <c r="BO87" s="10"/>
      <c r="BP87" s="7" t="s">
        <v>24</v>
      </c>
      <c r="BQ87" s="7" t="s">
        <v>24</v>
      </c>
      <c r="BR87" s="7" t="s">
        <v>24</v>
      </c>
      <c r="BS87" s="45">
        <v>0.98119999999999996</v>
      </c>
      <c r="BT87" s="10">
        <v>0.98386770000000001</v>
      </c>
      <c r="BU87" s="10">
        <v>0.99545450000000002</v>
      </c>
      <c r="BV87" s="10">
        <v>0.98962720000000004</v>
      </c>
      <c r="BW87" s="10">
        <v>0.97470000000000001</v>
      </c>
      <c r="BX87" s="10">
        <v>0.98078500000000002</v>
      </c>
      <c r="BY87" s="10">
        <v>0.99132229999999999</v>
      </c>
      <c r="BZ87" s="10">
        <v>0.9860255</v>
      </c>
      <c r="CA87" s="7" t="s">
        <v>24</v>
      </c>
      <c r="CB87" s="10">
        <v>0</v>
      </c>
      <c r="CC87" s="10">
        <v>1</v>
      </c>
      <c r="CD87" s="10">
        <v>0</v>
      </c>
      <c r="CE87" s="10">
        <v>0</v>
      </c>
      <c r="CF87" s="10">
        <v>1</v>
      </c>
      <c r="CG87" s="10">
        <v>0</v>
      </c>
      <c r="CH87" s="7" t="s">
        <v>24</v>
      </c>
      <c r="CI87" s="7" t="s">
        <v>24</v>
      </c>
      <c r="CJ87" s="7" t="s">
        <v>24</v>
      </c>
      <c r="CK87" s="50">
        <v>0.97750000000000004</v>
      </c>
      <c r="CL87" s="10">
        <v>0.98162890000000003</v>
      </c>
      <c r="CM87" s="10">
        <v>0.99359500000000001</v>
      </c>
      <c r="CN87" s="10">
        <v>0.98757569999999995</v>
      </c>
      <c r="CO87" s="7" t="s">
        <v>24</v>
      </c>
      <c r="CP87" s="10">
        <v>0</v>
      </c>
      <c r="CQ87" s="50">
        <v>1</v>
      </c>
      <c r="CR87" s="10">
        <v>0</v>
      </c>
      <c r="CS87" s="10">
        <v>0</v>
      </c>
      <c r="CT87" s="50">
        <v>1</v>
      </c>
      <c r="CU87" s="10">
        <v>0</v>
      </c>
      <c r="CV87" s="7" t="s">
        <v>24</v>
      </c>
      <c r="CW87" s="7" t="s">
        <v>24</v>
      </c>
      <c r="CX87" s="7" t="s">
        <v>24</v>
      </c>
      <c r="CY87" s="10">
        <v>0.98080000000000001</v>
      </c>
      <c r="CZ87" s="10">
        <v>0.97968310000000003</v>
      </c>
      <c r="DA87" s="10">
        <v>0.99628099999999997</v>
      </c>
      <c r="DB87" s="10">
        <v>0.98791229999999997</v>
      </c>
      <c r="DC87" s="50">
        <v>0.97040000000000004</v>
      </c>
      <c r="DD87" s="10">
        <v>0.98089170000000003</v>
      </c>
      <c r="DE87" s="10">
        <v>0.98636360000000001</v>
      </c>
      <c r="DF87" s="10">
        <v>0.9836201</v>
      </c>
      <c r="DG87" s="7" t="s">
        <v>24</v>
      </c>
      <c r="DH87" s="7">
        <v>0</v>
      </c>
      <c r="DI87" s="32">
        <v>1</v>
      </c>
      <c r="DJ87" s="7">
        <v>0</v>
      </c>
      <c r="DK87" s="7">
        <v>0</v>
      </c>
      <c r="DL87" s="32">
        <v>1</v>
      </c>
      <c r="DM87" s="7">
        <v>0</v>
      </c>
      <c r="DN87" s="7" t="s">
        <v>24</v>
      </c>
      <c r="DO87" s="7" t="s">
        <v>24</v>
      </c>
      <c r="DP87" s="7" t="s">
        <v>24</v>
      </c>
      <c r="DQ87" s="50">
        <v>0.97430000000000005</v>
      </c>
      <c r="DR87" s="10">
        <v>0.98474229999999996</v>
      </c>
      <c r="DS87" s="10">
        <v>0.98677689999999996</v>
      </c>
      <c r="DT87" s="10">
        <v>0.98575849999999998</v>
      </c>
      <c r="DU87" s="7" t="s">
        <v>24</v>
      </c>
      <c r="DV87" s="7">
        <v>0</v>
      </c>
      <c r="DW87" s="32">
        <v>1</v>
      </c>
      <c r="DX87" s="7">
        <v>0</v>
      </c>
      <c r="DY87" s="7">
        <v>0</v>
      </c>
      <c r="DZ87" s="32">
        <v>1</v>
      </c>
      <c r="EA87" s="7">
        <v>0</v>
      </c>
      <c r="EB87" s="7" t="s">
        <v>24</v>
      </c>
      <c r="EC87" s="7" t="s">
        <v>24</v>
      </c>
      <c r="ED87" s="7" t="s">
        <v>24</v>
      </c>
      <c r="EE87" s="53">
        <v>0.9667</v>
      </c>
      <c r="EF87" s="10">
        <v>0.98481379999999996</v>
      </c>
      <c r="EG87" s="10">
        <v>0.97809919999999995</v>
      </c>
      <c r="EH87" s="10">
        <v>0.98144500000000001</v>
      </c>
      <c r="EI87" s="27">
        <v>0.9637</v>
      </c>
      <c r="EJ87" s="10">
        <v>0.97955809999999999</v>
      </c>
      <c r="EK87" s="10">
        <v>0.98016530000000002</v>
      </c>
      <c r="EL87" s="10">
        <v>0.9798616</v>
      </c>
      <c r="EM87" s="7" t="s">
        <v>24</v>
      </c>
      <c r="EN87" s="7">
        <v>0</v>
      </c>
      <c r="EO87" s="7">
        <v>1</v>
      </c>
      <c r="EP87" s="7">
        <v>0</v>
      </c>
      <c r="EQ87" s="7" t="s">
        <v>24</v>
      </c>
      <c r="ER87" s="7" t="s">
        <v>24</v>
      </c>
      <c r="ES87" s="7" t="s">
        <v>24</v>
      </c>
      <c r="ET87" s="7" t="s">
        <v>24</v>
      </c>
      <c r="EU87" s="7" t="s">
        <v>24</v>
      </c>
      <c r="EV87" s="7" t="s">
        <v>24</v>
      </c>
      <c r="EW87" s="50">
        <v>0.9637</v>
      </c>
      <c r="EX87" s="10">
        <v>0.97955809999999999</v>
      </c>
      <c r="EY87" s="10">
        <v>0.98016530000000002</v>
      </c>
      <c r="EZ87" s="10">
        <v>0.9798616</v>
      </c>
      <c r="FA87" s="7" t="s">
        <v>24</v>
      </c>
      <c r="FB87" s="10">
        <v>0</v>
      </c>
      <c r="FC87" s="10">
        <v>1</v>
      </c>
      <c r="FD87" s="10">
        <v>0</v>
      </c>
      <c r="FE87" s="10">
        <v>0</v>
      </c>
      <c r="FF87" s="50">
        <v>1</v>
      </c>
      <c r="FG87" s="10">
        <v>0</v>
      </c>
      <c r="FH87" s="7" t="s">
        <v>24</v>
      </c>
      <c r="FI87" s="7" t="s">
        <v>24</v>
      </c>
      <c r="FJ87" s="7" t="s">
        <v>24</v>
      </c>
    </row>
    <row r="88" spans="3:166" x14ac:dyDescent="0.2">
      <c r="C88" s="6"/>
      <c r="G88" s="14"/>
      <c r="H88" s="7"/>
      <c r="I88" s="7"/>
      <c r="J88" s="7"/>
      <c r="K88" s="1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14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14"/>
      <c r="AN88" s="7"/>
      <c r="AO88" s="7"/>
      <c r="AP88" s="1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14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14"/>
      <c r="BT88" s="7"/>
      <c r="BU88" s="7"/>
      <c r="BV88" s="7"/>
      <c r="BW88" s="14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14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14"/>
      <c r="CZ88" s="7"/>
      <c r="DA88" s="7"/>
      <c r="DB88" s="7"/>
      <c r="DC88" s="14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66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14"/>
      <c r="EF88" s="7"/>
      <c r="EG88" s="7"/>
      <c r="EH88" s="7"/>
      <c r="EI88" s="14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14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</row>
    <row r="89" spans="3:166" x14ac:dyDescent="0.2">
      <c r="C89" s="6">
        <v>4</v>
      </c>
      <c r="D89" t="s">
        <v>40</v>
      </c>
      <c r="G89" s="10">
        <v>0.97868770000000005</v>
      </c>
      <c r="H89" s="7"/>
      <c r="I89" s="7"/>
      <c r="J89" s="7"/>
      <c r="K89" s="10">
        <v>0.94456289999999998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45">
        <v>0.98758729999999995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45">
        <v>0.97797460000000003</v>
      </c>
      <c r="AN89" s="7"/>
      <c r="AO89" s="7"/>
      <c r="AP89" s="17"/>
      <c r="AQ89" s="10">
        <v>0.9337607</v>
      </c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10">
        <v>0.98836299999999999</v>
      </c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45">
        <v>0.98036400000000001</v>
      </c>
      <c r="BT89" s="7"/>
      <c r="BU89" s="7"/>
      <c r="BV89" s="7"/>
      <c r="BW89" s="10">
        <v>0.94243069999999995</v>
      </c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10">
        <v>0.98797979999999996</v>
      </c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10">
        <v>0.97845340000000003</v>
      </c>
      <c r="CZ89" s="7"/>
      <c r="DA89" s="7"/>
      <c r="DB89" s="7"/>
      <c r="DC89" s="10">
        <v>0.94882730000000004</v>
      </c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10">
        <v>0.98797979999999996</v>
      </c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53">
        <v>0.96312260000000005</v>
      </c>
      <c r="EF89" s="7"/>
      <c r="EG89" s="7"/>
      <c r="EH89" s="7"/>
      <c r="EI89" s="10">
        <v>0.89125799999999999</v>
      </c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10">
        <v>0.89339020000000002</v>
      </c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</row>
    <row r="90" spans="3:166" x14ac:dyDescent="0.2">
      <c r="C90" s="6">
        <v>4</v>
      </c>
      <c r="D90" t="s">
        <v>41</v>
      </c>
      <c r="G90" s="10">
        <v>0.97701150000000003</v>
      </c>
      <c r="H90" s="7"/>
      <c r="I90" s="7"/>
      <c r="J90" s="7"/>
      <c r="K90" s="10">
        <v>0.93589739999999999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45">
        <v>0.98836310000000005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45">
        <v>0.98060340000000001</v>
      </c>
      <c r="AN90" s="7"/>
      <c r="AO90" s="7"/>
      <c r="AP90" s="17"/>
      <c r="AQ90" s="10">
        <v>0.94669510000000001</v>
      </c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10">
        <v>0.98797979999999996</v>
      </c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45">
        <v>0.97893220000000003</v>
      </c>
      <c r="BT90" s="7"/>
      <c r="BU90" s="7"/>
      <c r="BV90" s="7"/>
      <c r="BW90" s="10">
        <v>0.93176970000000003</v>
      </c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10">
        <v>0.98797520000000005</v>
      </c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10">
        <v>0.98251920000000004</v>
      </c>
      <c r="CZ90" s="7"/>
      <c r="DA90" s="7"/>
      <c r="DB90" s="7"/>
      <c r="DC90" s="10">
        <v>0.94882730000000004</v>
      </c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10">
        <v>0.98797520000000005</v>
      </c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53">
        <v>0.96576490000000004</v>
      </c>
      <c r="EF90" s="7"/>
      <c r="EG90" s="7"/>
      <c r="EH90" s="7"/>
      <c r="EI90" s="10">
        <v>0.89957259999999994</v>
      </c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10">
        <v>0.91239320000000002</v>
      </c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</row>
    <row r="91" spans="3:166" x14ac:dyDescent="0.2">
      <c r="C91" s="6">
        <v>4</v>
      </c>
      <c r="D91" t="s">
        <v>42</v>
      </c>
      <c r="G91" s="10">
        <v>0.98324160000000005</v>
      </c>
      <c r="H91" s="7"/>
      <c r="I91" s="7"/>
      <c r="J91" s="7"/>
      <c r="K91" s="10">
        <v>0.94669510000000001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45">
        <v>0.98642879999999999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45">
        <v>0.9789272</v>
      </c>
      <c r="AN91" s="7"/>
      <c r="AO91" s="7"/>
      <c r="AP91" s="17"/>
      <c r="AQ91" s="10">
        <v>0.92963750000000001</v>
      </c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10">
        <v>0.98797520000000005</v>
      </c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45">
        <v>0.98036400000000001</v>
      </c>
      <c r="BT91" s="7"/>
      <c r="BU91" s="7"/>
      <c r="BV91" s="7"/>
      <c r="BW91" s="10">
        <v>0.94017090000000003</v>
      </c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10"/>
      <c r="CI91" s="7"/>
      <c r="CJ91" s="7"/>
      <c r="CK91" s="10">
        <v>0.98836310000000005</v>
      </c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10">
        <v>0.97701150000000003</v>
      </c>
      <c r="CZ91" s="7"/>
      <c r="DA91" s="7"/>
      <c r="DB91" s="7"/>
      <c r="DC91" s="10">
        <v>0.93803420000000004</v>
      </c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10">
        <v>0.98952680000000004</v>
      </c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53">
        <v>0.95929120000000001</v>
      </c>
      <c r="EF91" s="7"/>
      <c r="EG91" s="7"/>
      <c r="EH91" s="7"/>
      <c r="EI91" s="10">
        <v>0.91897649999999997</v>
      </c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10">
        <v>0.91044780000000003</v>
      </c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</row>
    <row r="92" spans="3:166" ht="17" thickBot="1" x14ac:dyDescent="0.25">
      <c r="C92" s="6">
        <v>4</v>
      </c>
      <c r="D92" t="s">
        <v>49</v>
      </c>
      <c r="G92" s="44">
        <f>AVERAGE(G89:G91)</f>
        <v>0.97964693333333341</v>
      </c>
      <c r="H92" s="7"/>
      <c r="I92" s="7"/>
      <c r="J92" s="7"/>
      <c r="K92" s="42">
        <f>AVERAGE(K89:K91)</f>
        <v>0.9423851333333334</v>
      </c>
      <c r="L92" s="7"/>
      <c r="M92" s="7"/>
      <c r="N92" s="7"/>
      <c r="O92" s="10">
        <v>9.5610000000000001E-3</v>
      </c>
      <c r="P92" s="7">
        <v>0</v>
      </c>
      <c r="Q92" s="7">
        <v>0.25</v>
      </c>
      <c r="R92" s="7">
        <v>0.75</v>
      </c>
      <c r="S92" s="7">
        <v>0</v>
      </c>
      <c r="T92" s="10">
        <v>8.7333329999999994E-3</v>
      </c>
      <c r="U92" s="49">
        <v>0.99126669999999995</v>
      </c>
      <c r="V92" s="10">
        <v>3.9719669999999999E-3</v>
      </c>
      <c r="W92" s="10">
        <v>7.688449E-3</v>
      </c>
      <c r="X92" s="49">
        <v>0.98833959999999998</v>
      </c>
      <c r="Y92" s="44">
        <f>AVERAGE(Y89:Y91)</f>
        <v>0.98745973333333337</v>
      </c>
      <c r="Z92" s="7"/>
      <c r="AA92" s="7"/>
      <c r="AB92" s="7"/>
      <c r="AC92" s="10">
        <v>8.3949999999999997E-2</v>
      </c>
      <c r="AD92" s="7">
        <v>0.25</v>
      </c>
      <c r="AE92" s="7">
        <v>0.75</v>
      </c>
      <c r="AF92" s="7">
        <v>0</v>
      </c>
      <c r="AG92" s="10">
        <v>0.15616669999999999</v>
      </c>
      <c r="AH92" s="10">
        <v>0.84383330000000001</v>
      </c>
      <c r="AI92" s="7">
        <v>0</v>
      </c>
      <c r="AJ92" s="10">
        <v>0.25777519999999998</v>
      </c>
      <c r="AK92" s="10">
        <v>0.73036909999999999</v>
      </c>
      <c r="AL92" s="10">
        <v>1.185571E-2</v>
      </c>
      <c r="AM92" s="44">
        <f>AVERAGE(AM89:AM91)</f>
        <v>0.97916840000000016</v>
      </c>
      <c r="AN92" s="7"/>
      <c r="AO92" s="7"/>
      <c r="AP92" s="17"/>
      <c r="AQ92" s="42">
        <f>AVERAGE(AQ89:AQ91)</f>
        <v>0.93669776666666671</v>
      </c>
      <c r="AR92" s="7"/>
      <c r="AS92" s="7"/>
      <c r="AT92" s="7"/>
      <c r="AU92" s="10">
        <v>1.6230000000000001E-2</v>
      </c>
      <c r="AV92" s="7">
        <v>0</v>
      </c>
      <c r="AW92" s="7">
        <v>0.25</v>
      </c>
      <c r="AX92" s="7">
        <v>0.75</v>
      </c>
      <c r="AY92" s="7">
        <v>0</v>
      </c>
      <c r="AZ92" s="10">
        <v>9.1666669999999999E-3</v>
      </c>
      <c r="BA92" s="49">
        <v>0.99083330000000003</v>
      </c>
      <c r="BB92" s="10">
        <v>7.1111899999999999E-3</v>
      </c>
      <c r="BC92" s="10">
        <v>1.084593E-2</v>
      </c>
      <c r="BD92" s="49">
        <v>0.98204290000000005</v>
      </c>
      <c r="BE92" s="44">
        <f>AVERAGE(BE89:BE91)</f>
        <v>0.98810600000000004</v>
      </c>
      <c r="BF92" s="7"/>
      <c r="BG92" s="7"/>
      <c r="BH92" s="7"/>
      <c r="BI92" s="10">
        <v>3.9710000000000002E-2</v>
      </c>
      <c r="BJ92" s="7">
        <v>0.25</v>
      </c>
      <c r="BK92" s="7">
        <v>0.75</v>
      </c>
      <c r="BL92" s="7">
        <v>0</v>
      </c>
      <c r="BM92" s="10">
        <v>0.15796669999999999</v>
      </c>
      <c r="BN92" s="10">
        <v>0.84203329999999998</v>
      </c>
      <c r="BO92" s="7">
        <v>0</v>
      </c>
      <c r="BP92" s="10">
        <v>0.2614206</v>
      </c>
      <c r="BQ92" s="10">
        <v>0.7327728</v>
      </c>
      <c r="BR92" s="10">
        <v>5.8066309999999996E-3</v>
      </c>
      <c r="BS92" s="44">
        <f>AVERAGE(BS89:BS91)</f>
        <v>0.97988673333333332</v>
      </c>
      <c r="BT92" s="7"/>
      <c r="BU92" s="7"/>
      <c r="BV92" s="7"/>
      <c r="BW92" s="42">
        <f>AVERAGE(BW89:BW91)</f>
        <v>0.93812376666666664</v>
      </c>
      <c r="BX92" s="7"/>
      <c r="BY92" s="7"/>
      <c r="BZ92" s="7"/>
      <c r="CA92" s="10">
        <v>6.6550000000000003E-3</v>
      </c>
      <c r="CB92" s="7">
        <v>0</v>
      </c>
      <c r="CC92" s="7">
        <v>0.25</v>
      </c>
      <c r="CD92" s="7">
        <v>0.75</v>
      </c>
      <c r="CE92" s="7">
        <v>0</v>
      </c>
      <c r="CF92" s="10">
        <v>9.0666670000000005E-3</v>
      </c>
      <c r="CG92" s="49">
        <v>0.99093330000000002</v>
      </c>
      <c r="CH92" s="10">
        <v>2.8917470000000001E-3</v>
      </c>
      <c r="CI92" s="10">
        <v>4.6797899999999996E-3</v>
      </c>
      <c r="CJ92" s="49">
        <v>0.99242850000000005</v>
      </c>
      <c r="CK92" s="43">
        <f>AVERAGE(CK89:CK91)</f>
        <v>0.98810603333333324</v>
      </c>
      <c r="CL92" s="7"/>
      <c r="CM92" s="7"/>
      <c r="CN92" s="7"/>
      <c r="CO92" s="10">
        <v>2.6809999999999998E-3</v>
      </c>
      <c r="CP92" s="7">
        <v>0</v>
      </c>
      <c r="CQ92" s="32">
        <v>1</v>
      </c>
      <c r="CR92" s="7">
        <v>0</v>
      </c>
      <c r="CS92" s="10">
        <v>0</v>
      </c>
      <c r="CT92" s="50">
        <v>1</v>
      </c>
      <c r="CU92" s="7">
        <v>0</v>
      </c>
      <c r="CV92" s="10">
        <v>3.4337859999999998E-2</v>
      </c>
      <c r="CW92" s="10">
        <v>0.96529739999999997</v>
      </c>
      <c r="CX92" s="10">
        <v>3.6479189999999998E-4</v>
      </c>
      <c r="CY92" s="44">
        <f>AVERAGE(CY89:CY91)</f>
        <v>0.97932803333333329</v>
      </c>
      <c r="CZ92" s="7"/>
      <c r="DA92" s="7"/>
      <c r="DB92" s="7"/>
      <c r="DC92" s="42">
        <f>AVERAGE(DC89:DC91)</f>
        <v>0.94522960000000011</v>
      </c>
      <c r="DD92" s="7"/>
      <c r="DE92" s="7"/>
      <c r="DF92" s="7"/>
      <c r="DG92" s="10">
        <v>6.2440000000000004E-3</v>
      </c>
      <c r="DH92" s="7">
        <v>0</v>
      </c>
      <c r="DI92" s="7">
        <v>0.25</v>
      </c>
      <c r="DJ92" s="7">
        <v>0.75</v>
      </c>
      <c r="DK92" s="7">
        <v>0</v>
      </c>
      <c r="DL92" s="10">
        <v>7.7333330000000002E-3</v>
      </c>
      <c r="DM92" s="49">
        <v>0.99226669999999995</v>
      </c>
      <c r="DN92" s="10">
        <v>2.4935040000000001E-3</v>
      </c>
      <c r="DO92" s="10">
        <v>5.7126870000000001E-3</v>
      </c>
      <c r="DP92" s="10">
        <v>0.99179379999999995</v>
      </c>
      <c r="DQ92" s="44">
        <f>AVERAGE(DQ89:DQ91)</f>
        <v>0.98849393333333335</v>
      </c>
      <c r="DR92" s="7"/>
      <c r="DS92" s="7"/>
      <c r="DT92" s="7"/>
      <c r="DU92" s="10">
        <v>4.6379999999999998E-2</v>
      </c>
      <c r="DV92" s="7">
        <v>0.25</v>
      </c>
      <c r="DW92" s="7">
        <v>0.75</v>
      </c>
      <c r="DX92" s="7">
        <v>0</v>
      </c>
      <c r="DY92" s="10">
        <v>0.15679999999999999</v>
      </c>
      <c r="DZ92" s="10">
        <v>0.84319999999999995</v>
      </c>
      <c r="EA92" s="7">
        <v>0</v>
      </c>
      <c r="EB92" s="10">
        <v>0.37888060000000001</v>
      </c>
      <c r="EC92" s="10">
        <v>0.61369249999999997</v>
      </c>
      <c r="ED92" s="10">
        <v>7.4269449999999999E-3</v>
      </c>
      <c r="EE92" s="44">
        <f>AVERAGE(EE89:EE91)</f>
        <v>0.9627262333333334</v>
      </c>
      <c r="EF92" s="7"/>
      <c r="EG92" s="7"/>
      <c r="EH92" s="7"/>
      <c r="EI92" s="42">
        <f>AVERAGE(EI89:EI91)</f>
        <v>0.9032690333333333</v>
      </c>
      <c r="EJ92" s="7"/>
      <c r="EK92" s="7"/>
      <c r="EL92" s="7"/>
      <c r="EM92" s="10">
        <v>2.5649999999999999E-2</v>
      </c>
      <c r="EN92" s="7">
        <v>0</v>
      </c>
      <c r="EO92" s="7">
        <v>0.25</v>
      </c>
      <c r="EP92" s="7">
        <v>0.75</v>
      </c>
      <c r="EQ92" s="7">
        <v>0</v>
      </c>
      <c r="ER92" s="10">
        <v>8.0333330000000001E-3</v>
      </c>
      <c r="ES92" s="49">
        <v>0.99196669999999998</v>
      </c>
      <c r="ET92" s="10">
        <v>1.2541750000000001E-2</v>
      </c>
      <c r="EU92" s="10">
        <v>1.133176E-2</v>
      </c>
      <c r="EV92" s="10">
        <v>0.97612650000000001</v>
      </c>
      <c r="EW92" s="42">
        <f>AVERAGE(EW89:EW91)</f>
        <v>0.90541040000000006</v>
      </c>
      <c r="EX92" s="7"/>
      <c r="EY92" s="7"/>
      <c r="EZ92" s="7"/>
      <c r="FA92" s="10">
        <v>1.2030000000000001E-2</v>
      </c>
      <c r="FB92" s="7">
        <v>0</v>
      </c>
      <c r="FC92" s="7">
        <v>0.25</v>
      </c>
      <c r="FD92" s="7">
        <v>0.75</v>
      </c>
      <c r="FE92" s="7">
        <v>0</v>
      </c>
      <c r="FF92" s="10">
        <v>9.9000000000000008E-3</v>
      </c>
      <c r="FG92" s="49">
        <v>0.99009999999999998</v>
      </c>
      <c r="FH92" s="10">
        <v>5.8186610000000001E-3</v>
      </c>
      <c r="FI92" s="10">
        <v>5.7529520000000004E-3</v>
      </c>
      <c r="FJ92" s="49">
        <v>0.98842839999999998</v>
      </c>
    </row>
    <row r="93" spans="3:166" ht="17" thickBot="1" x14ac:dyDescent="0.25">
      <c r="C93" s="6">
        <v>4</v>
      </c>
      <c r="D93" t="s">
        <v>43</v>
      </c>
      <c r="G93" s="10">
        <v>0.98029999999999995</v>
      </c>
      <c r="H93" s="10">
        <v>0.98247039999999997</v>
      </c>
      <c r="I93" s="10">
        <v>0.99586779999999997</v>
      </c>
      <c r="J93" s="10">
        <v>0.98912370000000005</v>
      </c>
      <c r="K93" s="10">
        <v>0.1265</v>
      </c>
      <c r="L93" s="10">
        <v>1</v>
      </c>
      <c r="M93" s="10">
        <v>3.099174E-2</v>
      </c>
      <c r="N93" s="10">
        <v>6.0120239999999998E-2</v>
      </c>
      <c r="O93" s="7" t="s">
        <v>24</v>
      </c>
      <c r="P93" s="10">
        <v>0</v>
      </c>
      <c r="Q93" s="10">
        <v>0.5</v>
      </c>
      <c r="R93" s="10">
        <v>0.5</v>
      </c>
      <c r="S93" s="10">
        <v>0</v>
      </c>
      <c r="T93" s="86">
        <v>0.1554333</v>
      </c>
      <c r="U93" s="86">
        <v>0.8445667</v>
      </c>
      <c r="V93" s="7" t="s">
        <v>24</v>
      </c>
      <c r="W93" s="7" t="s">
        <v>24</v>
      </c>
      <c r="X93" s="7" t="s">
        <v>24</v>
      </c>
      <c r="Y93" s="45">
        <v>0.94750000000000001</v>
      </c>
      <c r="Z93" s="10">
        <v>0.94826909999999998</v>
      </c>
      <c r="AA93" s="10">
        <v>0.99607440000000003</v>
      </c>
      <c r="AB93" s="10">
        <v>0.971584</v>
      </c>
      <c r="AC93" s="7" t="s">
        <v>24</v>
      </c>
      <c r="AD93" s="10">
        <v>0</v>
      </c>
      <c r="AE93" s="10">
        <v>0.5</v>
      </c>
      <c r="AF93" s="10">
        <v>0.5</v>
      </c>
      <c r="AG93" s="10">
        <v>0</v>
      </c>
      <c r="AH93" s="10">
        <v>0.16309999999999999</v>
      </c>
      <c r="AI93" s="10">
        <v>0.83689999999999998</v>
      </c>
      <c r="AJ93" s="7" t="s">
        <v>24</v>
      </c>
      <c r="AK93" s="7" t="s">
        <v>24</v>
      </c>
      <c r="AL93" s="7" t="s">
        <v>24</v>
      </c>
      <c r="AM93" s="45">
        <v>0.9778</v>
      </c>
      <c r="AN93" s="10">
        <v>0.9789004</v>
      </c>
      <c r="AO93" s="10">
        <v>0.99690080000000003</v>
      </c>
      <c r="AP93" s="10">
        <v>0.98781859999999999</v>
      </c>
      <c r="AQ93" s="10">
        <v>0.1222</v>
      </c>
      <c r="AR93" s="10">
        <v>0.95683452999999996</v>
      </c>
      <c r="AS93" s="10">
        <v>2.7479340000000001E-2</v>
      </c>
      <c r="AT93" s="10">
        <v>5.342438E-2</v>
      </c>
      <c r="AU93" s="7" t="s">
        <v>24</v>
      </c>
      <c r="AV93" s="10">
        <v>0</v>
      </c>
      <c r="AW93" s="10">
        <v>0.5</v>
      </c>
      <c r="AX93" s="10">
        <v>0.5</v>
      </c>
      <c r="AY93" s="10">
        <v>0</v>
      </c>
      <c r="AZ93" s="10">
        <v>0.1575667</v>
      </c>
      <c r="BA93" s="10">
        <v>0.84243330000000005</v>
      </c>
      <c r="BB93" s="7" t="s">
        <v>24</v>
      </c>
      <c r="BC93" s="7" t="s">
        <v>24</v>
      </c>
      <c r="BD93" s="7" t="s">
        <v>24</v>
      </c>
      <c r="BE93" s="10">
        <v>0.90259999999999996</v>
      </c>
      <c r="BF93" s="10">
        <v>0.90247995999999997</v>
      </c>
      <c r="BG93" s="7">
        <v>1</v>
      </c>
      <c r="BH93" s="10">
        <v>0.94874057000000001</v>
      </c>
      <c r="BI93" s="7" t="s">
        <v>24</v>
      </c>
      <c r="BJ93" s="10">
        <v>0</v>
      </c>
      <c r="BK93" s="7">
        <v>0.5</v>
      </c>
      <c r="BL93" s="10">
        <v>0.5</v>
      </c>
      <c r="BM93" s="7">
        <v>0</v>
      </c>
      <c r="BN93" s="10">
        <v>0.1599333</v>
      </c>
      <c r="BO93" s="10">
        <v>0.84006670000000006</v>
      </c>
      <c r="BP93" s="7" t="s">
        <v>24</v>
      </c>
      <c r="BQ93" s="7" t="s">
        <v>24</v>
      </c>
      <c r="BR93" s="7" t="s">
        <v>24</v>
      </c>
      <c r="BS93" s="45">
        <v>0.98119999999999996</v>
      </c>
      <c r="BT93" s="10">
        <v>0.98386770000000001</v>
      </c>
      <c r="BU93" s="10">
        <v>0.99545450000000002</v>
      </c>
      <c r="BV93" s="10">
        <v>0.98962720000000004</v>
      </c>
      <c r="BW93" s="10">
        <v>0.11899999999999999</v>
      </c>
      <c r="BX93" s="10">
        <v>0.9296875</v>
      </c>
      <c r="BY93" s="10">
        <v>2.4586779999999999E-2</v>
      </c>
      <c r="BZ93" s="10">
        <v>4.7906600000000001E-2</v>
      </c>
      <c r="CA93" s="7" t="s">
        <v>24</v>
      </c>
      <c r="CB93" s="10">
        <v>0</v>
      </c>
      <c r="CC93" s="10">
        <v>1</v>
      </c>
      <c r="CD93" s="10">
        <v>0</v>
      </c>
      <c r="CE93" s="10">
        <v>0</v>
      </c>
      <c r="CF93" s="10">
        <v>0.15770000000000001</v>
      </c>
      <c r="CG93" s="10">
        <v>0.84230000000000005</v>
      </c>
      <c r="CH93" s="7" t="s">
        <v>24</v>
      </c>
      <c r="CI93" s="7" t="s">
        <v>24</v>
      </c>
      <c r="CJ93" s="7" t="s">
        <v>24</v>
      </c>
      <c r="CK93" s="50">
        <v>0.97450000000000003</v>
      </c>
      <c r="CL93" s="10">
        <v>0.97823879999999996</v>
      </c>
      <c r="CM93" s="10">
        <v>0.99380170000000001</v>
      </c>
      <c r="CN93" s="10">
        <v>0.98595880000000002</v>
      </c>
      <c r="CO93" s="7" t="s">
        <v>24</v>
      </c>
      <c r="CP93" s="10">
        <v>0</v>
      </c>
      <c r="CQ93" s="50">
        <v>1</v>
      </c>
      <c r="CR93" s="10">
        <v>0</v>
      </c>
      <c r="CS93" s="10">
        <v>0</v>
      </c>
      <c r="CT93" s="50">
        <v>1</v>
      </c>
      <c r="CU93" s="10">
        <v>0</v>
      </c>
      <c r="CV93" s="7" t="s">
        <v>24</v>
      </c>
      <c r="CW93" s="7" t="s">
        <v>24</v>
      </c>
      <c r="CX93" s="7" t="s">
        <v>24</v>
      </c>
      <c r="CY93" s="10">
        <v>0.98080000000000001</v>
      </c>
      <c r="CZ93" s="10">
        <v>0.97968310000000003</v>
      </c>
      <c r="DA93" s="10">
        <v>0.99628099999999997</v>
      </c>
      <c r="DB93" s="10">
        <v>0.98791229999999997</v>
      </c>
      <c r="DC93" s="10">
        <v>0.35239999999999999</v>
      </c>
      <c r="DD93" s="10">
        <v>0.98853049999999998</v>
      </c>
      <c r="DE93" s="10">
        <v>0.28491739999999999</v>
      </c>
      <c r="DF93" s="10">
        <v>0.4423416</v>
      </c>
      <c r="DG93" s="7" t="s">
        <v>24</v>
      </c>
      <c r="DH93" s="10">
        <v>0</v>
      </c>
      <c r="DI93" s="10">
        <v>0.5</v>
      </c>
      <c r="DJ93" s="10">
        <v>0.5</v>
      </c>
      <c r="DK93" s="7">
        <v>0</v>
      </c>
      <c r="DL93" s="10">
        <v>0.156</v>
      </c>
      <c r="DM93" s="10">
        <v>0.84399999999999997</v>
      </c>
      <c r="DN93" s="7" t="s">
        <v>24</v>
      </c>
      <c r="DO93" s="7" t="s">
        <v>24</v>
      </c>
      <c r="DP93" s="7" t="s">
        <v>24</v>
      </c>
      <c r="DQ93" s="50">
        <v>0.96850000000000003</v>
      </c>
      <c r="DR93" s="10">
        <v>0.98545000000000005</v>
      </c>
      <c r="DS93" s="10">
        <v>0.97954549999999996</v>
      </c>
      <c r="DT93" s="10">
        <v>0.9824889</v>
      </c>
      <c r="DU93" s="7" t="s">
        <v>24</v>
      </c>
      <c r="DV93" s="7">
        <v>0</v>
      </c>
      <c r="DW93" s="32">
        <v>1</v>
      </c>
      <c r="DX93" s="7">
        <v>0</v>
      </c>
      <c r="DY93" s="7">
        <v>0</v>
      </c>
      <c r="DZ93" s="32">
        <v>1</v>
      </c>
      <c r="EA93" s="7">
        <v>0</v>
      </c>
      <c r="EB93" s="7" t="s">
        <v>24</v>
      </c>
      <c r="EC93" s="7" t="s">
        <v>24</v>
      </c>
      <c r="ED93" s="7" t="s">
        <v>24</v>
      </c>
      <c r="EE93" s="53">
        <v>0.9667</v>
      </c>
      <c r="EF93" s="10">
        <v>0.98481379999999996</v>
      </c>
      <c r="EG93" s="10">
        <v>0.97809919999999995</v>
      </c>
      <c r="EH93" s="10">
        <v>0.98144500000000001</v>
      </c>
      <c r="EI93" s="10">
        <v>0.71560000000000001</v>
      </c>
      <c r="EJ93" s="10">
        <v>0.98140079999999996</v>
      </c>
      <c r="EK93" s="10">
        <v>0.69772730000000005</v>
      </c>
      <c r="EL93" s="10">
        <v>0.81560200000000005</v>
      </c>
      <c r="EM93" s="7" t="s">
        <v>24</v>
      </c>
      <c r="EN93" s="7">
        <v>0</v>
      </c>
      <c r="EO93" s="7">
        <v>0.5</v>
      </c>
      <c r="EP93" s="7">
        <v>0.5</v>
      </c>
      <c r="EQ93" s="7">
        <v>0</v>
      </c>
      <c r="ER93" s="10">
        <v>0.16033330000000001</v>
      </c>
      <c r="ES93" s="10">
        <v>0.83966669999999999</v>
      </c>
      <c r="ET93" s="7" t="s">
        <v>24</v>
      </c>
      <c r="EU93" s="7" t="s">
        <v>24</v>
      </c>
      <c r="EV93" s="7" t="s">
        <v>24</v>
      </c>
      <c r="EW93" s="10">
        <v>0.71560000000000001</v>
      </c>
      <c r="EX93" s="10">
        <v>0.98140079999999996</v>
      </c>
      <c r="EY93" s="10">
        <v>0.69772730000000005</v>
      </c>
      <c r="EZ93" s="10">
        <v>0.81560200000000005</v>
      </c>
      <c r="FA93" s="7" t="s">
        <v>24</v>
      </c>
      <c r="FB93" s="10">
        <v>0</v>
      </c>
      <c r="FC93" s="10">
        <v>0.5</v>
      </c>
      <c r="FD93" s="10">
        <v>0.5</v>
      </c>
      <c r="FE93" s="10">
        <v>0</v>
      </c>
      <c r="FF93" s="10">
        <v>0.1594333</v>
      </c>
      <c r="FG93" s="10">
        <v>0.8405667</v>
      </c>
      <c r="FH93" s="7" t="s">
        <v>24</v>
      </c>
      <c r="FI93" s="7" t="s">
        <v>24</v>
      </c>
      <c r="FJ93" s="7" t="s">
        <v>24</v>
      </c>
    </row>
    <row r="94" spans="3:166" x14ac:dyDescent="0.2">
      <c r="C94" s="6"/>
      <c r="G94" s="14"/>
      <c r="H94" s="7"/>
      <c r="I94" s="7"/>
      <c r="J94" s="7"/>
      <c r="K94" s="1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14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14"/>
      <c r="AN94" s="7"/>
      <c r="AO94" s="7"/>
      <c r="AP94" s="1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14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14"/>
      <c r="BT94" s="7"/>
      <c r="BU94" s="7"/>
      <c r="BV94" s="7"/>
      <c r="BW94" s="14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14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14"/>
      <c r="CZ94" s="7"/>
      <c r="DA94" s="7"/>
      <c r="DB94" s="7"/>
      <c r="DC94" s="14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14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14"/>
      <c r="EF94" s="7"/>
      <c r="EG94" s="7"/>
      <c r="EH94" s="7"/>
      <c r="EI94" s="14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14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</row>
    <row r="95" spans="3:166" x14ac:dyDescent="0.2">
      <c r="C95" s="6">
        <v>5</v>
      </c>
      <c r="D95" t="s">
        <v>40</v>
      </c>
      <c r="G95" s="10">
        <v>0.97868770000000005</v>
      </c>
      <c r="H95" s="7"/>
      <c r="I95" s="7"/>
      <c r="J95" s="7"/>
      <c r="K95" s="14">
        <v>0.99618320000000005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45">
        <v>0.98986980000000002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45">
        <v>0.97797460000000003</v>
      </c>
      <c r="AN95" s="7"/>
      <c r="AO95" s="7"/>
      <c r="AP95" s="17"/>
      <c r="AQ95" s="10">
        <v>0.99619769999999996</v>
      </c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10">
        <v>0.98891030000000002</v>
      </c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45">
        <v>0.98036400000000001</v>
      </c>
      <c r="BT95" s="7"/>
      <c r="BU95" s="7"/>
      <c r="BV95" s="7"/>
      <c r="BW95" s="10">
        <v>0.99618320000000005</v>
      </c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10">
        <v>0.98891569999999995</v>
      </c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10">
        <v>0.97845340000000003</v>
      </c>
      <c r="CZ95" s="7"/>
      <c r="DA95" s="7"/>
      <c r="DB95" s="7"/>
      <c r="DC95" s="10">
        <v>0.99618320000000005</v>
      </c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10">
        <v>0.98843369999999997</v>
      </c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53">
        <v>0.96312260000000005</v>
      </c>
      <c r="EF95" s="7"/>
      <c r="EG95" s="7"/>
      <c r="EH95" s="7"/>
      <c r="EI95" s="14" t="s">
        <v>24</v>
      </c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14" t="s">
        <v>24</v>
      </c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</row>
    <row r="96" spans="3:166" x14ac:dyDescent="0.2">
      <c r="C96" s="6">
        <v>5</v>
      </c>
      <c r="D96" t="s">
        <v>41</v>
      </c>
      <c r="G96" s="10">
        <v>0.97701150000000003</v>
      </c>
      <c r="H96" s="7"/>
      <c r="I96" s="7"/>
      <c r="J96" s="7"/>
      <c r="K96" s="14">
        <v>0.99239540000000004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45">
        <v>0.98795180000000005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45">
        <v>0.98060340000000001</v>
      </c>
      <c r="AN96" s="7"/>
      <c r="AO96" s="7"/>
      <c r="AP96" s="17"/>
      <c r="AQ96" s="7">
        <v>0.99239540000000004</v>
      </c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10">
        <v>0.98891569999999995</v>
      </c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45">
        <v>0.97893220000000003</v>
      </c>
      <c r="BT96" s="7"/>
      <c r="BU96" s="7"/>
      <c r="BV96" s="7"/>
      <c r="BW96" s="10">
        <v>0.99242419999999998</v>
      </c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10">
        <v>0.98891569999999995</v>
      </c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10">
        <v>0.98251920000000004</v>
      </c>
      <c r="CZ96" s="7"/>
      <c r="DA96" s="7"/>
      <c r="DB96" s="7"/>
      <c r="DC96" s="10">
        <v>0.98863639999999997</v>
      </c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10">
        <v>0.98939250000000001</v>
      </c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53">
        <v>0.96576490000000004</v>
      </c>
      <c r="EF96" s="7"/>
      <c r="EG96" s="7"/>
      <c r="EH96" s="7"/>
      <c r="EI96" s="14" t="s">
        <v>24</v>
      </c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14" t="s">
        <v>24</v>
      </c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</row>
    <row r="97" spans="3:166" x14ac:dyDescent="0.2">
      <c r="C97" s="6">
        <v>5</v>
      </c>
      <c r="D97" t="s">
        <v>42</v>
      </c>
      <c r="G97" s="10">
        <v>0.98324160000000005</v>
      </c>
      <c r="H97" s="7"/>
      <c r="I97" s="7"/>
      <c r="J97" s="7"/>
      <c r="K97" s="45">
        <v>0.99242419999999998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45">
        <v>0.98939759999999999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45">
        <v>0.9789272</v>
      </c>
      <c r="AN97" s="7"/>
      <c r="AO97" s="7"/>
      <c r="AP97" s="17"/>
      <c r="AQ97" s="7">
        <v>0.99239540000000004</v>
      </c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10">
        <v>0.98987460000000005</v>
      </c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45">
        <v>0.98036400000000001</v>
      </c>
      <c r="BT97" s="7"/>
      <c r="BU97" s="7"/>
      <c r="BV97" s="7"/>
      <c r="BW97" s="10">
        <v>0.99239540000000004</v>
      </c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10">
        <v>0.98938740000000003</v>
      </c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10">
        <v>0.97701150000000003</v>
      </c>
      <c r="CZ97" s="7"/>
      <c r="DA97" s="7"/>
      <c r="DB97" s="7"/>
      <c r="DC97" s="10">
        <v>0.99239540000000004</v>
      </c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10">
        <v>0.98987460000000005</v>
      </c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53">
        <v>0.95929120000000001</v>
      </c>
      <c r="EF97" s="7"/>
      <c r="EG97" s="7"/>
      <c r="EH97" s="7"/>
      <c r="EI97" s="14" t="s">
        <v>24</v>
      </c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14" t="s">
        <v>24</v>
      </c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</row>
    <row r="98" spans="3:166" ht="17" thickBot="1" x14ac:dyDescent="0.25">
      <c r="C98" s="6">
        <v>5</v>
      </c>
      <c r="D98" t="s">
        <v>49</v>
      </c>
      <c r="G98" s="44">
        <f>AVERAGE(G95:G97)</f>
        <v>0.97964693333333341</v>
      </c>
      <c r="H98" s="7"/>
      <c r="I98" s="7"/>
      <c r="J98" s="7"/>
      <c r="K98" s="29">
        <f>AVERAGE(K95:K97)</f>
        <v>0.9936676000000001</v>
      </c>
      <c r="L98" s="7"/>
      <c r="M98" s="7"/>
      <c r="N98" s="7"/>
      <c r="O98" s="10">
        <v>2.702E-3</v>
      </c>
      <c r="P98" s="7">
        <v>0.75</v>
      </c>
      <c r="Q98" s="7">
        <v>0.25</v>
      </c>
      <c r="R98" s="7">
        <v>0</v>
      </c>
      <c r="S98" s="87">
        <v>0.99129999999999996</v>
      </c>
      <c r="T98" s="7">
        <v>8.6999999999999994E-3</v>
      </c>
      <c r="U98" s="7">
        <v>0</v>
      </c>
      <c r="V98" s="87">
        <v>0.97935760000000005</v>
      </c>
      <c r="W98" s="7">
        <v>2.0027280000000001E-2</v>
      </c>
      <c r="X98" s="7">
        <v>6.1510829999999995E-4</v>
      </c>
      <c r="Y98" s="44">
        <f>AVERAGE(Y95:Y97)</f>
        <v>0.98907306666666661</v>
      </c>
      <c r="Z98" s="7"/>
      <c r="AA98" s="7"/>
      <c r="AB98" s="7"/>
      <c r="AC98" s="10">
        <v>2.8840000000000001E-2</v>
      </c>
      <c r="AD98" s="10">
        <v>0.5</v>
      </c>
      <c r="AE98" s="10">
        <v>0.5</v>
      </c>
      <c r="AF98" s="10">
        <v>0</v>
      </c>
      <c r="AG98" s="10">
        <v>0.3244667</v>
      </c>
      <c r="AH98" s="10">
        <v>0.6755333</v>
      </c>
      <c r="AI98" s="7">
        <v>0</v>
      </c>
      <c r="AJ98" s="10">
        <v>0.39502320000000002</v>
      </c>
      <c r="AK98" s="10">
        <v>0.60031159999999995</v>
      </c>
      <c r="AL98" s="10">
        <v>4.6652459999999996E-3</v>
      </c>
      <c r="AM98" s="44">
        <f>AVERAGE(AM95:AM97)</f>
        <v>0.97916840000000016</v>
      </c>
      <c r="AN98" s="7"/>
      <c r="AO98" s="7"/>
      <c r="AP98" s="17"/>
      <c r="AQ98" s="44">
        <f>AVERAGE(AQ95:AQ97)</f>
        <v>0.99366283333333338</v>
      </c>
      <c r="AR98" s="7"/>
      <c r="AS98" s="7"/>
      <c r="AT98" s="7"/>
      <c r="AU98" s="10">
        <v>1.72E-2</v>
      </c>
      <c r="AV98" s="7">
        <v>0.75</v>
      </c>
      <c r="AW98" s="7">
        <v>0.25</v>
      </c>
      <c r="AX98" s="7">
        <v>0</v>
      </c>
      <c r="AY98" s="7">
        <v>0.90965010000000002</v>
      </c>
      <c r="AZ98" s="7">
        <v>8.6277999999999994E-2</v>
      </c>
      <c r="BA98" s="7">
        <v>4.0719429999999997E-3</v>
      </c>
      <c r="BB98" s="7">
        <v>0.90965010000000002</v>
      </c>
      <c r="BC98" s="7">
        <v>8.6277999999999994E-2</v>
      </c>
      <c r="BD98" s="7">
        <v>4.0719429999999997E-3</v>
      </c>
      <c r="BE98" s="44">
        <f>AVERAGE(BE95:BE97)</f>
        <v>0.98923353333333319</v>
      </c>
      <c r="BF98" s="7"/>
      <c r="BG98" s="7"/>
      <c r="BH98" s="7"/>
      <c r="BI98" s="10">
        <v>3.9719999999999998E-2</v>
      </c>
      <c r="BJ98" s="7">
        <v>0.5</v>
      </c>
      <c r="BK98" s="7">
        <v>0.5</v>
      </c>
      <c r="BL98" s="7">
        <v>0</v>
      </c>
      <c r="BM98" s="10">
        <v>0.3206</v>
      </c>
      <c r="BN98" s="10">
        <v>0.6794</v>
      </c>
      <c r="BO98" s="7">
        <v>0</v>
      </c>
      <c r="BP98" s="10">
        <v>0.43626759999999998</v>
      </c>
      <c r="BQ98" s="10">
        <v>0.55712280000000003</v>
      </c>
      <c r="BR98" s="10">
        <v>6.6095629999999997E-3</v>
      </c>
      <c r="BS98" s="44">
        <f>AVERAGE(BS95:BS97)</f>
        <v>0.97988673333333332</v>
      </c>
      <c r="BT98" s="7"/>
      <c r="BU98" s="7"/>
      <c r="BV98" s="7"/>
      <c r="BW98" s="44">
        <f>AVERAGE(BW95:BW97)</f>
        <v>0.9936676000000001</v>
      </c>
      <c r="BX98" s="7"/>
      <c r="BY98" s="7"/>
      <c r="BZ98" s="7"/>
      <c r="CA98" s="10">
        <v>6.3439999999999998E-3</v>
      </c>
      <c r="CB98" s="7">
        <v>0.75</v>
      </c>
      <c r="CC98" s="7">
        <v>0.25</v>
      </c>
      <c r="CD98" s="7">
        <v>0</v>
      </c>
      <c r="CE98" s="10">
        <v>0.83213329999999996</v>
      </c>
      <c r="CF98" s="10">
        <v>0.16786670000000001</v>
      </c>
      <c r="CG98" s="7">
        <v>0</v>
      </c>
      <c r="CH98" s="28">
        <v>0.95139960000000001</v>
      </c>
      <c r="CI98" s="10">
        <v>4.7172510000000001E-2</v>
      </c>
      <c r="CJ98" s="10">
        <v>1.4278699999999999E-3</v>
      </c>
      <c r="CK98" s="43">
        <f>AVERAGE(CK95:CK97)</f>
        <v>0.98907293333333335</v>
      </c>
      <c r="CL98" s="7"/>
      <c r="CM98" s="7"/>
      <c r="CN98" s="7"/>
      <c r="CO98" s="10">
        <v>2.0960000000000002E-3</v>
      </c>
      <c r="CP98" s="7">
        <v>0</v>
      </c>
      <c r="CQ98" s="32">
        <v>1</v>
      </c>
      <c r="CR98" s="7">
        <v>0</v>
      </c>
      <c r="CS98" s="10">
        <v>0</v>
      </c>
      <c r="CT98" s="50">
        <v>1</v>
      </c>
      <c r="CU98" s="7">
        <v>0</v>
      </c>
      <c r="CV98" s="10">
        <v>0.1181339</v>
      </c>
      <c r="CW98" s="10">
        <v>0.88154500000000002</v>
      </c>
      <c r="CX98" s="10">
        <v>3.2105730000000002E-4</v>
      </c>
      <c r="CY98" s="44">
        <f>AVERAGE(CY95:CY97)</f>
        <v>0.97932803333333329</v>
      </c>
      <c r="CZ98" s="7"/>
      <c r="DA98" s="7"/>
      <c r="DB98" s="7"/>
      <c r="DC98" s="44">
        <f>AVERAGE(DC95:DC97)</f>
        <v>0.99240500000000009</v>
      </c>
      <c r="DD98" s="7"/>
      <c r="DE98" s="7"/>
      <c r="DF98" s="7"/>
      <c r="DG98" s="10">
        <v>6.6269999999999996E-2</v>
      </c>
      <c r="DH98" s="7">
        <v>0.5</v>
      </c>
      <c r="DI98" s="7">
        <v>0.5</v>
      </c>
      <c r="DJ98" s="7">
        <v>0</v>
      </c>
      <c r="DK98" s="10">
        <v>0.6984667</v>
      </c>
      <c r="DL98" s="10">
        <v>0.3015333</v>
      </c>
      <c r="DM98" s="10">
        <v>0</v>
      </c>
      <c r="DN98" s="10">
        <v>0.73466379999999998</v>
      </c>
      <c r="DO98" s="10">
        <v>0.25030849999999999</v>
      </c>
      <c r="DP98" s="10">
        <v>1.502771E-2</v>
      </c>
      <c r="DQ98" s="44">
        <f>AVERAGE(DQ95:DQ97)</f>
        <v>0.98923360000000005</v>
      </c>
      <c r="DR98" s="7"/>
      <c r="DS98" s="7"/>
      <c r="DT98" s="7"/>
      <c r="DU98" s="10">
        <v>2.9159999999999998E-2</v>
      </c>
      <c r="DV98" s="7">
        <v>0.25</v>
      </c>
      <c r="DW98" s="7">
        <v>0.75</v>
      </c>
      <c r="DX98" s="7">
        <v>0</v>
      </c>
      <c r="DY98" s="10">
        <v>0.15616669999999999</v>
      </c>
      <c r="DZ98" s="10">
        <v>0.84383330000000001</v>
      </c>
      <c r="EA98" s="7">
        <v>0</v>
      </c>
      <c r="EB98" s="10">
        <v>0.48329509999999998</v>
      </c>
      <c r="EC98" s="10">
        <v>0.5117469</v>
      </c>
      <c r="ED98" s="10">
        <v>4.9580479999999996E-3</v>
      </c>
      <c r="EE98" s="44">
        <f>AVERAGE(EE95:EE97)</f>
        <v>0.9627262333333334</v>
      </c>
      <c r="EF98" s="7"/>
      <c r="EG98" s="7"/>
      <c r="EH98" s="7"/>
      <c r="EI98" s="14" t="s">
        <v>24</v>
      </c>
      <c r="EJ98" s="7"/>
      <c r="EK98" s="7"/>
      <c r="EL98" s="7"/>
      <c r="EM98" s="10" t="s">
        <v>24</v>
      </c>
      <c r="EN98" s="7" t="s">
        <v>24</v>
      </c>
      <c r="EO98" s="7" t="s">
        <v>24</v>
      </c>
      <c r="EP98" s="7" t="s">
        <v>24</v>
      </c>
      <c r="EQ98" s="7" t="s">
        <v>24</v>
      </c>
      <c r="ER98" s="7" t="s">
        <v>24</v>
      </c>
      <c r="ES98" s="7" t="s">
        <v>24</v>
      </c>
      <c r="ET98" s="7" t="s">
        <v>24</v>
      </c>
      <c r="EU98" s="7" t="s">
        <v>24</v>
      </c>
      <c r="EV98" s="7" t="s">
        <v>24</v>
      </c>
      <c r="EW98" s="14" t="s">
        <v>24</v>
      </c>
      <c r="EX98" s="7"/>
      <c r="EY98" s="7"/>
      <c r="EZ98" s="7"/>
      <c r="FA98" s="10" t="s">
        <v>24</v>
      </c>
      <c r="FB98" s="7" t="s">
        <v>24</v>
      </c>
      <c r="FC98" s="7" t="s">
        <v>24</v>
      </c>
      <c r="FD98" s="7" t="s">
        <v>24</v>
      </c>
      <c r="FE98" s="7" t="s">
        <v>24</v>
      </c>
      <c r="FF98" s="7" t="s">
        <v>24</v>
      </c>
      <c r="FG98" s="7" t="s">
        <v>24</v>
      </c>
      <c r="FH98" s="7" t="s">
        <v>24</v>
      </c>
      <c r="FI98" s="7" t="s">
        <v>24</v>
      </c>
      <c r="FJ98" s="7" t="s">
        <v>24</v>
      </c>
    </row>
    <row r="99" spans="3:166" ht="17" thickBot="1" x14ac:dyDescent="0.25">
      <c r="C99" s="6">
        <v>5</v>
      </c>
      <c r="D99" t="s">
        <v>43</v>
      </c>
      <c r="G99" s="10">
        <v>0.98029999999999995</v>
      </c>
      <c r="H99" s="10">
        <v>0.98247039999999997</v>
      </c>
      <c r="I99" s="10">
        <v>0.99586779999999997</v>
      </c>
      <c r="J99" s="10">
        <v>0.98912370000000005</v>
      </c>
      <c r="K99" s="45">
        <v>0.1004</v>
      </c>
      <c r="L99" s="10">
        <v>1</v>
      </c>
      <c r="M99" s="10">
        <v>2.0661159999999998E-3</v>
      </c>
      <c r="N99" s="10">
        <v>4.1237110000000004E-3</v>
      </c>
      <c r="O99" s="7" t="s">
        <v>24</v>
      </c>
      <c r="P99" s="10">
        <v>0</v>
      </c>
      <c r="Q99" s="10">
        <v>0.5</v>
      </c>
      <c r="R99" s="10">
        <v>0.5</v>
      </c>
      <c r="S99" s="10">
        <v>0</v>
      </c>
      <c r="T99" s="10">
        <v>0.15833330000000001</v>
      </c>
      <c r="U99" s="10">
        <v>0.84166669999999999</v>
      </c>
      <c r="V99" s="7" t="s">
        <v>24</v>
      </c>
      <c r="W99" s="7" t="s">
        <v>24</v>
      </c>
      <c r="X99" s="7" t="s">
        <v>24</v>
      </c>
      <c r="Y99" s="45">
        <v>0.95679999999999998</v>
      </c>
      <c r="Z99" s="10">
        <v>0.96432890000000004</v>
      </c>
      <c r="AA99" s="10">
        <v>0.98863639999999997</v>
      </c>
      <c r="AB99" s="10">
        <v>0.97633139999999996</v>
      </c>
      <c r="AC99" s="7" t="s">
        <v>24</v>
      </c>
      <c r="AD99" s="10">
        <v>0</v>
      </c>
      <c r="AE99" s="10">
        <v>0.5</v>
      </c>
      <c r="AF99" s="10">
        <v>0.5</v>
      </c>
      <c r="AG99" s="10">
        <v>0</v>
      </c>
      <c r="AH99" s="10">
        <v>0.15833330000000001</v>
      </c>
      <c r="AI99" s="10">
        <v>0.84166669999999999</v>
      </c>
      <c r="AJ99" s="7" t="s">
        <v>24</v>
      </c>
      <c r="AK99" s="7" t="s">
        <v>24</v>
      </c>
      <c r="AL99" s="7" t="s">
        <v>24</v>
      </c>
      <c r="AM99" s="45">
        <v>0.9778</v>
      </c>
      <c r="AN99" s="10">
        <v>0.9789004</v>
      </c>
      <c r="AO99" s="10">
        <v>0.99690080000000003</v>
      </c>
      <c r="AP99" s="10">
        <v>0.98781859999999999</v>
      </c>
      <c r="AQ99" s="10">
        <v>9.8500000000000004E-2</v>
      </c>
      <c r="AR99" s="7" t="s">
        <v>24</v>
      </c>
      <c r="AS99" s="10">
        <v>0</v>
      </c>
      <c r="AT99" s="7" t="s">
        <v>24</v>
      </c>
      <c r="AU99" s="7" t="s">
        <v>24</v>
      </c>
      <c r="AV99" s="10">
        <v>0</v>
      </c>
      <c r="AW99" s="10">
        <v>0.5</v>
      </c>
      <c r="AX99" s="10">
        <v>0.5</v>
      </c>
      <c r="AY99" s="10">
        <v>0</v>
      </c>
      <c r="AZ99" s="10">
        <v>0.1564333</v>
      </c>
      <c r="BA99" s="10">
        <v>0.8435667</v>
      </c>
      <c r="BB99" s="7" t="s">
        <v>24</v>
      </c>
      <c r="BC99" s="7" t="s">
        <v>24</v>
      </c>
      <c r="BD99" s="7" t="s">
        <v>24</v>
      </c>
      <c r="BE99" s="86">
        <v>0.90259999999999996</v>
      </c>
      <c r="BF99" s="10">
        <v>0.90247995999999997</v>
      </c>
      <c r="BG99" s="7">
        <v>1</v>
      </c>
      <c r="BH99" s="10">
        <v>0.94874057000000001</v>
      </c>
      <c r="BI99" s="7" t="s">
        <v>24</v>
      </c>
      <c r="BJ99" s="10">
        <v>0</v>
      </c>
      <c r="BK99" s="7">
        <v>0.5</v>
      </c>
      <c r="BL99" s="10">
        <v>0.5</v>
      </c>
      <c r="BM99" s="7">
        <v>0</v>
      </c>
      <c r="BN99" s="10">
        <v>0.15676670000000001</v>
      </c>
      <c r="BO99" s="10">
        <v>0.84323329999999996</v>
      </c>
      <c r="BP99" s="7" t="s">
        <v>24</v>
      </c>
      <c r="BQ99" s="7" t="s">
        <v>24</v>
      </c>
      <c r="BR99" s="7" t="s">
        <v>24</v>
      </c>
      <c r="BS99" s="45">
        <v>0.98119999999999996</v>
      </c>
      <c r="BT99" s="10">
        <v>0.98386770000000001</v>
      </c>
      <c r="BU99" s="10">
        <v>0.99545450000000002</v>
      </c>
      <c r="BV99" s="10">
        <v>0.98962720000000004</v>
      </c>
      <c r="BW99" s="10">
        <v>9.8500000000000004E-2</v>
      </c>
      <c r="BX99" s="7" t="s">
        <v>24</v>
      </c>
      <c r="BY99" s="7">
        <v>0</v>
      </c>
      <c r="BZ99" s="7" t="s">
        <v>24</v>
      </c>
      <c r="CA99" s="7" t="s">
        <v>24</v>
      </c>
      <c r="CB99" s="10">
        <v>0</v>
      </c>
      <c r="CC99" s="10">
        <v>1</v>
      </c>
      <c r="CD99" s="10">
        <v>0</v>
      </c>
      <c r="CE99" s="10">
        <v>0</v>
      </c>
      <c r="CF99" s="10">
        <v>0.16276669999999999</v>
      </c>
      <c r="CG99" s="10">
        <v>0.83723329999999996</v>
      </c>
      <c r="CH99" s="7" t="s">
        <v>24</v>
      </c>
      <c r="CI99" s="7" t="s">
        <v>24</v>
      </c>
      <c r="CJ99" s="7" t="s">
        <v>24</v>
      </c>
      <c r="CK99" s="50">
        <v>0.90149999999999997</v>
      </c>
      <c r="CL99" s="10">
        <v>0.90147140000000003</v>
      </c>
      <c r="CM99" s="10">
        <v>1</v>
      </c>
      <c r="CN99" s="10">
        <v>0.948183</v>
      </c>
      <c r="CO99" s="7" t="s">
        <v>24</v>
      </c>
      <c r="CP99" s="7">
        <v>0</v>
      </c>
      <c r="CQ99" s="7">
        <v>0.5</v>
      </c>
      <c r="CR99" s="7">
        <v>0.5</v>
      </c>
      <c r="CS99" s="10">
        <v>0</v>
      </c>
      <c r="CT99" s="50">
        <v>1</v>
      </c>
      <c r="CU99" s="7">
        <v>0</v>
      </c>
      <c r="CV99" s="7" t="s">
        <v>24</v>
      </c>
      <c r="CW99" s="7" t="s">
        <v>24</v>
      </c>
      <c r="CX99" s="7" t="s">
        <v>24</v>
      </c>
      <c r="CY99" s="10">
        <v>0.98080000000000001</v>
      </c>
      <c r="CZ99" s="10">
        <v>0.97968310000000003</v>
      </c>
      <c r="DA99" s="10">
        <v>0.99628099999999997</v>
      </c>
      <c r="DB99" s="10">
        <v>0.98791229999999997</v>
      </c>
      <c r="DC99" s="10">
        <v>9.8199999999999996E-2</v>
      </c>
      <c r="DD99" s="10">
        <v>0</v>
      </c>
      <c r="DE99" s="10">
        <v>0</v>
      </c>
      <c r="DF99" s="10" t="s">
        <v>71</v>
      </c>
      <c r="DG99" s="7" t="s">
        <v>24</v>
      </c>
      <c r="DH99" s="10">
        <v>0</v>
      </c>
      <c r="DI99" s="10">
        <v>0.5</v>
      </c>
      <c r="DJ99" s="10">
        <v>0.5</v>
      </c>
      <c r="DK99" s="7">
        <v>0</v>
      </c>
      <c r="DL99" s="10">
        <v>0.15909999999999999</v>
      </c>
      <c r="DM99" s="10">
        <v>0.84089999999999998</v>
      </c>
      <c r="DN99" s="7" t="s">
        <v>24</v>
      </c>
      <c r="DO99" s="7" t="s">
        <v>24</v>
      </c>
      <c r="DP99" s="7" t="s">
        <v>24</v>
      </c>
      <c r="DQ99" s="10">
        <v>0.96289999999999998</v>
      </c>
      <c r="DR99" s="10">
        <v>0.98596859999999997</v>
      </c>
      <c r="DS99" s="10">
        <v>0.97272729999999996</v>
      </c>
      <c r="DT99" s="10">
        <v>0.97930320000000004</v>
      </c>
      <c r="DU99" s="7" t="s">
        <v>24</v>
      </c>
      <c r="DV99" s="10">
        <v>0</v>
      </c>
      <c r="DW99" s="7">
        <v>0.5</v>
      </c>
      <c r="DX99" s="7">
        <v>0.5</v>
      </c>
      <c r="DY99" s="7">
        <v>0</v>
      </c>
      <c r="DZ99" s="10">
        <v>0.46073330000000001</v>
      </c>
      <c r="EA99" s="10">
        <v>0.53926669999999999</v>
      </c>
      <c r="EB99" s="7" t="s">
        <v>24</v>
      </c>
      <c r="EC99" s="7" t="s">
        <v>24</v>
      </c>
      <c r="ED99" s="7" t="s">
        <v>24</v>
      </c>
      <c r="EE99" s="53">
        <v>0.9667</v>
      </c>
      <c r="EF99" s="10">
        <v>0.98481379999999996</v>
      </c>
      <c r="EG99" s="10">
        <v>0.97809919999999995</v>
      </c>
      <c r="EH99" s="10">
        <v>0.98144500000000001</v>
      </c>
      <c r="EI99" s="45" t="s">
        <v>24</v>
      </c>
      <c r="EJ99" s="7" t="s">
        <v>24</v>
      </c>
      <c r="EK99" s="10" t="s">
        <v>24</v>
      </c>
      <c r="EL99" s="7" t="s">
        <v>24</v>
      </c>
      <c r="EM99" s="10" t="s">
        <v>24</v>
      </c>
      <c r="EN99" s="7" t="s">
        <v>24</v>
      </c>
      <c r="EO99" s="7" t="s">
        <v>24</v>
      </c>
      <c r="EP99" s="7" t="s">
        <v>24</v>
      </c>
      <c r="EQ99" s="7" t="s">
        <v>24</v>
      </c>
      <c r="ER99" s="7" t="s">
        <v>24</v>
      </c>
      <c r="ES99" s="7" t="s">
        <v>24</v>
      </c>
      <c r="ET99" s="7" t="s">
        <v>24</v>
      </c>
      <c r="EU99" s="7" t="s">
        <v>24</v>
      </c>
      <c r="EV99" s="7" t="s">
        <v>24</v>
      </c>
      <c r="EW99" s="45" t="s">
        <v>24</v>
      </c>
      <c r="EX99" s="7" t="s">
        <v>24</v>
      </c>
      <c r="EY99" s="10" t="s">
        <v>24</v>
      </c>
      <c r="EZ99" s="7" t="s">
        <v>24</v>
      </c>
      <c r="FA99" s="10" t="s">
        <v>24</v>
      </c>
      <c r="FB99" s="7" t="s">
        <v>24</v>
      </c>
      <c r="FC99" s="7" t="s">
        <v>24</v>
      </c>
      <c r="FD99" s="7" t="s">
        <v>24</v>
      </c>
      <c r="FE99" s="7" t="s">
        <v>24</v>
      </c>
      <c r="FF99" s="7" t="s">
        <v>24</v>
      </c>
      <c r="FG99" s="7" t="s">
        <v>24</v>
      </c>
      <c r="FH99" s="7" t="s">
        <v>24</v>
      </c>
      <c r="FI99" s="7" t="s">
        <v>24</v>
      </c>
      <c r="FJ99" s="7" t="s">
        <v>24</v>
      </c>
    </row>
    <row r="114" ht="59.25" customHeight="1" x14ac:dyDescent="0.2"/>
  </sheetData>
  <mergeCells count="14">
    <mergeCell ref="EE1:EH1"/>
    <mergeCell ref="G2:J2"/>
    <mergeCell ref="K2:X2"/>
    <mergeCell ref="Y2:AB2"/>
    <mergeCell ref="AM2:AP2"/>
    <mergeCell ref="BS2:BV2"/>
    <mergeCell ref="CY2:DB2"/>
    <mergeCell ref="EE2:EH2"/>
    <mergeCell ref="G1:J1"/>
    <mergeCell ref="K1:X1"/>
    <mergeCell ref="Y1:AB1"/>
    <mergeCell ref="AM1:AP1"/>
    <mergeCell ref="BS1:BV1"/>
    <mergeCell ref="CY1:DB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232A-9989-674B-885B-DE071C3CBE7D}">
  <dimension ref="A1:AC64"/>
  <sheetViews>
    <sheetView showGridLines="0" tabSelected="1" topLeftCell="J18" workbookViewId="0">
      <selection activeCell="V59" sqref="V59:V63"/>
    </sheetView>
  </sheetViews>
  <sheetFormatPr baseColWidth="10" defaultRowHeight="16" x14ac:dyDescent="0.2"/>
  <cols>
    <col min="1" max="1" width="29.1640625" customWidth="1"/>
  </cols>
  <sheetData>
    <row r="1" spans="1:29" ht="17" thickBot="1" x14ac:dyDescent="0.25">
      <c r="A1" s="211" t="s">
        <v>199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spans="1:29" x14ac:dyDescent="0.2">
      <c r="A2" s="167"/>
      <c r="B2" s="167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29" ht="17" thickBot="1" x14ac:dyDescent="0.25">
      <c r="A3" s="130"/>
      <c r="B3" s="130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spans="1:29" ht="52" thickBot="1" x14ac:dyDescent="0.25">
      <c r="A4" s="138" t="s">
        <v>123</v>
      </c>
      <c r="B4" s="115" t="s">
        <v>44</v>
      </c>
      <c r="C4" s="174" t="s">
        <v>193</v>
      </c>
      <c r="D4" s="174" t="s">
        <v>511</v>
      </c>
      <c r="E4" s="174" t="s">
        <v>512</v>
      </c>
      <c r="F4" s="174" t="s">
        <v>513</v>
      </c>
      <c r="G4" s="174" t="s">
        <v>194</v>
      </c>
      <c r="H4" s="174" t="s">
        <v>508</v>
      </c>
      <c r="I4" s="174" t="s">
        <v>509</v>
      </c>
      <c r="J4" s="174" t="s">
        <v>510</v>
      </c>
      <c r="K4" s="174" t="s">
        <v>193</v>
      </c>
      <c r="L4" s="174" t="s">
        <v>511</v>
      </c>
      <c r="M4" s="174" t="s">
        <v>512</v>
      </c>
      <c r="N4" s="174" t="s">
        <v>513</v>
      </c>
      <c r="O4" s="174" t="s">
        <v>194</v>
      </c>
      <c r="P4" s="174" t="s">
        <v>508</v>
      </c>
      <c r="Q4" s="174" t="s">
        <v>509</v>
      </c>
      <c r="R4" s="174" t="s">
        <v>510</v>
      </c>
      <c r="S4" s="174" t="s">
        <v>193</v>
      </c>
      <c r="T4" s="174" t="s">
        <v>511</v>
      </c>
      <c r="U4" s="174" t="s">
        <v>512</v>
      </c>
      <c r="V4" s="174" t="s">
        <v>513</v>
      </c>
      <c r="W4" s="174" t="s">
        <v>194</v>
      </c>
      <c r="X4" s="174" t="s">
        <v>508</v>
      </c>
      <c r="Y4" s="174" t="s">
        <v>509</v>
      </c>
      <c r="Z4" s="174" t="s">
        <v>510</v>
      </c>
    </row>
    <row r="5" spans="1:29" x14ac:dyDescent="0.2">
      <c r="A5" s="214" t="s">
        <v>73</v>
      </c>
      <c r="B5" s="167">
        <v>1</v>
      </c>
      <c r="C5" s="173">
        <v>0.92400000000000004</v>
      </c>
      <c r="D5" s="173">
        <v>0.93224929999999995</v>
      </c>
      <c r="E5" s="173">
        <v>0.86868690000000004</v>
      </c>
      <c r="F5" s="168">
        <v>0.89934639999999999</v>
      </c>
      <c r="G5" s="173">
        <v>0.54730000000000001</v>
      </c>
      <c r="H5" s="190">
        <v>0.92307689999999998</v>
      </c>
      <c r="I5" s="190">
        <v>3.0303030000000002E-2</v>
      </c>
      <c r="J5" s="190">
        <v>5.8679706999999998E-2</v>
      </c>
      <c r="K5" s="190">
        <v>0.91790000000000005</v>
      </c>
      <c r="L5" s="190">
        <v>0.92602039999999997</v>
      </c>
      <c r="M5" s="190">
        <v>0.91666669999999995</v>
      </c>
      <c r="N5" s="191">
        <v>0.92131980000000002</v>
      </c>
      <c r="O5" s="190">
        <v>0.66249999999999998</v>
      </c>
      <c r="P5" s="190">
        <v>0.54175589999999996</v>
      </c>
      <c r="Q5" s="190">
        <v>0.63888889000000004</v>
      </c>
      <c r="R5" s="190">
        <v>0.58632676699999997</v>
      </c>
      <c r="S5" s="190">
        <v>0.92400000000000004</v>
      </c>
      <c r="T5" s="190">
        <v>0.93224929999999995</v>
      </c>
      <c r="U5" s="190">
        <v>0.86868690000000004</v>
      </c>
      <c r="V5" s="191">
        <v>0.89934639999999999</v>
      </c>
      <c r="W5" s="190">
        <v>0.54730000000000001</v>
      </c>
      <c r="X5" s="190">
        <v>0.92307689999999998</v>
      </c>
      <c r="Y5" s="190">
        <v>3.0303030000000002E-2</v>
      </c>
      <c r="Z5" s="190">
        <v>5.8679706999999998E-2</v>
      </c>
    </row>
    <row r="6" spans="1:29" x14ac:dyDescent="0.2">
      <c r="A6" s="214"/>
      <c r="B6" s="167">
        <v>2</v>
      </c>
      <c r="C6" s="173">
        <v>0.92400000000000004</v>
      </c>
      <c r="D6" s="173">
        <v>0.93224929999999995</v>
      </c>
      <c r="E6" s="173">
        <v>0.86868690000000004</v>
      </c>
      <c r="F6" s="168">
        <v>0.89934639999999999</v>
      </c>
      <c r="G6" s="173">
        <v>0.82079999999999997</v>
      </c>
      <c r="H6" s="190">
        <v>0.66780819999999996</v>
      </c>
      <c r="I6" s="190">
        <v>0.98484850000000002</v>
      </c>
      <c r="J6" s="190">
        <v>0.79591840000000003</v>
      </c>
      <c r="K6" s="190">
        <v>0.91790000000000005</v>
      </c>
      <c r="L6" s="190">
        <v>0.92602039999999997</v>
      </c>
      <c r="M6" s="190">
        <v>0.91666669999999995</v>
      </c>
      <c r="N6" s="190">
        <v>0.92131980000000002</v>
      </c>
      <c r="O6" s="190">
        <v>0.89681370000000005</v>
      </c>
      <c r="P6" s="190">
        <v>0.9248826</v>
      </c>
      <c r="Q6" s="190">
        <v>0.99494950000000004</v>
      </c>
      <c r="R6" s="191">
        <v>0.95863750000000003</v>
      </c>
      <c r="S6" s="190">
        <v>0.92400000000000004</v>
      </c>
      <c r="T6" s="190">
        <v>0.93224929999999995</v>
      </c>
      <c r="U6" s="190">
        <v>0.86868690000000004</v>
      </c>
      <c r="V6" s="191">
        <v>0.89934639999999999</v>
      </c>
      <c r="W6" s="190">
        <v>0.82079999999999997</v>
      </c>
      <c r="X6" s="190">
        <v>0.66780819999999996</v>
      </c>
      <c r="Y6" s="190">
        <v>0.98484850000000002</v>
      </c>
      <c r="Z6" s="190">
        <v>0.79591840000000003</v>
      </c>
    </row>
    <row r="7" spans="1:29" x14ac:dyDescent="0.2">
      <c r="A7" s="214"/>
      <c r="B7" s="167">
        <v>3</v>
      </c>
      <c r="C7" s="173">
        <v>0.92400000000000004</v>
      </c>
      <c r="D7" s="173">
        <v>0.93224929999999995</v>
      </c>
      <c r="E7" s="173">
        <v>0.86868690000000004</v>
      </c>
      <c r="F7" s="168">
        <v>0.89934639999999999</v>
      </c>
      <c r="G7" s="173">
        <v>0.43730000000000002</v>
      </c>
      <c r="H7" s="190" t="s">
        <v>24</v>
      </c>
      <c r="I7" s="190" t="s">
        <v>24</v>
      </c>
      <c r="J7" s="190" t="s">
        <v>24</v>
      </c>
      <c r="K7" s="190">
        <v>0.91790000000000005</v>
      </c>
      <c r="L7" s="190">
        <v>0.92602039999999997</v>
      </c>
      <c r="M7" s="190">
        <v>0.91666669999999995</v>
      </c>
      <c r="N7" s="191">
        <v>0.92131980000000002</v>
      </c>
      <c r="O7" s="190">
        <v>0.56030000000000002</v>
      </c>
      <c r="P7" s="190">
        <v>0.67937610000000004</v>
      </c>
      <c r="Q7" s="190">
        <v>0.98989898990000003</v>
      </c>
      <c r="R7" s="190">
        <v>0.80575539600000001</v>
      </c>
      <c r="S7" s="190">
        <v>0.92400000000000004</v>
      </c>
      <c r="T7" s="190">
        <v>0.93224929999999995</v>
      </c>
      <c r="U7" s="190">
        <v>0.86868690000000004</v>
      </c>
      <c r="V7" s="190">
        <v>0.89934639999999999</v>
      </c>
      <c r="W7" s="190">
        <v>0.66839999999999999</v>
      </c>
      <c r="X7" s="190">
        <v>0.86061949999999998</v>
      </c>
      <c r="Y7" s="190">
        <v>0.98232323200000005</v>
      </c>
      <c r="Z7" s="191">
        <v>0.91745283</v>
      </c>
    </row>
    <row r="8" spans="1:29" x14ac:dyDescent="0.2">
      <c r="A8" s="214"/>
      <c r="B8" s="167">
        <v>4</v>
      </c>
      <c r="C8" s="173">
        <v>0.92400000000000004</v>
      </c>
      <c r="D8" s="173">
        <v>0.93224929999999995</v>
      </c>
      <c r="E8" s="173">
        <v>0.86868690000000004</v>
      </c>
      <c r="F8" s="168">
        <v>0.89934639999999999</v>
      </c>
      <c r="G8" s="173">
        <v>0.31269999999999998</v>
      </c>
      <c r="H8" s="190">
        <v>0.97872340000000002</v>
      </c>
      <c r="I8" s="190">
        <v>0.23232320000000001</v>
      </c>
      <c r="J8" s="190">
        <v>0.37551020000000002</v>
      </c>
      <c r="K8" s="190">
        <v>0.91790000000000005</v>
      </c>
      <c r="L8" s="190">
        <v>0.92602039999999997</v>
      </c>
      <c r="M8" s="190">
        <v>0.91666669999999995</v>
      </c>
      <c r="N8" s="191">
        <v>0.92131980000000002</v>
      </c>
      <c r="O8" s="190">
        <v>0.35830000000000001</v>
      </c>
      <c r="P8" s="190">
        <v>0.97142859999999998</v>
      </c>
      <c r="Q8" s="190">
        <v>0.68686800000000003</v>
      </c>
      <c r="R8" s="190">
        <v>0.8047337</v>
      </c>
      <c r="S8" s="190">
        <v>0.92400000000000004</v>
      </c>
      <c r="T8" s="190">
        <v>0.93224929999999995</v>
      </c>
      <c r="U8" s="190">
        <v>0.86868690000000004</v>
      </c>
      <c r="V8" s="191">
        <v>0.89934639999999999</v>
      </c>
      <c r="W8" s="190">
        <v>0.43730000000000002</v>
      </c>
      <c r="X8" s="173">
        <v>0.97872340000000002</v>
      </c>
      <c r="Y8" s="190">
        <v>0.23232320000000001</v>
      </c>
      <c r="Z8" s="190">
        <v>0.37551020000000002</v>
      </c>
    </row>
    <row r="9" spans="1:29" x14ac:dyDescent="0.2">
      <c r="A9" s="214"/>
      <c r="B9" s="167">
        <v>5</v>
      </c>
      <c r="C9" s="173">
        <v>0.92400000000000004</v>
      </c>
      <c r="D9" s="173">
        <v>0.93224929999999995</v>
      </c>
      <c r="E9" s="173">
        <v>0.86868690000000004</v>
      </c>
      <c r="F9" s="168">
        <v>0.89934639999999999</v>
      </c>
      <c r="G9" s="173" t="s">
        <v>24</v>
      </c>
      <c r="H9" s="170" t="s">
        <v>24</v>
      </c>
      <c r="I9" s="170" t="s">
        <v>24</v>
      </c>
      <c r="J9" s="170" t="s">
        <v>24</v>
      </c>
      <c r="K9" s="170">
        <v>0.91790000000000005</v>
      </c>
      <c r="L9" s="170">
        <v>0.92602039999999997</v>
      </c>
      <c r="M9" s="170">
        <v>0.91666669999999995</v>
      </c>
      <c r="N9" s="169">
        <v>0.92131980000000002</v>
      </c>
      <c r="O9" s="170">
        <v>0.15809999999999999</v>
      </c>
      <c r="P9" s="190" t="s">
        <v>24</v>
      </c>
      <c r="Q9" s="190">
        <v>1</v>
      </c>
      <c r="R9" s="190" t="s">
        <v>24</v>
      </c>
      <c r="S9" s="190">
        <v>0.92400000000000004</v>
      </c>
      <c r="T9" s="190">
        <v>0.93224929999999995</v>
      </c>
      <c r="U9" s="190">
        <v>0.86868690000000004</v>
      </c>
      <c r="V9" s="191">
        <v>0.89934639999999999</v>
      </c>
      <c r="W9" s="190" t="s">
        <v>24</v>
      </c>
      <c r="X9" s="190" t="s">
        <v>24</v>
      </c>
      <c r="Y9" s="190" t="s">
        <v>24</v>
      </c>
      <c r="Z9" s="190" t="s">
        <v>24</v>
      </c>
    </row>
    <row r="10" spans="1:29" x14ac:dyDescent="0.2">
      <c r="A10" s="130"/>
      <c r="B10" s="167"/>
      <c r="C10" s="173"/>
      <c r="D10" s="173"/>
      <c r="E10" s="173"/>
      <c r="F10" s="173"/>
      <c r="G10" s="173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9" x14ac:dyDescent="0.2">
      <c r="A11" s="214" t="s">
        <v>74</v>
      </c>
      <c r="B11" s="167">
        <v>1</v>
      </c>
      <c r="C11" s="173">
        <v>0.92400000000000004</v>
      </c>
      <c r="D11" s="173">
        <v>0.93224929999999995</v>
      </c>
      <c r="E11" s="173">
        <v>0.86868690000000004</v>
      </c>
      <c r="F11" s="173">
        <v>0.89934639999999999</v>
      </c>
      <c r="G11" s="173">
        <v>0.91349999999999998</v>
      </c>
      <c r="H11" s="190">
        <v>0.98987340000000001</v>
      </c>
      <c r="I11" s="190">
        <v>0.98737370000000002</v>
      </c>
      <c r="J11" s="191">
        <v>0.988622</v>
      </c>
      <c r="K11" s="190">
        <v>0.91790000000000005</v>
      </c>
      <c r="L11" s="190">
        <v>0.92602039999999997</v>
      </c>
      <c r="M11" s="190">
        <v>0.91666669999999995</v>
      </c>
      <c r="N11" s="190">
        <v>0.92131980000000002</v>
      </c>
      <c r="O11" s="190">
        <v>0.91639999999999999</v>
      </c>
      <c r="P11" s="190">
        <v>0.99494950000000004</v>
      </c>
      <c r="Q11" s="191">
        <v>0.99494950000000004</v>
      </c>
      <c r="R11" s="191">
        <v>0.99494950000000004</v>
      </c>
      <c r="S11" s="190">
        <v>0.92400000000000004</v>
      </c>
      <c r="T11" s="190">
        <v>0.93224929999999995</v>
      </c>
      <c r="U11" s="190">
        <v>0.86868690000000004</v>
      </c>
      <c r="V11" s="190">
        <v>0.89934639999999999</v>
      </c>
      <c r="W11" s="190">
        <v>0.91349999999999998</v>
      </c>
      <c r="X11" s="190">
        <v>0.98987340000000001</v>
      </c>
      <c r="Y11" s="190">
        <v>0.98737370000000002</v>
      </c>
      <c r="Z11" s="191">
        <v>0.988622</v>
      </c>
    </row>
    <row r="12" spans="1:29" x14ac:dyDescent="0.2">
      <c r="A12" s="214"/>
      <c r="B12" s="167">
        <v>2</v>
      </c>
      <c r="C12" s="173">
        <v>0.92400000000000004</v>
      </c>
      <c r="D12" s="173">
        <v>0.93224929999999995</v>
      </c>
      <c r="E12" s="173">
        <v>0.86868690000000004</v>
      </c>
      <c r="F12" s="168">
        <v>0.89934639999999999</v>
      </c>
      <c r="G12" s="173">
        <v>0.89219999999999999</v>
      </c>
      <c r="H12" s="190">
        <v>0.88709680000000002</v>
      </c>
      <c r="I12" s="190">
        <v>0.83333330000000005</v>
      </c>
      <c r="J12" s="190">
        <v>0.859375</v>
      </c>
      <c r="K12" s="190">
        <v>0.91790000000000005</v>
      </c>
      <c r="L12" s="190">
        <v>0.92602039999999997</v>
      </c>
      <c r="M12" s="190">
        <v>0.91666669999999995</v>
      </c>
      <c r="N12" s="191">
        <v>0.92131980000000002</v>
      </c>
      <c r="O12" s="190">
        <v>0.89680000000000004</v>
      </c>
      <c r="P12" s="190">
        <v>0.96866099999999999</v>
      </c>
      <c r="Q12" s="190">
        <v>0.85858590000000001</v>
      </c>
      <c r="R12" s="190">
        <v>0.91030789999999995</v>
      </c>
      <c r="S12" s="190">
        <v>0.92400000000000004</v>
      </c>
      <c r="T12" s="190">
        <v>0.93224929999999995</v>
      </c>
      <c r="U12" s="190">
        <v>0.86868690000000004</v>
      </c>
      <c r="V12" s="191">
        <v>0.89934639999999999</v>
      </c>
      <c r="W12" s="190">
        <v>0.89219999999999999</v>
      </c>
      <c r="X12" s="190">
        <v>0.88709680000000002</v>
      </c>
      <c r="Y12" s="190">
        <v>0.83333330000000005</v>
      </c>
      <c r="Z12" s="190">
        <v>0.859375</v>
      </c>
      <c r="AC12" t="s">
        <v>178</v>
      </c>
    </row>
    <row r="13" spans="1:29" x14ac:dyDescent="0.2">
      <c r="A13" s="214"/>
      <c r="B13" s="167">
        <v>3</v>
      </c>
      <c r="C13" s="173">
        <v>0.92400000000000004</v>
      </c>
      <c r="D13" s="173">
        <v>0.93224929999999995</v>
      </c>
      <c r="E13" s="173">
        <v>0.86868690000000004</v>
      </c>
      <c r="F13" s="168">
        <v>0.89934639999999999</v>
      </c>
      <c r="G13" s="173">
        <v>0.70779999999999998</v>
      </c>
      <c r="H13" s="190">
        <v>0.66176469999999998</v>
      </c>
      <c r="I13" s="190">
        <v>0.11363636000000001</v>
      </c>
      <c r="J13" s="190">
        <v>0.193965517</v>
      </c>
      <c r="K13" s="190">
        <v>0.91790000000000005</v>
      </c>
      <c r="L13" s="190">
        <v>0.92602039999999997</v>
      </c>
      <c r="M13" s="190">
        <v>0.91666669999999995</v>
      </c>
      <c r="N13" s="191">
        <v>0.92131980000000002</v>
      </c>
      <c r="O13" s="190">
        <v>0.77839999999999998</v>
      </c>
      <c r="P13" s="190">
        <v>0.5766</v>
      </c>
      <c r="Q13" s="190">
        <v>0.75</v>
      </c>
      <c r="R13" s="190">
        <v>0.65200000000000002</v>
      </c>
      <c r="S13" s="190">
        <v>0.92400000000000004</v>
      </c>
      <c r="T13" s="190">
        <v>0.93224929999999995</v>
      </c>
      <c r="U13" s="190">
        <v>0.86868690000000004</v>
      </c>
      <c r="V13" s="191">
        <v>0.89934639999999999</v>
      </c>
      <c r="W13" s="190">
        <v>0.70779999999999998</v>
      </c>
      <c r="X13" s="190">
        <v>0.66176469999999998</v>
      </c>
      <c r="Y13" s="190">
        <v>0.11363636000000001</v>
      </c>
      <c r="Z13" s="190">
        <v>0.193965517</v>
      </c>
    </row>
    <row r="14" spans="1:29" x14ac:dyDescent="0.2">
      <c r="A14" s="214"/>
      <c r="B14" s="167">
        <v>4</v>
      </c>
      <c r="C14" s="173">
        <v>0.92400000000000004</v>
      </c>
      <c r="D14" s="173">
        <v>0.93224929999999995</v>
      </c>
      <c r="E14" s="173">
        <v>0.86868690000000004</v>
      </c>
      <c r="F14" s="168">
        <v>0.89934639999999999</v>
      </c>
      <c r="G14" s="173">
        <v>0.49709999999999999</v>
      </c>
      <c r="H14" s="170" t="s">
        <v>24</v>
      </c>
      <c r="I14" s="170">
        <v>0</v>
      </c>
      <c r="J14" s="170" t="s">
        <v>24</v>
      </c>
      <c r="K14" s="170">
        <v>0.91790000000000005</v>
      </c>
      <c r="L14" s="170">
        <v>0.92602039999999997</v>
      </c>
      <c r="M14" s="170">
        <v>0.91666669999999995</v>
      </c>
      <c r="N14" s="169">
        <v>0.92131980000000002</v>
      </c>
      <c r="O14" s="170">
        <v>0.49659999999999999</v>
      </c>
      <c r="P14" s="190" t="s">
        <v>24</v>
      </c>
      <c r="Q14" s="190">
        <v>0</v>
      </c>
      <c r="R14" s="190" t="s">
        <v>24</v>
      </c>
      <c r="S14" s="190">
        <v>0.92400000000000004</v>
      </c>
      <c r="T14" s="190">
        <v>0.93224929999999995</v>
      </c>
      <c r="U14" s="190">
        <v>0.86868690000000004</v>
      </c>
      <c r="V14" s="191">
        <v>0.89934639999999999</v>
      </c>
      <c r="W14" s="190">
        <v>0.49709999999999999</v>
      </c>
      <c r="X14" s="190" t="s">
        <v>24</v>
      </c>
      <c r="Y14" s="190">
        <v>0</v>
      </c>
      <c r="Z14" s="190" t="s">
        <v>24</v>
      </c>
    </row>
    <row r="15" spans="1:29" x14ac:dyDescent="0.2">
      <c r="A15" s="214"/>
      <c r="B15" s="167">
        <v>5</v>
      </c>
      <c r="C15" s="173">
        <v>0.92400000000000004</v>
      </c>
      <c r="D15" s="173">
        <v>0.93224929999999995</v>
      </c>
      <c r="E15" s="173">
        <v>0.86868690000000004</v>
      </c>
      <c r="F15" s="168">
        <v>0.89934639999999999</v>
      </c>
      <c r="G15" s="173">
        <v>0.41909999999999997</v>
      </c>
      <c r="H15" s="170" t="s">
        <v>24</v>
      </c>
      <c r="I15" s="170">
        <v>0</v>
      </c>
      <c r="J15" s="170" t="s">
        <v>24</v>
      </c>
      <c r="K15" s="170">
        <v>0.91790000000000005</v>
      </c>
      <c r="L15" s="170">
        <v>0.92602039999999997</v>
      </c>
      <c r="M15" s="170">
        <v>0.91666669999999995</v>
      </c>
      <c r="N15" s="169">
        <v>0.92131980000000002</v>
      </c>
      <c r="O15" s="170">
        <v>0.72897819999999991</v>
      </c>
      <c r="P15" s="190" t="s">
        <v>24</v>
      </c>
      <c r="Q15" s="190">
        <v>0</v>
      </c>
      <c r="R15" s="190" t="s">
        <v>24</v>
      </c>
      <c r="S15" s="190">
        <v>0.92400000000000004</v>
      </c>
      <c r="T15" s="190">
        <v>0.93224929999999995</v>
      </c>
      <c r="U15" s="190">
        <v>0.86868690000000004</v>
      </c>
      <c r="V15" s="191">
        <v>0.89934639999999999</v>
      </c>
      <c r="W15" s="190">
        <v>0.41909999999999997</v>
      </c>
      <c r="X15" s="190" t="s">
        <v>24</v>
      </c>
      <c r="Y15" s="190">
        <v>0</v>
      </c>
      <c r="Z15" s="190" t="s">
        <v>24</v>
      </c>
    </row>
    <row r="16" spans="1:29" ht="17" thickBot="1" x14ac:dyDescent="0.25">
      <c r="A16" s="138"/>
      <c r="B16" s="115"/>
      <c r="C16" s="175"/>
      <c r="D16" s="175"/>
      <c r="E16" s="175"/>
      <c r="F16" s="175"/>
      <c r="G16" s="175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x14ac:dyDescent="0.2">
      <c r="A17" s="214" t="s">
        <v>75</v>
      </c>
      <c r="B17" s="167">
        <v>1</v>
      </c>
      <c r="C17" s="173">
        <v>0.92749999999999999</v>
      </c>
      <c r="D17" s="173">
        <v>0.94535519999999995</v>
      </c>
      <c r="E17" s="173">
        <v>0.8737374</v>
      </c>
      <c r="F17" s="168">
        <v>0.90813650000000001</v>
      </c>
      <c r="G17" s="173">
        <v>0.53359999999999996</v>
      </c>
      <c r="H17" s="190">
        <v>1</v>
      </c>
      <c r="I17" s="190">
        <v>5.0505050000000003E-3</v>
      </c>
      <c r="J17" s="190">
        <v>1.005025E-2</v>
      </c>
      <c r="K17" s="190">
        <v>0.92700000000000005</v>
      </c>
      <c r="L17" s="190">
        <v>0.95064939999999998</v>
      </c>
      <c r="M17" s="190">
        <v>0.92424240000000002</v>
      </c>
      <c r="N17" s="191">
        <v>0.93725990000000003</v>
      </c>
      <c r="O17" s="190">
        <v>0.56740000000000002</v>
      </c>
      <c r="P17" s="190">
        <v>0.96363639999999995</v>
      </c>
      <c r="Q17" s="190">
        <v>0.1338384</v>
      </c>
      <c r="R17" s="190">
        <v>0.2350333</v>
      </c>
      <c r="S17" s="190">
        <v>0.92749999999999999</v>
      </c>
      <c r="T17" s="190">
        <v>0.94535519999999995</v>
      </c>
      <c r="U17" s="190">
        <v>0.8737374</v>
      </c>
      <c r="V17" s="191">
        <v>0.90813650000000001</v>
      </c>
      <c r="W17" s="190">
        <v>0.53359999999999996</v>
      </c>
      <c r="X17" s="190">
        <v>1</v>
      </c>
      <c r="Y17" s="190">
        <v>5.0505050000000003E-3</v>
      </c>
      <c r="Z17" s="173">
        <v>1.005025E-2</v>
      </c>
    </row>
    <row r="18" spans="1:26" x14ac:dyDescent="0.2">
      <c r="A18" s="214"/>
      <c r="B18" s="167">
        <v>2</v>
      </c>
      <c r="C18" s="173">
        <v>0.92749999999999999</v>
      </c>
      <c r="D18" s="173">
        <v>0.94535519999999995</v>
      </c>
      <c r="E18" s="173">
        <v>0.8737374</v>
      </c>
      <c r="F18" s="168">
        <v>0.90813650000000001</v>
      </c>
      <c r="G18" s="173">
        <v>0.85760000000000003</v>
      </c>
      <c r="H18" s="190">
        <v>0.74432989999999999</v>
      </c>
      <c r="I18" s="190">
        <v>0.91161619999999999</v>
      </c>
      <c r="J18" s="190">
        <v>0.81952329999999995</v>
      </c>
      <c r="K18" s="190">
        <v>0.92700000000000005</v>
      </c>
      <c r="L18" s="190">
        <v>0.95064939999999998</v>
      </c>
      <c r="M18" s="190">
        <v>0.92424240000000002</v>
      </c>
      <c r="N18" s="191">
        <v>0.93725990000000003</v>
      </c>
      <c r="O18" s="190">
        <v>0.88680000000000003</v>
      </c>
      <c r="P18" s="190">
        <v>0.90909090000000004</v>
      </c>
      <c r="Q18" s="190">
        <v>0.93434340000000005</v>
      </c>
      <c r="R18" s="190">
        <v>0.92154420000000004</v>
      </c>
      <c r="S18" s="190">
        <v>0.92749999999999999</v>
      </c>
      <c r="T18" s="190">
        <v>0.94535519999999995</v>
      </c>
      <c r="U18" s="190">
        <v>0.8737374</v>
      </c>
      <c r="V18" s="191">
        <v>0.90813650000000001</v>
      </c>
      <c r="W18" s="190">
        <v>0.85760000000000003</v>
      </c>
      <c r="X18" s="190">
        <v>0.74432989999999999</v>
      </c>
      <c r="Y18" s="190">
        <v>0.91161619999999999</v>
      </c>
      <c r="Z18" s="173">
        <v>0.81952329999999995</v>
      </c>
    </row>
    <row r="19" spans="1:26" x14ac:dyDescent="0.2">
      <c r="A19" s="214"/>
      <c r="B19" s="167">
        <v>3</v>
      </c>
      <c r="C19" s="173">
        <v>0.92749999999999999</v>
      </c>
      <c r="D19" s="173">
        <v>0.94535519999999995</v>
      </c>
      <c r="E19" s="173">
        <v>0.8737374</v>
      </c>
      <c r="F19" s="168">
        <v>0.90813650000000001</v>
      </c>
      <c r="G19" s="173">
        <v>0.43409999999999999</v>
      </c>
      <c r="H19" s="190">
        <v>0.68</v>
      </c>
      <c r="I19" s="190">
        <v>0.90151515199999999</v>
      </c>
      <c r="J19" s="190">
        <v>0.7752443</v>
      </c>
      <c r="K19" s="190">
        <v>0.92700000000000005</v>
      </c>
      <c r="L19" s="190">
        <v>0.95064939999999998</v>
      </c>
      <c r="M19" s="190">
        <v>0.92424240000000002</v>
      </c>
      <c r="N19" s="191">
        <v>0.93725990000000003</v>
      </c>
      <c r="O19" s="190">
        <v>0.49490000000000001</v>
      </c>
      <c r="P19" s="190">
        <v>0.58860760000000001</v>
      </c>
      <c r="Q19" s="190">
        <v>0.93939393940000004</v>
      </c>
      <c r="R19" s="190">
        <v>0.723735409</v>
      </c>
      <c r="S19" s="190">
        <v>0.92749999999999999</v>
      </c>
      <c r="T19" s="190">
        <v>0.94535519999999995</v>
      </c>
      <c r="U19" s="190">
        <v>0.8737374</v>
      </c>
      <c r="V19" s="191">
        <v>0.90813650000000001</v>
      </c>
      <c r="W19" s="190">
        <v>0.43409999999999999</v>
      </c>
      <c r="X19" s="190">
        <v>0.68</v>
      </c>
      <c r="Y19" s="190">
        <v>0.90151515199999999</v>
      </c>
      <c r="Z19" s="190">
        <v>0.7752443</v>
      </c>
    </row>
    <row r="20" spans="1:26" x14ac:dyDescent="0.2">
      <c r="A20" s="214"/>
      <c r="B20" s="167">
        <v>4</v>
      </c>
      <c r="C20" s="173">
        <v>0.92749999999999999</v>
      </c>
      <c r="D20" s="173">
        <v>0.94535519999999995</v>
      </c>
      <c r="E20" s="173">
        <v>0.8737374</v>
      </c>
      <c r="F20" s="168">
        <v>0.90813650000000001</v>
      </c>
      <c r="G20" s="173">
        <v>0.33700000000000002</v>
      </c>
      <c r="H20" s="170">
        <v>0.97345130000000002</v>
      </c>
      <c r="I20" s="170">
        <v>0.55555560000000004</v>
      </c>
      <c r="J20" s="170">
        <v>0.70739549999999995</v>
      </c>
      <c r="K20" s="170">
        <v>0.92700000000000005</v>
      </c>
      <c r="L20" s="170">
        <v>0.95064939999999998</v>
      </c>
      <c r="M20" s="170">
        <v>0.92424240000000002</v>
      </c>
      <c r="N20" s="169">
        <v>0.93725990000000003</v>
      </c>
      <c r="O20" s="170">
        <v>0.34949999999999998</v>
      </c>
      <c r="P20" s="190">
        <v>0.97297299999999998</v>
      </c>
      <c r="Q20" s="190">
        <v>0.63636360000000003</v>
      </c>
      <c r="R20" s="190">
        <v>0.76946559999999997</v>
      </c>
      <c r="S20" s="190">
        <v>0.92749999999999999</v>
      </c>
      <c r="T20" s="190">
        <v>0.94535519999999995</v>
      </c>
      <c r="U20" s="190">
        <v>0.8737374</v>
      </c>
      <c r="V20" s="191">
        <v>0.90813650000000001</v>
      </c>
      <c r="W20" s="190">
        <v>0.33700000000000002</v>
      </c>
      <c r="X20" s="173">
        <v>0.97345130000000002</v>
      </c>
      <c r="Y20" s="190">
        <v>0.55555560000000004</v>
      </c>
      <c r="Z20" s="190">
        <v>0.70743999999999996</v>
      </c>
    </row>
    <row r="21" spans="1:26" x14ac:dyDescent="0.2">
      <c r="A21" s="214"/>
      <c r="B21" s="167">
        <v>5</v>
      </c>
      <c r="C21" s="173">
        <v>0.92749999999999999</v>
      </c>
      <c r="D21" s="173">
        <v>0.94535519999999995</v>
      </c>
      <c r="E21" s="173">
        <v>0.8737374</v>
      </c>
      <c r="F21" s="168">
        <v>0.90813650000000001</v>
      </c>
      <c r="G21" s="173" t="s">
        <v>24</v>
      </c>
      <c r="H21" s="170" t="s">
        <v>24</v>
      </c>
      <c r="I21" s="170" t="s">
        <v>24</v>
      </c>
      <c r="J21" s="170" t="s">
        <v>24</v>
      </c>
      <c r="K21" s="170">
        <v>0.92700000000000005</v>
      </c>
      <c r="L21" s="170">
        <v>0.95064939999999998</v>
      </c>
      <c r="M21" s="170">
        <v>0.92424240000000002</v>
      </c>
      <c r="N21" s="169">
        <v>0.93725990000000003</v>
      </c>
      <c r="O21" s="170">
        <v>3.8199999999999998E-2</v>
      </c>
      <c r="P21" s="190" t="s">
        <v>24</v>
      </c>
      <c r="Q21" s="190">
        <v>0</v>
      </c>
      <c r="R21" s="190" t="s">
        <v>24</v>
      </c>
      <c r="S21" s="190">
        <v>0.92749999999999999</v>
      </c>
      <c r="T21" s="190">
        <v>0.94535519999999995</v>
      </c>
      <c r="U21" s="190">
        <v>0.8737374</v>
      </c>
      <c r="V21" s="191">
        <v>0.90813650000000001</v>
      </c>
      <c r="W21" s="190" t="s">
        <v>24</v>
      </c>
      <c r="X21" s="173" t="s">
        <v>24</v>
      </c>
      <c r="Y21" s="190" t="s">
        <v>24</v>
      </c>
      <c r="Z21" s="190" t="s">
        <v>24</v>
      </c>
    </row>
    <row r="22" spans="1:26" x14ac:dyDescent="0.2">
      <c r="A22" s="130"/>
      <c r="B22" s="167"/>
      <c r="C22" s="173"/>
      <c r="D22" s="173"/>
      <c r="E22" s="173"/>
      <c r="F22" s="173"/>
      <c r="G22" s="173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 spans="1:26" x14ac:dyDescent="0.2">
      <c r="A23" s="214" t="s">
        <v>76</v>
      </c>
      <c r="B23" s="167">
        <v>1</v>
      </c>
      <c r="C23" s="173">
        <v>0.92749999999999999</v>
      </c>
      <c r="D23" s="173">
        <v>0.94535519999999995</v>
      </c>
      <c r="E23" s="173">
        <v>0.8737374</v>
      </c>
      <c r="F23" s="173">
        <v>0.90813650000000001</v>
      </c>
      <c r="G23" s="173">
        <v>0.90469999999999995</v>
      </c>
      <c r="H23" s="190">
        <v>0.94594590000000001</v>
      </c>
      <c r="I23" s="190">
        <v>0.88383840000000002</v>
      </c>
      <c r="J23" s="191">
        <v>0.91383809999999999</v>
      </c>
      <c r="K23" s="190">
        <v>0.92700000000000005</v>
      </c>
      <c r="L23" s="190">
        <v>0.95064939999999998</v>
      </c>
      <c r="M23" s="190">
        <v>0.92424240000000002</v>
      </c>
      <c r="N23" s="191">
        <v>0.93725990000000003</v>
      </c>
      <c r="O23" s="190">
        <v>0.91420000000000001</v>
      </c>
      <c r="P23" s="190">
        <v>0.95538060000000002</v>
      </c>
      <c r="Q23" s="190">
        <v>0.91919189999999995</v>
      </c>
      <c r="R23" s="190">
        <v>0.93693689999999996</v>
      </c>
      <c r="S23" s="190">
        <v>0.92749999999999999</v>
      </c>
      <c r="T23" s="190">
        <v>0.94535519999999995</v>
      </c>
      <c r="U23" s="190">
        <v>0.8737374</v>
      </c>
      <c r="V23" s="190">
        <v>0.90813650000000001</v>
      </c>
      <c r="W23" s="190">
        <v>0.90469999999999995</v>
      </c>
      <c r="X23" s="190">
        <v>0.94594590000000001</v>
      </c>
      <c r="Y23" s="190">
        <v>0.88383840000000002</v>
      </c>
      <c r="Z23" s="191">
        <v>0.91383809999999999</v>
      </c>
    </row>
    <row r="24" spans="1:26" x14ac:dyDescent="0.2">
      <c r="A24" s="214"/>
      <c r="B24" s="167">
        <v>2</v>
      </c>
      <c r="C24" s="173">
        <v>0.92749999999999999</v>
      </c>
      <c r="D24" s="173">
        <v>0.94535519999999995</v>
      </c>
      <c r="E24" s="173">
        <v>0.8737374</v>
      </c>
      <c r="F24" s="168">
        <v>0.90813650000000001</v>
      </c>
      <c r="G24" s="173">
        <v>0.87129999999999996</v>
      </c>
      <c r="H24" s="190">
        <v>0.94259820000000005</v>
      </c>
      <c r="I24" s="190">
        <v>0.78787879999999999</v>
      </c>
      <c r="J24" s="190">
        <v>0.85832189999999997</v>
      </c>
      <c r="K24" s="190">
        <v>0.92700000000000005</v>
      </c>
      <c r="L24" s="190">
        <v>0.95064939999999998</v>
      </c>
      <c r="M24" s="190">
        <v>0.92424240000000002</v>
      </c>
      <c r="N24" s="191">
        <v>0.93725990000000003</v>
      </c>
      <c r="O24" s="190">
        <v>0.877</v>
      </c>
      <c r="P24" s="190">
        <v>0.95518210000000003</v>
      </c>
      <c r="Q24" s="190">
        <v>0.86111110000000002</v>
      </c>
      <c r="R24" s="190">
        <v>0.90571049999999997</v>
      </c>
      <c r="S24" s="190">
        <v>0.92749999999999999</v>
      </c>
      <c r="T24" s="190">
        <v>0.94535519999999995</v>
      </c>
      <c r="U24" s="190">
        <v>0.8737374</v>
      </c>
      <c r="V24" s="191">
        <v>0.90813650000000001</v>
      </c>
      <c r="W24" s="190">
        <v>0.87129999999999996</v>
      </c>
      <c r="X24" s="190">
        <v>0.94259820000000005</v>
      </c>
      <c r="Y24" s="190">
        <v>0.78787879999999999</v>
      </c>
      <c r="Z24" s="190">
        <v>0.85832189999999997</v>
      </c>
    </row>
    <row r="25" spans="1:26" x14ac:dyDescent="0.2">
      <c r="A25" s="214"/>
      <c r="B25" s="167">
        <v>3</v>
      </c>
      <c r="C25" s="173">
        <v>0.92749999999999999</v>
      </c>
      <c r="D25" s="173">
        <v>0.94535519999999995</v>
      </c>
      <c r="E25" s="173">
        <v>0.8737374</v>
      </c>
      <c r="F25" s="173">
        <v>0.90813650000000001</v>
      </c>
      <c r="G25" s="173">
        <v>0.61939999999999995</v>
      </c>
      <c r="H25" s="190">
        <v>1</v>
      </c>
      <c r="I25" s="190">
        <v>5.0505050000000003E-3</v>
      </c>
      <c r="J25" s="191">
        <v>0.91975841000000003</v>
      </c>
      <c r="K25" s="190">
        <v>0.92700000000000005</v>
      </c>
      <c r="L25" s="190">
        <v>0.95064939999999998</v>
      </c>
      <c r="M25" s="190">
        <v>0.92424240000000002</v>
      </c>
      <c r="N25" s="191">
        <v>0.93725990000000003</v>
      </c>
      <c r="O25" s="190">
        <v>0.64529999999999998</v>
      </c>
      <c r="P25" s="190">
        <v>0.94444439999999996</v>
      </c>
      <c r="Q25" s="190">
        <v>8.5858589999999999E-2</v>
      </c>
      <c r="R25" s="190">
        <v>0.1574074</v>
      </c>
      <c r="S25" s="190">
        <v>0.92749999999999999</v>
      </c>
      <c r="T25" s="190">
        <v>0.94535519999999995</v>
      </c>
      <c r="U25" s="190">
        <v>0.8737374</v>
      </c>
      <c r="V25" s="191">
        <v>0.90813650000000001</v>
      </c>
      <c r="W25" s="190">
        <v>0.61939999999999995</v>
      </c>
      <c r="X25" s="190">
        <v>1</v>
      </c>
      <c r="Y25" s="190">
        <v>5.0505050000000003E-3</v>
      </c>
      <c r="Z25" s="190">
        <v>1.005025E-2</v>
      </c>
    </row>
    <row r="26" spans="1:26" x14ac:dyDescent="0.2">
      <c r="A26" s="214"/>
      <c r="B26" s="167">
        <v>4</v>
      </c>
      <c r="C26" s="173">
        <v>0.92749999999999999</v>
      </c>
      <c r="D26" s="173">
        <v>0.94535519999999995</v>
      </c>
      <c r="E26" s="173">
        <v>0.8737374</v>
      </c>
      <c r="F26" s="168">
        <v>0.90813650000000001</v>
      </c>
      <c r="G26" s="173">
        <v>0.3931</v>
      </c>
      <c r="H26" s="190" t="s">
        <v>24</v>
      </c>
      <c r="I26" s="190">
        <v>0</v>
      </c>
      <c r="J26" s="190" t="s">
        <v>24</v>
      </c>
      <c r="K26" s="190">
        <v>0.92700000000000005</v>
      </c>
      <c r="L26" s="190">
        <v>0.95064939999999998</v>
      </c>
      <c r="M26" s="190">
        <v>0.92424240000000002</v>
      </c>
      <c r="N26" s="191">
        <v>0.93725990000000003</v>
      </c>
      <c r="O26" s="190">
        <v>0.41589999999999999</v>
      </c>
      <c r="P26" s="190" t="s">
        <v>24</v>
      </c>
      <c r="Q26" s="190">
        <v>0</v>
      </c>
      <c r="R26" s="190" t="s">
        <v>24</v>
      </c>
      <c r="S26" s="190">
        <v>0.92749999999999999</v>
      </c>
      <c r="T26" s="190">
        <v>0.94535519999999995</v>
      </c>
      <c r="U26" s="190">
        <v>0.8737374</v>
      </c>
      <c r="V26" s="191">
        <v>0.90813650000000001</v>
      </c>
      <c r="W26" s="190">
        <v>0.3931</v>
      </c>
      <c r="X26" s="190" t="s">
        <v>24</v>
      </c>
      <c r="Y26" s="190">
        <v>0</v>
      </c>
      <c r="Z26" s="190" t="s">
        <v>24</v>
      </c>
    </row>
    <row r="27" spans="1:26" x14ac:dyDescent="0.2">
      <c r="A27" s="214"/>
      <c r="B27" s="167">
        <v>5</v>
      </c>
      <c r="C27" s="173">
        <v>0.92749999999999999</v>
      </c>
      <c r="D27" s="173">
        <v>0.94535519999999995</v>
      </c>
      <c r="E27" s="173">
        <v>0.8737374</v>
      </c>
      <c r="F27" s="168">
        <v>0.90813650000000001</v>
      </c>
      <c r="G27" s="173">
        <v>0.30049999999999999</v>
      </c>
      <c r="H27" s="170" t="s">
        <v>24</v>
      </c>
      <c r="I27" s="170">
        <v>0</v>
      </c>
      <c r="J27" s="170" t="s">
        <v>24</v>
      </c>
      <c r="K27" s="170">
        <v>0.92700000000000005</v>
      </c>
      <c r="L27" s="170">
        <v>0.95064939999999998</v>
      </c>
      <c r="M27" s="170">
        <v>0.92424240000000002</v>
      </c>
      <c r="N27" s="169">
        <v>0.93725990000000003</v>
      </c>
      <c r="O27" s="170">
        <v>0.32769999999999999</v>
      </c>
      <c r="P27" s="190" t="s">
        <v>24</v>
      </c>
      <c r="Q27" s="190">
        <v>0</v>
      </c>
      <c r="R27" s="190" t="s">
        <v>24</v>
      </c>
      <c r="S27" s="190">
        <v>0.92749999999999999</v>
      </c>
      <c r="T27" s="190">
        <v>0.94535519999999995</v>
      </c>
      <c r="U27" s="190">
        <v>0.8737374</v>
      </c>
      <c r="V27" s="191">
        <v>0.90813650000000001</v>
      </c>
      <c r="W27" s="190">
        <v>0.30049999999999999</v>
      </c>
      <c r="X27" s="190" t="s">
        <v>24</v>
      </c>
      <c r="Y27" s="190">
        <v>0</v>
      </c>
      <c r="Z27" s="190" t="s">
        <v>24</v>
      </c>
    </row>
    <row r="28" spans="1:26" ht="17" thickBot="1" x14ac:dyDescent="0.25">
      <c r="A28" s="138"/>
      <c r="B28" s="115"/>
      <c r="C28" s="175"/>
      <c r="D28" s="175"/>
      <c r="E28" s="175"/>
      <c r="F28" s="175"/>
      <c r="G28" s="175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x14ac:dyDescent="0.2">
      <c r="A29" s="214" t="s">
        <v>77</v>
      </c>
      <c r="B29" s="167">
        <v>1</v>
      </c>
      <c r="C29" s="173">
        <v>0.37790000000000001</v>
      </c>
      <c r="D29" s="173" t="s">
        <v>24</v>
      </c>
      <c r="E29" s="173">
        <v>0</v>
      </c>
      <c r="F29" s="173" t="s">
        <v>24</v>
      </c>
      <c r="G29" s="173">
        <v>0.39950000000000002</v>
      </c>
      <c r="H29" s="190" t="s">
        <v>24</v>
      </c>
      <c r="I29" s="190">
        <v>0</v>
      </c>
      <c r="J29" s="190" t="s">
        <v>24</v>
      </c>
      <c r="K29" s="190">
        <v>0.60980000000000001</v>
      </c>
      <c r="L29" s="190">
        <v>0.46879759999999998</v>
      </c>
      <c r="M29" s="190">
        <v>0.77777777999999997</v>
      </c>
      <c r="N29" s="191">
        <v>0.58499525200000002</v>
      </c>
      <c r="O29" s="190">
        <v>0.37619999999999998</v>
      </c>
      <c r="P29" s="190" t="s">
        <v>24</v>
      </c>
      <c r="Q29" s="190" t="s">
        <v>66</v>
      </c>
      <c r="R29" s="190" t="s">
        <v>24</v>
      </c>
      <c r="S29" s="190">
        <v>0.37790000000000001</v>
      </c>
      <c r="T29" s="190" t="s">
        <v>24</v>
      </c>
      <c r="U29" s="190">
        <v>0</v>
      </c>
      <c r="V29" s="190" t="s">
        <v>24</v>
      </c>
      <c r="W29" s="190">
        <v>0.39950000000000002</v>
      </c>
      <c r="X29" s="190" t="s">
        <v>24</v>
      </c>
      <c r="Y29" s="190">
        <v>0</v>
      </c>
      <c r="Z29" s="190" t="s">
        <v>24</v>
      </c>
    </row>
    <row r="30" spans="1:26" x14ac:dyDescent="0.2">
      <c r="A30" s="214"/>
      <c r="B30" s="167">
        <v>2</v>
      </c>
      <c r="C30" s="173">
        <v>0.37790000000000001</v>
      </c>
      <c r="D30" s="173" t="s">
        <v>24</v>
      </c>
      <c r="E30" s="173">
        <v>0</v>
      </c>
      <c r="F30" s="173" t="s">
        <v>24</v>
      </c>
      <c r="G30" s="173">
        <v>0.54679999999999995</v>
      </c>
      <c r="H30" s="190">
        <v>0.31183670000000002</v>
      </c>
      <c r="I30" s="190">
        <v>0.96464645999999998</v>
      </c>
      <c r="J30" s="190">
        <v>0.47131400400000001</v>
      </c>
      <c r="K30" s="191">
        <v>0.60980000000000001</v>
      </c>
      <c r="L30" s="190">
        <v>0.46879759999999998</v>
      </c>
      <c r="M30" s="190">
        <v>0.77777777999999997</v>
      </c>
      <c r="N30" s="191">
        <v>0.58499525200000002</v>
      </c>
      <c r="O30" s="190">
        <v>0.19359999999999999</v>
      </c>
      <c r="P30" s="190" t="s">
        <v>24</v>
      </c>
      <c r="Q30" s="190" t="s">
        <v>66</v>
      </c>
      <c r="R30" s="190" t="s">
        <v>24</v>
      </c>
      <c r="S30" s="190">
        <v>0.37790000000000001</v>
      </c>
      <c r="T30" s="190" t="s">
        <v>24</v>
      </c>
      <c r="U30" s="190">
        <v>0</v>
      </c>
      <c r="V30" s="190" t="s">
        <v>24</v>
      </c>
      <c r="W30" s="190">
        <v>0.54679999999999995</v>
      </c>
      <c r="X30" s="190">
        <v>0.31183670000000002</v>
      </c>
      <c r="Y30" s="190">
        <v>0.96464645999999998</v>
      </c>
      <c r="Z30" s="168">
        <v>0.47131400400000001</v>
      </c>
    </row>
    <row r="31" spans="1:26" x14ac:dyDescent="0.2">
      <c r="A31" s="214"/>
      <c r="B31" s="167">
        <v>3</v>
      </c>
      <c r="C31" s="173">
        <v>0.37790000000000001</v>
      </c>
      <c r="D31" s="173" t="s">
        <v>24</v>
      </c>
      <c r="E31" s="173">
        <v>0</v>
      </c>
      <c r="F31" s="173" t="s">
        <v>24</v>
      </c>
      <c r="G31" s="173">
        <v>0.33110000000000001</v>
      </c>
      <c r="H31" s="190">
        <v>0.71241829999999995</v>
      </c>
      <c r="I31" s="190">
        <v>0.82575759999999998</v>
      </c>
      <c r="J31" s="190">
        <v>0.76491229999999999</v>
      </c>
      <c r="K31" s="191">
        <v>0.60980000000000001</v>
      </c>
      <c r="L31" s="190">
        <v>0.46879759999999998</v>
      </c>
      <c r="M31" s="190">
        <v>0.77777777999999997</v>
      </c>
      <c r="N31" s="191">
        <v>0.58499525200000002</v>
      </c>
      <c r="O31" s="190">
        <v>0.26669999999999999</v>
      </c>
      <c r="P31" s="190">
        <v>0.40102828000000001</v>
      </c>
      <c r="Q31" s="190">
        <v>0.78787879999999999</v>
      </c>
      <c r="R31" s="190">
        <v>0.53151619999999999</v>
      </c>
      <c r="S31" s="190">
        <v>0.37790000000000001</v>
      </c>
      <c r="T31" s="190" t="s">
        <v>24</v>
      </c>
      <c r="U31" s="190">
        <v>0</v>
      </c>
      <c r="V31" s="190" t="s">
        <v>24</v>
      </c>
      <c r="W31" s="190">
        <v>0.33110000000000001</v>
      </c>
      <c r="X31" s="190">
        <v>0.71241829999999995</v>
      </c>
      <c r="Y31" s="190">
        <v>0.82575759999999998</v>
      </c>
      <c r="Z31" s="168">
        <v>0.76491229999999999</v>
      </c>
    </row>
    <row r="32" spans="1:26" x14ac:dyDescent="0.2">
      <c r="A32" s="214"/>
      <c r="B32" s="167">
        <v>4</v>
      </c>
      <c r="C32" s="173">
        <v>0.37790000000000001</v>
      </c>
      <c r="D32" s="173" t="s">
        <v>24</v>
      </c>
      <c r="E32" s="173">
        <v>0</v>
      </c>
      <c r="F32" s="173" t="s">
        <v>24</v>
      </c>
      <c r="G32" s="173">
        <v>0.26469999999999999</v>
      </c>
      <c r="H32" s="170" t="s">
        <v>24</v>
      </c>
      <c r="I32" s="170">
        <v>0</v>
      </c>
      <c r="J32" s="170" t="s">
        <v>24</v>
      </c>
      <c r="K32" s="170">
        <v>0.60980000000000001</v>
      </c>
      <c r="L32" s="170">
        <v>0.46879759999999998</v>
      </c>
      <c r="M32" s="170">
        <v>0.77777777999999997</v>
      </c>
      <c r="N32" s="169">
        <v>0.58499525200000002</v>
      </c>
      <c r="O32" s="170">
        <v>0.28060000000000002</v>
      </c>
      <c r="P32" s="190" t="s">
        <v>24</v>
      </c>
      <c r="Q32" s="190" t="s">
        <v>66</v>
      </c>
      <c r="R32" s="190" t="s">
        <v>24</v>
      </c>
      <c r="S32" s="190">
        <v>0.37790000000000001</v>
      </c>
      <c r="T32" s="190" t="s">
        <v>24</v>
      </c>
      <c r="U32" s="190">
        <v>0</v>
      </c>
      <c r="V32" s="190" t="s">
        <v>24</v>
      </c>
      <c r="W32" s="190">
        <v>0.26469999999999999</v>
      </c>
      <c r="X32" s="173" t="s">
        <v>24</v>
      </c>
      <c r="Y32" s="190">
        <v>0</v>
      </c>
      <c r="Z32" s="190" t="s">
        <v>24</v>
      </c>
    </row>
    <row r="33" spans="1:26" x14ac:dyDescent="0.2">
      <c r="A33" s="214"/>
      <c r="B33" s="167">
        <v>5</v>
      </c>
      <c r="C33" s="173">
        <v>0.37790000000000001</v>
      </c>
      <c r="D33" s="173" t="s">
        <v>24</v>
      </c>
      <c r="E33" s="173">
        <v>0</v>
      </c>
      <c r="F33" s="173" t="s">
        <v>24</v>
      </c>
      <c r="G33" s="173" t="s">
        <v>24</v>
      </c>
      <c r="H33" s="170" t="s">
        <v>24</v>
      </c>
      <c r="I33" s="169" t="s">
        <v>24</v>
      </c>
      <c r="J33" s="170" t="s">
        <v>24</v>
      </c>
      <c r="K33" s="170">
        <v>0.60980000000000001</v>
      </c>
      <c r="L33" s="170">
        <v>0.46879759999999998</v>
      </c>
      <c r="M33" s="170">
        <v>0.77777777999999997</v>
      </c>
      <c r="N33" s="169">
        <v>0.58499525200000002</v>
      </c>
      <c r="O33" s="170">
        <v>3.8199999999999998E-2</v>
      </c>
      <c r="P33" s="190" t="s">
        <v>24</v>
      </c>
      <c r="Q33" s="190" t="s">
        <v>66</v>
      </c>
      <c r="R33" s="190" t="s">
        <v>24</v>
      </c>
      <c r="S33" s="190">
        <v>0.37790000000000001</v>
      </c>
      <c r="T33" s="190" t="s">
        <v>24</v>
      </c>
      <c r="U33" s="190">
        <v>0</v>
      </c>
      <c r="V33" s="190" t="s">
        <v>24</v>
      </c>
      <c r="W33" s="190" t="s">
        <v>24</v>
      </c>
      <c r="X33" s="173" t="s">
        <v>24</v>
      </c>
      <c r="Y33" s="190" t="s">
        <v>24</v>
      </c>
      <c r="Z33" s="190" t="s">
        <v>24</v>
      </c>
    </row>
    <row r="34" spans="1:26" x14ac:dyDescent="0.2">
      <c r="A34" s="130"/>
      <c r="B34" s="167"/>
      <c r="C34" s="173"/>
      <c r="D34" s="173"/>
      <c r="E34" s="173"/>
      <c r="F34" s="173"/>
      <c r="G34" s="173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spans="1:26" x14ac:dyDescent="0.2">
      <c r="A35" s="214" t="s">
        <v>78</v>
      </c>
      <c r="B35" s="167">
        <v>1</v>
      </c>
      <c r="C35" s="173">
        <v>0.37790000000000001</v>
      </c>
      <c r="D35" s="173" t="s">
        <v>24</v>
      </c>
      <c r="E35" s="173">
        <v>0</v>
      </c>
      <c r="F35" s="173" t="s">
        <v>24</v>
      </c>
      <c r="G35" s="173">
        <v>0.2059</v>
      </c>
      <c r="H35" s="190">
        <v>0.9029412</v>
      </c>
      <c r="I35" s="190" t="s">
        <v>24</v>
      </c>
      <c r="J35" s="190">
        <v>0</v>
      </c>
      <c r="K35" s="190">
        <v>0.60980000000000001</v>
      </c>
      <c r="L35" s="190">
        <v>0.46879759999999998</v>
      </c>
      <c r="M35" s="190">
        <v>0.77777777999999997</v>
      </c>
      <c r="N35" s="191">
        <v>0.58499525200000002</v>
      </c>
      <c r="O35" s="190">
        <v>0.14169999999999999</v>
      </c>
      <c r="P35" s="190" t="s">
        <v>24</v>
      </c>
      <c r="Q35" s="190" t="s">
        <v>66</v>
      </c>
      <c r="R35" s="190" t="s">
        <v>24</v>
      </c>
      <c r="S35" s="190">
        <v>0.37790000000000001</v>
      </c>
      <c r="T35" s="190" t="s">
        <v>24</v>
      </c>
      <c r="U35" s="190">
        <v>0</v>
      </c>
      <c r="V35" s="190" t="s">
        <v>24</v>
      </c>
      <c r="W35" s="190">
        <v>0.2059</v>
      </c>
      <c r="X35" s="190" t="s">
        <v>24</v>
      </c>
      <c r="Y35" s="190">
        <v>0</v>
      </c>
      <c r="Z35" s="190" t="s">
        <v>24</v>
      </c>
    </row>
    <row r="36" spans="1:26" x14ac:dyDescent="0.2">
      <c r="A36" s="214"/>
      <c r="B36" s="167">
        <v>2</v>
      </c>
      <c r="C36" s="173">
        <v>0.37790000000000001</v>
      </c>
      <c r="D36" s="173" t="s">
        <v>24</v>
      </c>
      <c r="E36" s="173">
        <v>0</v>
      </c>
      <c r="F36" s="173" t="s">
        <v>24</v>
      </c>
      <c r="G36" s="173">
        <v>0.44290000000000002</v>
      </c>
      <c r="H36" s="190" t="s">
        <v>24</v>
      </c>
      <c r="I36" s="190">
        <v>0</v>
      </c>
      <c r="J36" s="190" t="s">
        <v>24</v>
      </c>
      <c r="K36" s="190">
        <v>0.60980000000000001</v>
      </c>
      <c r="L36" s="190">
        <v>0.46879759999999998</v>
      </c>
      <c r="M36" s="190">
        <v>0.77777777999999997</v>
      </c>
      <c r="N36" s="191">
        <v>0.58499525200000002</v>
      </c>
      <c r="O36" s="190">
        <v>0.51270000000000004</v>
      </c>
      <c r="P36" s="190" t="s">
        <v>24</v>
      </c>
      <c r="Q36" s="190" t="s">
        <v>66</v>
      </c>
      <c r="R36" s="190" t="s">
        <v>24</v>
      </c>
      <c r="S36" s="190">
        <v>0.37790000000000001</v>
      </c>
      <c r="T36" s="190" t="s">
        <v>24</v>
      </c>
      <c r="U36" s="190">
        <v>0</v>
      </c>
      <c r="V36" s="190" t="s">
        <v>24</v>
      </c>
      <c r="W36" s="190">
        <v>0.80119969999999996</v>
      </c>
      <c r="X36" s="190" t="s">
        <v>24</v>
      </c>
      <c r="Y36" s="190">
        <v>0</v>
      </c>
      <c r="Z36" s="190" t="s">
        <v>24</v>
      </c>
    </row>
    <row r="37" spans="1:26" x14ac:dyDescent="0.2">
      <c r="A37" s="214"/>
      <c r="B37" s="167">
        <v>3</v>
      </c>
      <c r="C37" s="173">
        <v>0.37790000000000001</v>
      </c>
      <c r="D37" s="173" t="s">
        <v>24</v>
      </c>
      <c r="E37" s="173">
        <v>0</v>
      </c>
      <c r="F37" s="173" t="s">
        <v>24</v>
      </c>
      <c r="G37" s="173">
        <v>0.54879999999999995</v>
      </c>
      <c r="H37" s="190" t="s">
        <v>24</v>
      </c>
      <c r="I37" s="190">
        <v>0</v>
      </c>
      <c r="J37" s="190" t="s">
        <v>24</v>
      </c>
      <c r="K37" s="190">
        <v>0.60980000000000001</v>
      </c>
      <c r="L37" s="190">
        <v>0.46879759999999998</v>
      </c>
      <c r="M37" s="190">
        <v>0.77777777999999997</v>
      </c>
      <c r="N37" s="191">
        <v>0.58499525200000002</v>
      </c>
      <c r="O37" s="190">
        <v>0.51790000000000003</v>
      </c>
      <c r="P37" s="190" t="s">
        <v>24</v>
      </c>
      <c r="Q37" s="190" t="s">
        <v>66</v>
      </c>
      <c r="R37" s="190" t="s">
        <v>24</v>
      </c>
      <c r="S37" s="190">
        <v>0.37790000000000001</v>
      </c>
      <c r="T37" s="190" t="s">
        <v>24</v>
      </c>
      <c r="U37" s="190">
        <v>0</v>
      </c>
      <c r="V37" s="190" t="s">
        <v>24</v>
      </c>
      <c r="W37" s="190">
        <v>0.54879999999999995</v>
      </c>
      <c r="X37" s="190" t="s">
        <v>24</v>
      </c>
      <c r="Y37" s="190">
        <v>0</v>
      </c>
      <c r="Z37" s="190" t="s">
        <v>24</v>
      </c>
    </row>
    <row r="38" spans="1:26" x14ac:dyDescent="0.2">
      <c r="A38" s="214"/>
      <c r="B38" s="167">
        <v>4</v>
      </c>
      <c r="C38" s="173">
        <v>0.37790000000000001</v>
      </c>
      <c r="D38" s="173" t="s">
        <v>24</v>
      </c>
      <c r="E38" s="173">
        <v>0</v>
      </c>
      <c r="F38" s="173" t="s">
        <v>24</v>
      </c>
      <c r="G38" s="173">
        <v>0.39610000000000001</v>
      </c>
      <c r="H38" s="190" t="s">
        <v>24</v>
      </c>
      <c r="I38" s="190">
        <v>0</v>
      </c>
      <c r="J38" s="190" t="s">
        <v>24</v>
      </c>
      <c r="K38" s="190">
        <v>0.60980000000000001</v>
      </c>
      <c r="L38" s="190">
        <v>0.46879759999999998</v>
      </c>
      <c r="M38" s="190">
        <v>0.77777777999999997</v>
      </c>
      <c r="N38" s="191">
        <v>0.58499525200000002</v>
      </c>
      <c r="O38" s="190">
        <v>0.26050000000000001</v>
      </c>
      <c r="P38" s="190" t="s">
        <v>24</v>
      </c>
      <c r="Q38" s="190" t="s">
        <v>66</v>
      </c>
      <c r="R38" s="190" t="s">
        <v>24</v>
      </c>
      <c r="S38" s="190">
        <v>0.37790000000000001</v>
      </c>
      <c r="T38" s="190" t="s">
        <v>24</v>
      </c>
      <c r="U38" s="190">
        <v>0</v>
      </c>
      <c r="V38" s="190" t="s">
        <v>24</v>
      </c>
      <c r="W38" s="190">
        <v>0.39610000000000001</v>
      </c>
      <c r="X38" s="190" t="s">
        <v>24</v>
      </c>
      <c r="Y38" s="190">
        <v>0</v>
      </c>
      <c r="Z38" s="190" t="s">
        <v>24</v>
      </c>
    </row>
    <row r="39" spans="1:26" x14ac:dyDescent="0.2">
      <c r="A39" s="214"/>
      <c r="B39" s="167">
        <v>5</v>
      </c>
      <c r="C39" s="173">
        <v>0.37790000000000001</v>
      </c>
      <c r="D39" s="173" t="s">
        <v>24</v>
      </c>
      <c r="E39" s="173">
        <v>0</v>
      </c>
      <c r="F39" s="173" t="s">
        <v>24</v>
      </c>
      <c r="G39" s="173">
        <v>0.38009999999999999</v>
      </c>
      <c r="H39" s="170" t="s">
        <v>24</v>
      </c>
      <c r="I39" s="170">
        <v>0</v>
      </c>
      <c r="J39" s="170" t="s">
        <v>24</v>
      </c>
      <c r="K39" s="170">
        <v>0.60980000000000001</v>
      </c>
      <c r="L39" s="170">
        <v>0.46879759999999998</v>
      </c>
      <c r="M39" s="170">
        <v>0.77777777999999997</v>
      </c>
      <c r="N39" s="169">
        <v>0.58499525200000002</v>
      </c>
      <c r="O39" s="170">
        <v>0.39829999999999999</v>
      </c>
      <c r="P39" s="190" t="s">
        <v>24</v>
      </c>
      <c r="Q39" s="190" t="s">
        <v>66</v>
      </c>
      <c r="R39" s="190" t="s">
        <v>24</v>
      </c>
      <c r="S39" s="190">
        <v>0.37790000000000001</v>
      </c>
      <c r="T39" s="190" t="s">
        <v>24</v>
      </c>
      <c r="U39" s="190">
        <v>0</v>
      </c>
      <c r="V39" s="190" t="s">
        <v>24</v>
      </c>
      <c r="W39" s="190">
        <v>0.38009999999999999</v>
      </c>
      <c r="X39" s="190" t="s">
        <v>24</v>
      </c>
      <c r="Y39" s="190">
        <v>0</v>
      </c>
      <c r="Z39" s="190" t="s">
        <v>24</v>
      </c>
    </row>
    <row r="40" spans="1:26" ht="17" thickBot="1" x14ac:dyDescent="0.25">
      <c r="A40" s="138"/>
      <c r="B40" s="115"/>
      <c r="C40" s="175"/>
      <c r="D40" s="175"/>
      <c r="E40" s="175"/>
      <c r="F40" s="175"/>
      <c r="G40" s="175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x14ac:dyDescent="0.2">
      <c r="A41" s="214" t="s">
        <v>79</v>
      </c>
      <c r="B41" s="167">
        <v>1</v>
      </c>
      <c r="C41" s="173">
        <v>0.92449999999999999</v>
      </c>
      <c r="D41" s="173">
        <v>0.93800539999999999</v>
      </c>
      <c r="E41" s="173">
        <v>0.87878789999999996</v>
      </c>
      <c r="F41" s="168">
        <v>0.9074316</v>
      </c>
      <c r="G41" s="173">
        <v>0.57399999999999995</v>
      </c>
      <c r="H41" s="190">
        <v>0.72340425500000005</v>
      </c>
      <c r="I41" s="190">
        <v>0.17171717</v>
      </c>
      <c r="J41" s="190">
        <v>0.17171717</v>
      </c>
      <c r="K41" s="190">
        <v>0.92009799999999997</v>
      </c>
      <c r="L41" s="190">
        <v>0.9262087</v>
      </c>
      <c r="M41" s="190">
        <v>0.91919189999999995</v>
      </c>
      <c r="N41" s="191">
        <v>0.92268689999999998</v>
      </c>
      <c r="O41" s="190">
        <v>0.59340000000000004</v>
      </c>
      <c r="P41" s="190">
        <v>0.76530609999999999</v>
      </c>
      <c r="Q41" s="190">
        <v>0.37878788000000002</v>
      </c>
      <c r="R41" s="190">
        <v>0.50675680000000001</v>
      </c>
      <c r="S41" s="190">
        <v>0.92449999999999999</v>
      </c>
      <c r="T41" s="190">
        <v>0.93800539999999999</v>
      </c>
      <c r="U41" s="190">
        <v>0.87878789999999996</v>
      </c>
      <c r="V41" s="191">
        <v>0.9074316</v>
      </c>
      <c r="W41" s="190">
        <v>0.57399999999999995</v>
      </c>
      <c r="X41" s="190">
        <v>0.72340425500000005</v>
      </c>
      <c r="Y41" s="190">
        <v>0.17171717</v>
      </c>
      <c r="Z41" s="190">
        <v>0.27755101999999998</v>
      </c>
    </row>
    <row r="42" spans="1:26" x14ac:dyDescent="0.2">
      <c r="A42" s="214"/>
      <c r="B42" s="167">
        <v>2</v>
      </c>
      <c r="C42" s="173">
        <v>0.92449999999999999</v>
      </c>
      <c r="D42" s="173">
        <v>0.93800539999999999</v>
      </c>
      <c r="E42" s="173">
        <v>0.87878789999999996</v>
      </c>
      <c r="F42" s="168">
        <v>0.9074316</v>
      </c>
      <c r="G42" s="173">
        <v>0.88360000000000005</v>
      </c>
      <c r="H42" s="190">
        <v>0.70799999999999996</v>
      </c>
      <c r="I42" s="190">
        <v>0.89393940000000005</v>
      </c>
      <c r="J42" s="190">
        <v>0.79017859999999995</v>
      </c>
      <c r="K42" s="190">
        <v>0.92009799999999997</v>
      </c>
      <c r="L42" s="190">
        <v>0.9262087</v>
      </c>
      <c r="M42" s="190">
        <v>0.91919189999999995</v>
      </c>
      <c r="N42" s="190">
        <v>0.92268689999999998</v>
      </c>
      <c r="O42" s="190">
        <v>0.92279999999999995</v>
      </c>
      <c r="P42" s="190">
        <v>0.92857140000000005</v>
      </c>
      <c r="Q42" s="190">
        <v>0.91919189999999995</v>
      </c>
      <c r="R42" s="191">
        <v>0.92385790000000001</v>
      </c>
      <c r="S42" s="190">
        <v>0.92449999999999999</v>
      </c>
      <c r="T42" s="190">
        <v>0.93800539999999999</v>
      </c>
      <c r="U42" s="190">
        <v>0.87878789999999996</v>
      </c>
      <c r="V42" s="191">
        <v>0.9074316</v>
      </c>
      <c r="W42" s="190">
        <v>0.88360000000000005</v>
      </c>
      <c r="X42" s="190">
        <v>0.70799999999999996</v>
      </c>
      <c r="Y42" s="190">
        <v>0.89393940000000005</v>
      </c>
      <c r="Z42" s="190">
        <v>0.79017859999999995</v>
      </c>
    </row>
    <row r="43" spans="1:26" x14ac:dyDescent="0.2">
      <c r="A43" s="214"/>
      <c r="B43" s="167">
        <v>3</v>
      </c>
      <c r="C43" s="173">
        <v>0.92449999999999999</v>
      </c>
      <c r="D43" s="173">
        <v>0.93800539999999999</v>
      </c>
      <c r="E43" s="173">
        <v>0.87878789999999996</v>
      </c>
      <c r="F43" s="168">
        <v>0.9074316</v>
      </c>
      <c r="G43" s="173">
        <v>0.61050000000000004</v>
      </c>
      <c r="H43" s="190">
        <v>0.85238100000000006</v>
      </c>
      <c r="I43" s="190">
        <v>0.90404039999999997</v>
      </c>
      <c r="J43" s="190">
        <v>0.87745097999999999</v>
      </c>
      <c r="K43" s="190">
        <v>0.92009799999999997</v>
      </c>
      <c r="L43" s="190">
        <v>0.9262087</v>
      </c>
      <c r="M43" s="190">
        <v>0.91919189999999995</v>
      </c>
      <c r="N43" s="191">
        <v>0.92268689999999998</v>
      </c>
      <c r="O43" s="190">
        <v>0.66839999999999999</v>
      </c>
      <c r="P43" s="190">
        <v>0.88834950000000001</v>
      </c>
      <c r="Q43" s="190">
        <v>0.92424242000000001</v>
      </c>
      <c r="R43" s="190">
        <v>0.90594059999999998</v>
      </c>
      <c r="S43" s="190">
        <v>0.92449999999999999</v>
      </c>
      <c r="T43" s="190">
        <v>0.93800539999999999</v>
      </c>
      <c r="U43" s="190">
        <v>0.87878789999999996</v>
      </c>
      <c r="V43" s="190">
        <v>0.9074316</v>
      </c>
      <c r="W43" s="190">
        <v>0.61050000000000004</v>
      </c>
      <c r="X43" s="190">
        <v>0.85238100000000006</v>
      </c>
      <c r="Y43" s="190">
        <v>0.94230769000000003</v>
      </c>
      <c r="Z43" s="191">
        <v>0.92452829999999997</v>
      </c>
    </row>
    <row r="44" spans="1:26" x14ac:dyDescent="0.2">
      <c r="A44" s="214"/>
      <c r="B44" s="167">
        <v>4</v>
      </c>
      <c r="C44" s="173">
        <v>0.92449999999999999</v>
      </c>
      <c r="D44" s="173">
        <v>0.93800539999999999</v>
      </c>
      <c r="E44" s="173">
        <v>0.87878789999999996</v>
      </c>
      <c r="F44" s="168">
        <v>0.9074316</v>
      </c>
      <c r="G44" s="173">
        <v>0.34310000000000002</v>
      </c>
      <c r="H44" s="170">
        <v>0.94811319999999999</v>
      </c>
      <c r="I44" s="170">
        <v>0.50757580000000002</v>
      </c>
      <c r="J44" s="170">
        <v>0.6611842</v>
      </c>
      <c r="K44" s="170">
        <v>0.92009799999999997</v>
      </c>
      <c r="L44" s="170">
        <v>0.9262087</v>
      </c>
      <c r="M44" s="170">
        <v>0.91919189999999995</v>
      </c>
      <c r="N44" s="169">
        <v>0.92268689999999998</v>
      </c>
      <c r="O44" s="170">
        <v>0.36890000000000001</v>
      </c>
      <c r="P44" s="190">
        <v>0.97819310000000004</v>
      </c>
      <c r="Q44" s="190">
        <v>0.79292929999999995</v>
      </c>
      <c r="R44" s="190">
        <v>0.87587170000000003</v>
      </c>
      <c r="S44" s="190">
        <v>0.92449999999999999</v>
      </c>
      <c r="T44" s="190">
        <v>0.93800539999999999</v>
      </c>
      <c r="U44" s="190">
        <v>0.87878789999999996</v>
      </c>
      <c r="V44" s="191">
        <v>0.9074316</v>
      </c>
      <c r="W44" s="190">
        <v>0.34310000000000002</v>
      </c>
      <c r="X44" s="190">
        <v>0.94811319999999999</v>
      </c>
      <c r="Y44" s="190">
        <v>0.50757580000000002</v>
      </c>
      <c r="Z44" s="190">
        <v>0.6611842</v>
      </c>
    </row>
    <row r="45" spans="1:26" x14ac:dyDescent="0.2">
      <c r="A45" s="214"/>
      <c r="B45" s="167">
        <v>5</v>
      </c>
      <c r="C45" s="173">
        <v>0.92449999999999999</v>
      </c>
      <c r="D45" s="173">
        <v>0.93800539999999999</v>
      </c>
      <c r="E45" s="173">
        <v>0.87878789999999996</v>
      </c>
      <c r="F45" s="168">
        <v>0.9074316</v>
      </c>
      <c r="G45" s="173" t="s">
        <v>24</v>
      </c>
      <c r="H45" s="170" t="s">
        <v>24</v>
      </c>
      <c r="I45" s="170" t="s">
        <v>24</v>
      </c>
      <c r="J45" s="170" t="s">
        <v>24</v>
      </c>
      <c r="K45" s="170">
        <v>0.92009799999999997</v>
      </c>
      <c r="L45" s="170">
        <v>0.9262087</v>
      </c>
      <c r="M45" s="170">
        <v>0.91919189999999995</v>
      </c>
      <c r="N45" s="169">
        <v>0.92268689999999998</v>
      </c>
      <c r="O45" s="170">
        <v>3.8199999999999998E-2</v>
      </c>
      <c r="P45" s="190" t="s">
        <v>24</v>
      </c>
      <c r="Q45" s="190">
        <v>0</v>
      </c>
      <c r="R45" s="190" t="s">
        <v>24</v>
      </c>
      <c r="S45" s="190">
        <v>0.92449999999999999</v>
      </c>
      <c r="T45" s="190">
        <v>0.93800539999999999</v>
      </c>
      <c r="U45" s="190">
        <v>0.87878789999999996</v>
      </c>
      <c r="V45" s="191">
        <v>0.9074316</v>
      </c>
      <c r="W45" s="190" t="s">
        <v>24</v>
      </c>
      <c r="X45" s="190" t="s">
        <v>24</v>
      </c>
      <c r="Y45" s="190" t="s">
        <v>24</v>
      </c>
      <c r="Z45" s="190" t="s">
        <v>24</v>
      </c>
    </row>
    <row r="46" spans="1:26" x14ac:dyDescent="0.2">
      <c r="A46" s="130"/>
      <c r="B46" s="167"/>
      <c r="C46" s="173"/>
      <c r="D46" s="173"/>
      <c r="E46" s="173"/>
      <c r="F46" s="173"/>
      <c r="G46" s="173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spans="1:26" x14ac:dyDescent="0.2">
      <c r="A47" s="214" t="s">
        <v>80</v>
      </c>
      <c r="B47" s="167">
        <v>1</v>
      </c>
      <c r="C47" s="173">
        <v>0.92449999999999999</v>
      </c>
      <c r="D47" s="173">
        <v>0.93800539999999999</v>
      </c>
      <c r="E47" s="173">
        <v>0.87878789999999996</v>
      </c>
      <c r="F47" s="173">
        <v>0.9074316</v>
      </c>
      <c r="G47" s="173">
        <v>0.89680000000000004</v>
      </c>
      <c r="H47" s="190">
        <v>0.93617019999999995</v>
      </c>
      <c r="I47" s="190">
        <v>0.88888889999999998</v>
      </c>
      <c r="J47" s="191">
        <v>0.91191699999999998</v>
      </c>
      <c r="K47" s="190">
        <v>0.92009799999999997</v>
      </c>
      <c r="L47" s="190">
        <v>0.9262087</v>
      </c>
      <c r="M47" s="190">
        <v>0.91919189999999995</v>
      </c>
      <c r="N47" s="190">
        <v>0.92268689999999998</v>
      </c>
      <c r="O47" s="190">
        <v>0.91369999999999996</v>
      </c>
      <c r="P47" s="190">
        <v>0.94056850000000003</v>
      </c>
      <c r="Q47" s="190">
        <v>0.91919189999999995</v>
      </c>
      <c r="R47" s="191">
        <v>0.92975730000000001</v>
      </c>
      <c r="S47" s="190">
        <v>0.92449999999999999</v>
      </c>
      <c r="T47" s="190">
        <v>0.93800539999999999</v>
      </c>
      <c r="U47" s="190">
        <v>0.87878789999999996</v>
      </c>
      <c r="V47" s="190">
        <v>0.9074316</v>
      </c>
      <c r="W47" s="190">
        <v>0.89680000000000004</v>
      </c>
      <c r="X47" s="190">
        <v>0.93617019999999995</v>
      </c>
      <c r="Y47" s="190">
        <v>0.88888889999999998</v>
      </c>
      <c r="Z47" s="191">
        <v>0.91191710000000004</v>
      </c>
    </row>
    <row r="48" spans="1:26" x14ac:dyDescent="0.2">
      <c r="A48" s="214"/>
      <c r="B48" s="167">
        <v>2</v>
      </c>
      <c r="C48" s="173">
        <v>0.92449999999999999</v>
      </c>
      <c r="D48" s="173">
        <v>0.93800539999999999</v>
      </c>
      <c r="E48" s="173">
        <v>0.87878789999999996</v>
      </c>
      <c r="F48" s="168">
        <v>0.9074316</v>
      </c>
      <c r="G48" s="173">
        <v>0.87870000000000004</v>
      </c>
      <c r="H48" s="190">
        <v>0.92722369999999998</v>
      </c>
      <c r="I48" s="190">
        <v>0.86868690000000004</v>
      </c>
      <c r="J48" s="190">
        <v>0.8970013</v>
      </c>
      <c r="K48" s="190">
        <v>0.92009799999999997</v>
      </c>
      <c r="L48" s="190">
        <v>0.9262087</v>
      </c>
      <c r="M48" s="190">
        <v>0.91919189999999995</v>
      </c>
      <c r="N48" s="190">
        <v>0.92268689999999998</v>
      </c>
      <c r="O48" s="190">
        <v>0.87970000000000004</v>
      </c>
      <c r="P48" s="190">
        <v>0.9262087</v>
      </c>
      <c r="Q48" s="190">
        <v>0.91919189999999995</v>
      </c>
      <c r="R48" s="190">
        <v>0.92268689999999998</v>
      </c>
      <c r="S48" s="190">
        <v>0.92449999999999999</v>
      </c>
      <c r="T48" s="190">
        <v>0.93800539999999999</v>
      </c>
      <c r="U48" s="190">
        <v>0.87878789999999996</v>
      </c>
      <c r="V48" s="191">
        <v>0.9074316</v>
      </c>
      <c r="W48" s="190">
        <v>0.87870000000000004</v>
      </c>
      <c r="X48" s="190">
        <v>0.92722369999999998</v>
      </c>
      <c r="Y48" s="190">
        <v>0.86868690000000004</v>
      </c>
      <c r="Z48" s="190">
        <v>0.8970013</v>
      </c>
    </row>
    <row r="49" spans="1:26" x14ac:dyDescent="0.2">
      <c r="A49" s="214"/>
      <c r="B49" s="167">
        <v>3</v>
      </c>
      <c r="C49" s="173">
        <v>0.92449999999999999</v>
      </c>
      <c r="D49" s="173">
        <v>0.93800539999999999</v>
      </c>
      <c r="E49" s="173">
        <v>0.87878789999999996</v>
      </c>
      <c r="F49" s="168">
        <v>0.9074316</v>
      </c>
      <c r="G49" s="173">
        <v>0.75560000000000005</v>
      </c>
      <c r="H49" s="190">
        <v>0.3504505</v>
      </c>
      <c r="I49" s="190">
        <v>0.98232319999999995</v>
      </c>
      <c r="J49" s="190">
        <v>0.51660030000000001</v>
      </c>
      <c r="K49" s="190" t="s">
        <v>24</v>
      </c>
      <c r="L49" s="190">
        <v>0.9262087</v>
      </c>
      <c r="M49" s="190">
        <v>0.91919189999999995</v>
      </c>
      <c r="N49" s="191">
        <v>0.92268689999999998</v>
      </c>
      <c r="O49" s="190">
        <v>0.8206</v>
      </c>
      <c r="P49" s="190">
        <v>0.57784429999999998</v>
      </c>
      <c r="Q49" s="190">
        <v>0.97474749999999999</v>
      </c>
      <c r="R49" s="190">
        <v>0.72556390000000004</v>
      </c>
      <c r="S49" s="190">
        <v>0.92449999999999999</v>
      </c>
      <c r="T49" s="190">
        <v>0.93800539999999999</v>
      </c>
      <c r="U49" s="190">
        <v>0.87878789999999996</v>
      </c>
      <c r="V49" s="191">
        <v>0.9074316</v>
      </c>
      <c r="W49" s="190">
        <v>0.75560000000000005</v>
      </c>
      <c r="X49" s="190">
        <v>0.3504505</v>
      </c>
      <c r="Y49" s="190">
        <v>0.98232319999999995</v>
      </c>
      <c r="Z49" s="190">
        <v>0.51660030000000001</v>
      </c>
    </row>
    <row r="50" spans="1:26" x14ac:dyDescent="0.2">
      <c r="A50" s="214"/>
      <c r="B50" s="167">
        <v>4</v>
      </c>
      <c r="C50" s="173">
        <v>0.92449999999999999</v>
      </c>
      <c r="D50" s="173">
        <v>0.93800539999999999</v>
      </c>
      <c r="E50" s="173">
        <v>0.87878789999999996</v>
      </c>
      <c r="F50" s="168">
        <v>0.9074316</v>
      </c>
      <c r="G50" s="173">
        <v>0.6623</v>
      </c>
      <c r="H50" s="190" t="s">
        <v>24</v>
      </c>
      <c r="I50" s="190">
        <v>0</v>
      </c>
      <c r="J50" s="190" t="s">
        <v>24</v>
      </c>
      <c r="K50" s="190">
        <v>0.92009799999999997</v>
      </c>
      <c r="L50" s="190">
        <v>0.9262087</v>
      </c>
      <c r="M50" s="190">
        <v>0.91919189999999995</v>
      </c>
      <c r="N50" s="191">
        <v>0.92268689999999998</v>
      </c>
      <c r="O50" s="190">
        <v>0.64680000000000004</v>
      </c>
      <c r="P50" s="190" t="s">
        <v>24</v>
      </c>
      <c r="Q50" s="190">
        <v>0</v>
      </c>
      <c r="R50" s="190" t="s">
        <v>24</v>
      </c>
      <c r="S50" s="190">
        <v>0.92449999999999999</v>
      </c>
      <c r="T50" s="190">
        <v>0.93800539999999999</v>
      </c>
      <c r="U50" s="190">
        <v>0.87878789999999996</v>
      </c>
      <c r="V50" s="191">
        <v>0.9074316</v>
      </c>
      <c r="W50" s="190">
        <v>0.6623</v>
      </c>
      <c r="X50" s="190" t="s">
        <v>24</v>
      </c>
      <c r="Y50" s="190">
        <v>0</v>
      </c>
      <c r="Z50" s="190" t="s">
        <v>24</v>
      </c>
    </row>
    <row r="51" spans="1:26" x14ac:dyDescent="0.2">
      <c r="A51" s="214"/>
      <c r="B51" s="167">
        <v>5</v>
      </c>
      <c r="C51" s="173">
        <v>0.92449999999999999</v>
      </c>
      <c r="D51" s="173">
        <v>0.93800539999999999</v>
      </c>
      <c r="E51" s="173">
        <v>0.87878789999999996</v>
      </c>
      <c r="F51" s="168">
        <v>0.9074316</v>
      </c>
      <c r="G51" s="173">
        <v>0.56589999999999996</v>
      </c>
      <c r="H51" s="170" t="s">
        <v>24</v>
      </c>
      <c r="I51" s="170">
        <v>0</v>
      </c>
      <c r="J51" s="170" t="s">
        <v>24</v>
      </c>
      <c r="K51" s="170">
        <v>0.92009799999999997</v>
      </c>
      <c r="L51" s="170">
        <v>0.9262087</v>
      </c>
      <c r="M51" s="170">
        <v>0.91919189999999995</v>
      </c>
      <c r="N51" s="169">
        <v>0.92268689999999998</v>
      </c>
      <c r="O51" s="170">
        <v>0.5</v>
      </c>
      <c r="P51" s="190" t="s">
        <v>24</v>
      </c>
      <c r="Q51" s="190">
        <v>0</v>
      </c>
      <c r="R51" s="190" t="s">
        <v>24</v>
      </c>
      <c r="S51" s="190">
        <v>0.92449999999999999</v>
      </c>
      <c r="T51" s="190">
        <v>0.93800539999999999</v>
      </c>
      <c r="U51" s="190">
        <v>0.87878789999999996</v>
      </c>
      <c r="V51" s="191">
        <v>0.9074316</v>
      </c>
      <c r="W51" s="190">
        <v>0.56589999999999996</v>
      </c>
      <c r="X51" s="190" t="s">
        <v>24</v>
      </c>
      <c r="Y51" s="190">
        <v>0</v>
      </c>
      <c r="Z51" s="190" t="s">
        <v>24</v>
      </c>
    </row>
    <row r="52" spans="1:26" ht="17" thickBot="1" x14ac:dyDescent="0.25">
      <c r="A52" s="138"/>
      <c r="B52" s="115"/>
      <c r="C52" s="175"/>
      <c r="D52" s="175"/>
      <c r="E52" s="175"/>
      <c r="F52" s="175"/>
      <c r="G52" s="175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spans="1:26" x14ac:dyDescent="0.2">
      <c r="A53" s="214" t="s">
        <v>81</v>
      </c>
      <c r="B53" s="167">
        <v>1</v>
      </c>
      <c r="C53" s="173">
        <v>0.89439999999999997</v>
      </c>
      <c r="D53" s="173">
        <v>0.85673350000000004</v>
      </c>
      <c r="E53" s="173">
        <v>0.75505049999999996</v>
      </c>
      <c r="F53" s="168">
        <v>0.80268459999999997</v>
      </c>
      <c r="G53" s="173">
        <v>0.59799999999999998</v>
      </c>
      <c r="H53" s="190">
        <v>0.34794521</v>
      </c>
      <c r="I53" s="190">
        <v>0.64141413999999997</v>
      </c>
      <c r="J53" s="190">
        <v>0.45115453</v>
      </c>
      <c r="K53" s="190">
        <v>0.89439999999999997</v>
      </c>
      <c r="L53" s="190">
        <v>0.85294119999999995</v>
      </c>
      <c r="M53" s="190">
        <v>0.80555560000000004</v>
      </c>
      <c r="N53" s="191">
        <v>0.82857139999999996</v>
      </c>
      <c r="O53" s="190">
        <v>0.61960000000000004</v>
      </c>
      <c r="P53" s="190">
        <v>0.38582676999999999</v>
      </c>
      <c r="Q53" s="190">
        <v>0.74242419999999998</v>
      </c>
      <c r="R53" s="190">
        <v>0.50777201999999999</v>
      </c>
      <c r="S53" s="190">
        <v>0.89439999999999997</v>
      </c>
      <c r="T53" s="190">
        <v>0.85673350000000004</v>
      </c>
      <c r="U53" s="190">
        <v>0.75505049999999996</v>
      </c>
      <c r="V53" s="191">
        <v>0.80268459999999997</v>
      </c>
      <c r="W53" s="190">
        <v>0.59799999999999998</v>
      </c>
      <c r="X53" s="190">
        <v>0.34794521</v>
      </c>
      <c r="Y53" s="190">
        <v>0.64141413999999997</v>
      </c>
      <c r="Z53" s="190">
        <v>0.45115453</v>
      </c>
    </row>
    <row r="54" spans="1:26" x14ac:dyDescent="0.2">
      <c r="A54" s="214"/>
      <c r="B54" s="167">
        <v>2</v>
      </c>
      <c r="C54" s="173">
        <v>0.89439999999999997</v>
      </c>
      <c r="D54" s="173">
        <v>0.85673350000000004</v>
      </c>
      <c r="E54" s="173">
        <v>0.75505049999999996</v>
      </c>
      <c r="F54" s="168">
        <v>0.80268459999999997</v>
      </c>
      <c r="G54" s="173">
        <v>0.8417</v>
      </c>
      <c r="H54" s="170">
        <v>0.79575600000000002</v>
      </c>
      <c r="I54" s="170">
        <v>0.75757580000000002</v>
      </c>
      <c r="J54" s="170">
        <v>0.77619660000000001</v>
      </c>
      <c r="K54" s="170">
        <v>0.89439999999999997</v>
      </c>
      <c r="L54" s="170">
        <v>0.85294119999999995</v>
      </c>
      <c r="M54" s="170">
        <v>0.80555560000000004</v>
      </c>
      <c r="N54" s="169">
        <v>0.82857139999999996</v>
      </c>
      <c r="O54" s="170" t="s">
        <v>24</v>
      </c>
      <c r="P54" s="190" t="s">
        <v>24</v>
      </c>
      <c r="Q54" s="190" t="s">
        <v>24</v>
      </c>
      <c r="R54" s="190" t="s">
        <v>24</v>
      </c>
      <c r="S54" s="190">
        <v>0.89439999999999997</v>
      </c>
      <c r="T54" s="190">
        <v>0.85673350000000004</v>
      </c>
      <c r="U54" s="190">
        <v>0.75505049999999996</v>
      </c>
      <c r="V54" s="191">
        <v>0.80268459999999997</v>
      </c>
      <c r="W54" s="190">
        <v>0.8417</v>
      </c>
      <c r="X54" s="190">
        <v>0.79575600000000002</v>
      </c>
      <c r="Y54" s="190">
        <v>0.75757580000000002</v>
      </c>
      <c r="Z54" s="190">
        <v>0.77619660000000001</v>
      </c>
    </row>
    <row r="55" spans="1:26" x14ac:dyDescent="0.2">
      <c r="A55" s="214"/>
      <c r="B55" s="167">
        <v>3</v>
      </c>
      <c r="C55" s="173">
        <v>0.89439999999999997</v>
      </c>
      <c r="D55" s="173">
        <v>0.85673350000000004</v>
      </c>
      <c r="E55" s="173">
        <v>0.75505049999999996</v>
      </c>
      <c r="F55" s="168">
        <v>0.80268459999999997</v>
      </c>
      <c r="G55" s="173" t="s">
        <v>24</v>
      </c>
      <c r="H55" s="190" t="s">
        <v>24</v>
      </c>
      <c r="I55" s="190" t="s">
        <v>24</v>
      </c>
      <c r="J55" s="190" t="s">
        <v>24</v>
      </c>
      <c r="K55" s="190">
        <v>0.89439999999999997</v>
      </c>
      <c r="L55" s="190">
        <v>0.85294119999999995</v>
      </c>
      <c r="M55" s="190">
        <v>0.80555560000000004</v>
      </c>
      <c r="N55" s="191">
        <v>0.82857139999999996</v>
      </c>
      <c r="O55" s="190" t="s">
        <v>24</v>
      </c>
      <c r="P55" s="190" t="s">
        <v>24</v>
      </c>
      <c r="Q55" s="190" t="s">
        <v>24</v>
      </c>
      <c r="R55" s="190" t="s">
        <v>24</v>
      </c>
      <c r="S55" s="190">
        <v>0.89439999999999997</v>
      </c>
      <c r="T55" s="190">
        <v>0.85673350000000004</v>
      </c>
      <c r="U55" s="190">
        <v>0.75505049999999996</v>
      </c>
      <c r="V55" s="191">
        <v>0.80268459999999997</v>
      </c>
      <c r="W55" s="190" t="s">
        <v>24</v>
      </c>
      <c r="X55" s="190" t="s">
        <v>24</v>
      </c>
      <c r="Y55" s="190" t="s">
        <v>24</v>
      </c>
      <c r="Z55" s="190" t="s">
        <v>24</v>
      </c>
    </row>
    <row r="56" spans="1:26" x14ac:dyDescent="0.2">
      <c r="A56" s="214"/>
      <c r="B56" s="167">
        <v>4</v>
      </c>
      <c r="C56" s="173">
        <v>0.89439999999999997</v>
      </c>
      <c r="D56" s="173">
        <v>0.85673350000000004</v>
      </c>
      <c r="E56" s="173">
        <v>0.75505049999999996</v>
      </c>
      <c r="F56" s="168">
        <v>0.80268459999999997</v>
      </c>
      <c r="G56" s="173">
        <v>0.3473</v>
      </c>
      <c r="H56" s="170">
        <v>0.30861909999999998</v>
      </c>
      <c r="I56" s="170">
        <v>0.84090909999999996</v>
      </c>
      <c r="J56" s="170">
        <v>0.45152540000000002</v>
      </c>
      <c r="K56" s="170">
        <v>0.89439999999999997</v>
      </c>
      <c r="L56" s="170">
        <v>0.85294119999999995</v>
      </c>
      <c r="M56" s="170">
        <v>0.80555560000000004</v>
      </c>
      <c r="N56" s="169">
        <v>0.82857139999999996</v>
      </c>
      <c r="O56" s="170">
        <v>0.36149999999999999</v>
      </c>
      <c r="P56" s="190">
        <v>0.21538460000000001</v>
      </c>
      <c r="Q56" s="190">
        <v>0.91919189999999995</v>
      </c>
      <c r="R56" s="190">
        <v>0.34899330000000001</v>
      </c>
      <c r="S56" s="190">
        <v>0.89439999999999997</v>
      </c>
      <c r="T56" s="190">
        <v>0.85673350000000004</v>
      </c>
      <c r="U56" s="190">
        <v>0.75505049999999996</v>
      </c>
      <c r="V56" s="191">
        <v>0.80268459999999997</v>
      </c>
      <c r="W56" s="190">
        <v>0.3473</v>
      </c>
      <c r="X56" s="190">
        <v>0.30861909999999998</v>
      </c>
      <c r="Y56" s="190">
        <v>0.84090909999999996</v>
      </c>
      <c r="Z56" s="190">
        <v>0.45152540000000002</v>
      </c>
    </row>
    <row r="57" spans="1:26" x14ac:dyDescent="0.2">
      <c r="A57" s="214"/>
      <c r="B57" s="167">
        <v>5</v>
      </c>
      <c r="C57" s="173">
        <v>0.89439999999999997</v>
      </c>
      <c r="D57" s="173">
        <v>0.85673350000000004</v>
      </c>
      <c r="E57" s="173">
        <v>0.75505049999999996</v>
      </c>
      <c r="F57" s="168">
        <v>0.80268459999999997</v>
      </c>
      <c r="G57" s="173" t="s">
        <v>24</v>
      </c>
      <c r="H57" s="170" t="s">
        <v>24</v>
      </c>
      <c r="I57" s="170" t="s">
        <v>24</v>
      </c>
      <c r="J57" s="170" t="s">
        <v>24</v>
      </c>
      <c r="K57" s="170">
        <v>0.89439999999999997</v>
      </c>
      <c r="L57" s="170">
        <v>0.85294119999999995</v>
      </c>
      <c r="M57" s="170">
        <v>0.80555560000000004</v>
      </c>
      <c r="N57" s="169">
        <v>0.82857139999999996</v>
      </c>
      <c r="O57" s="170" t="s">
        <v>24</v>
      </c>
      <c r="P57" s="190" t="s">
        <v>24</v>
      </c>
      <c r="Q57" s="190" t="s">
        <v>24</v>
      </c>
      <c r="R57" s="190" t="s">
        <v>24</v>
      </c>
      <c r="S57" s="190">
        <v>0.89439999999999997</v>
      </c>
      <c r="T57" s="190">
        <v>0.85673350000000004</v>
      </c>
      <c r="U57" s="190">
        <v>0.75505049999999996</v>
      </c>
      <c r="V57" s="191">
        <v>0.80268459999999997</v>
      </c>
      <c r="W57" s="190" t="s">
        <v>24</v>
      </c>
      <c r="X57" s="190" t="s">
        <v>24</v>
      </c>
      <c r="Y57" s="190" t="s">
        <v>24</v>
      </c>
      <c r="Z57" s="190" t="s">
        <v>24</v>
      </c>
    </row>
    <row r="58" spans="1:26" x14ac:dyDescent="0.2">
      <c r="A58" s="130"/>
      <c r="B58" s="167"/>
      <c r="C58" s="173"/>
      <c r="D58" s="173"/>
      <c r="E58" s="173"/>
      <c r="F58" s="173"/>
      <c r="G58" s="173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spans="1:26" x14ac:dyDescent="0.2">
      <c r="A59" s="214" t="s">
        <v>82</v>
      </c>
      <c r="B59" s="167">
        <v>1</v>
      </c>
      <c r="C59" s="173">
        <v>0.89439999999999997</v>
      </c>
      <c r="D59" s="173">
        <v>0.85673350000000004</v>
      </c>
      <c r="E59" s="173">
        <v>0.75505049999999996</v>
      </c>
      <c r="F59" s="168">
        <v>0.80268459999999997</v>
      </c>
      <c r="G59" s="173">
        <v>0.84850000000000003</v>
      </c>
      <c r="H59" s="190" t="s">
        <v>24</v>
      </c>
      <c r="I59" s="190" t="s">
        <v>24</v>
      </c>
      <c r="J59" s="190" t="s">
        <v>24</v>
      </c>
      <c r="K59" s="190">
        <v>0.89439999999999997</v>
      </c>
      <c r="L59" s="190">
        <v>0.85294119999999995</v>
      </c>
      <c r="M59" s="190">
        <v>0.80555560000000004</v>
      </c>
      <c r="N59" s="191">
        <v>0.82857139999999996</v>
      </c>
      <c r="O59" s="190" t="s">
        <v>24</v>
      </c>
      <c r="P59" s="190" t="s">
        <v>24</v>
      </c>
      <c r="Q59" s="191" t="s">
        <v>24</v>
      </c>
      <c r="R59" s="190" t="s">
        <v>24</v>
      </c>
      <c r="S59" s="190">
        <v>0.89439999999999997</v>
      </c>
      <c r="T59" s="190">
        <v>0.85673350000000004</v>
      </c>
      <c r="U59" s="190">
        <v>0.75505049999999996</v>
      </c>
      <c r="V59" s="191">
        <v>0.80268459999999997</v>
      </c>
      <c r="W59" s="190">
        <v>0.84850000000000003</v>
      </c>
      <c r="X59" s="190" t="s">
        <v>24</v>
      </c>
      <c r="Y59" s="190" t="s">
        <v>24</v>
      </c>
      <c r="Z59" s="190" t="s">
        <v>24</v>
      </c>
    </row>
    <row r="60" spans="1:26" x14ac:dyDescent="0.2">
      <c r="A60" s="214"/>
      <c r="B60" s="167">
        <v>2</v>
      </c>
      <c r="C60" s="173">
        <v>0.89439999999999997</v>
      </c>
      <c r="D60" s="173">
        <v>0.85673350000000004</v>
      </c>
      <c r="E60" s="173">
        <v>0.75505049999999996</v>
      </c>
      <c r="F60" s="168">
        <v>0.80268459999999997</v>
      </c>
      <c r="G60" s="173">
        <v>0.8417</v>
      </c>
      <c r="H60" s="170">
        <v>0.79575600000000002</v>
      </c>
      <c r="I60" s="170">
        <v>0.75757580000000002</v>
      </c>
      <c r="J60" s="170">
        <v>0.77619660000000001</v>
      </c>
      <c r="K60" s="170">
        <v>0.89439999999999997</v>
      </c>
      <c r="L60" s="170">
        <v>0.85294119999999995</v>
      </c>
      <c r="M60" s="170">
        <v>0.80555560000000004</v>
      </c>
      <c r="N60" s="169">
        <v>0.82857139999999996</v>
      </c>
      <c r="O60" s="170" t="s">
        <v>24</v>
      </c>
      <c r="P60" s="190" t="s">
        <v>24</v>
      </c>
      <c r="Q60" s="190" t="s">
        <v>24</v>
      </c>
      <c r="R60" s="190" t="s">
        <v>24</v>
      </c>
      <c r="S60" s="190">
        <v>0.89439999999999997</v>
      </c>
      <c r="T60" s="190">
        <v>0.85673350000000004</v>
      </c>
      <c r="U60" s="190">
        <v>0.75505049999999996</v>
      </c>
      <c r="V60" s="191">
        <v>0.80268459999999997</v>
      </c>
      <c r="W60" s="190">
        <v>0.8417</v>
      </c>
      <c r="X60" s="190">
        <v>0.79575600000000002</v>
      </c>
      <c r="Y60" s="190">
        <v>0.75757580000000002</v>
      </c>
      <c r="Z60" s="190">
        <v>0.77619660000000001</v>
      </c>
    </row>
    <row r="61" spans="1:26" x14ac:dyDescent="0.2">
      <c r="A61" s="214"/>
      <c r="B61" s="167">
        <v>3</v>
      </c>
      <c r="C61" s="173">
        <v>0.89439999999999997</v>
      </c>
      <c r="D61" s="173">
        <v>0.85673350000000004</v>
      </c>
      <c r="E61" s="173">
        <v>0.75505049999999996</v>
      </c>
      <c r="F61" s="168">
        <v>0.80268459999999997</v>
      </c>
      <c r="G61" s="173" t="s">
        <v>24</v>
      </c>
      <c r="H61" s="190" t="s">
        <v>24</v>
      </c>
      <c r="I61" s="190" t="s">
        <v>24</v>
      </c>
      <c r="J61" s="190" t="s">
        <v>24</v>
      </c>
      <c r="K61" s="190">
        <v>0.89439999999999997</v>
      </c>
      <c r="L61" s="190">
        <v>0.85294119999999995</v>
      </c>
      <c r="M61" s="190">
        <v>0.80555560000000004</v>
      </c>
      <c r="N61" s="191">
        <v>0.82857139999999996</v>
      </c>
      <c r="O61" s="190" t="s">
        <v>24</v>
      </c>
      <c r="P61" s="190" t="s">
        <v>24</v>
      </c>
      <c r="Q61" s="190" t="s">
        <v>24</v>
      </c>
      <c r="R61" s="190" t="s">
        <v>24</v>
      </c>
      <c r="S61" s="190">
        <v>0.89439999999999997</v>
      </c>
      <c r="T61" s="190">
        <v>0.85673350000000004</v>
      </c>
      <c r="U61" s="190">
        <v>0.75505049999999996</v>
      </c>
      <c r="V61" s="191">
        <v>0.80268459999999997</v>
      </c>
      <c r="W61" s="190" t="s">
        <v>24</v>
      </c>
      <c r="X61" s="190" t="s">
        <v>24</v>
      </c>
      <c r="Y61" s="190" t="s">
        <v>24</v>
      </c>
      <c r="Z61" s="190" t="s">
        <v>24</v>
      </c>
    </row>
    <row r="62" spans="1:26" x14ac:dyDescent="0.2">
      <c r="A62" s="214"/>
      <c r="B62" s="167">
        <v>4</v>
      </c>
      <c r="C62" s="173">
        <v>0.89439999999999997</v>
      </c>
      <c r="D62" s="173">
        <v>0.85673350000000004</v>
      </c>
      <c r="E62" s="173">
        <v>0.75505049999999996</v>
      </c>
      <c r="F62" s="168">
        <v>0.80268459999999997</v>
      </c>
      <c r="G62" s="173">
        <v>0.3473</v>
      </c>
      <c r="H62" s="190">
        <v>0.79575600000000002</v>
      </c>
      <c r="I62" s="190">
        <v>0.75757580000000002</v>
      </c>
      <c r="J62" s="190">
        <v>0.77619660000000001</v>
      </c>
      <c r="K62" s="190">
        <v>0.89439999999999997</v>
      </c>
      <c r="L62" s="190">
        <v>0.85294119999999995</v>
      </c>
      <c r="M62" s="190">
        <v>0.80555560000000004</v>
      </c>
      <c r="N62" s="191">
        <v>0.82857139999999996</v>
      </c>
      <c r="O62" s="190">
        <v>0.36149999999999999</v>
      </c>
      <c r="P62" s="190">
        <v>0.21538460000000001</v>
      </c>
      <c r="Q62" s="190">
        <v>0.91919189999999995</v>
      </c>
      <c r="R62" s="190">
        <v>0.34899330000000001</v>
      </c>
      <c r="S62" s="190">
        <v>0.89439999999999997</v>
      </c>
      <c r="T62" s="190">
        <v>0.85673350000000004</v>
      </c>
      <c r="U62" s="190">
        <v>0.75505049999999996</v>
      </c>
      <c r="V62" s="191">
        <v>0.80268459999999997</v>
      </c>
      <c r="W62" s="190">
        <v>0.3473</v>
      </c>
      <c r="X62" s="190">
        <v>0.30861909999999998</v>
      </c>
      <c r="Y62" s="190">
        <v>0.84090909999999996</v>
      </c>
      <c r="Z62" s="190">
        <v>0.45152540000000002</v>
      </c>
    </row>
    <row r="63" spans="1:26" ht="17" thickBot="1" x14ac:dyDescent="0.25">
      <c r="A63" s="213"/>
      <c r="B63" s="115">
        <v>5</v>
      </c>
      <c r="C63" s="175">
        <v>0.89439999999999997</v>
      </c>
      <c r="D63" s="175">
        <v>0.85673350000000004</v>
      </c>
      <c r="E63" s="175">
        <v>0.75505049999999996</v>
      </c>
      <c r="F63" s="196">
        <v>0.80268459999999997</v>
      </c>
      <c r="G63" s="175" t="s">
        <v>24</v>
      </c>
      <c r="H63" s="164" t="s">
        <v>24</v>
      </c>
      <c r="I63" s="164" t="s">
        <v>24</v>
      </c>
      <c r="J63" s="164" t="s">
        <v>24</v>
      </c>
      <c r="K63" s="164">
        <v>0.89439999999999997</v>
      </c>
      <c r="L63" s="164">
        <v>0.85294119999999995</v>
      </c>
      <c r="M63" s="164">
        <v>0.80555560000000004</v>
      </c>
      <c r="N63" s="208">
        <v>0.82857139999999996</v>
      </c>
      <c r="O63" s="164" t="s">
        <v>24</v>
      </c>
      <c r="P63" s="164" t="s">
        <v>24</v>
      </c>
      <c r="Q63" s="164" t="s">
        <v>24</v>
      </c>
      <c r="R63" s="164" t="s">
        <v>24</v>
      </c>
      <c r="S63" s="164">
        <v>0.89439999999999997</v>
      </c>
      <c r="T63" s="164">
        <v>0.85673350000000004</v>
      </c>
      <c r="U63" s="164">
        <v>0.75505049999999996</v>
      </c>
      <c r="V63" s="208">
        <v>0.80268459999999997</v>
      </c>
      <c r="W63" s="164" t="s">
        <v>24</v>
      </c>
      <c r="X63" s="163" t="s">
        <v>24</v>
      </c>
      <c r="Y63" s="163" t="s">
        <v>24</v>
      </c>
      <c r="Z63" s="163" t="s">
        <v>24</v>
      </c>
    </row>
    <row r="64" spans="1:26" x14ac:dyDescent="0.2">
      <c r="X64" s="11"/>
    </row>
  </sheetData>
  <mergeCells count="15">
    <mergeCell ref="A5:A9"/>
    <mergeCell ref="A1:Z1"/>
    <mergeCell ref="C2:Z2"/>
    <mergeCell ref="C3:J3"/>
    <mergeCell ref="K3:R3"/>
    <mergeCell ref="S3:Z3"/>
    <mergeCell ref="A47:A51"/>
    <mergeCell ref="A53:A57"/>
    <mergeCell ref="A59:A63"/>
    <mergeCell ref="A11:A15"/>
    <mergeCell ref="A17:A21"/>
    <mergeCell ref="A23:A27"/>
    <mergeCell ref="A29:A33"/>
    <mergeCell ref="A35:A39"/>
    <mergeCell ref="A41:A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CEDF-364C-DA44-9B4B-F107017BC514}">
  <dimension ref="A1:AC63"/>
  <sheetViews>
    <sheetView showGridLines="0" workbookViewId="0">
      <selection activeCell="C4" sqref="C4:Z4"/>
    </sheetView>
  </sheetViews>
  <sheetFormatPr baseColWidth="10" defaultRowHeight="16" x14ac:dyDescent="0.2"/>
  <cols>
    <col min="1" max="1" width="29.1640625" customWidth="1"/>
  </cols>
  <sheetData>
    <row r="1" spans="1:29" ht="17" thickBot="1" x14ac:dyDescent="0.25">
      <c r="A1" s="211" t="s">
        <v>202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spans="1:29" x14ac:dyDescent="0.2">
      <c r="A2" s="167"/>
      <c r="B2" s="167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29" ht="17" thickBot="1" x14ac:dyDescent="0.25">
      <c r="A3" s="130"/>
      <c r="B3" s="130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spans="1:29" ht="52" thickBot="1" x14ac:dyDescent="0.25">
      <c r="A4" s="138" t="s">
        <v>123</v>
      </c>
      <c r="B4" s="115" t="s">
        <v>44</v>
      </c>
      <c r="C4" s="174" t="s">
        <v>193</v>
      </c>
      <c r="D4" s="174" t="s">
        <v>511</v>
      </c>
      <c r="E4" s="174" t="s">
        <v>512</v>
      </c>
      <c r="F4" s="174" t="s">
        <v>513</v>
      </c>
      <c r="G4" s="174" t="s">
        <v>194</v>
      </c>
      <c r="H4" s="174" t="s">
        <v>508</v>
      </c>
      <c r="I4" s="174" t="s">
        <v>509</v>
      </c>
      <c r="J4" s="174" t="s">
        <v>510</v>
      </c>
      <c r="K4" s="174" t="s">
        <v>193</v>
      </c>
      <c r="L4" s="174" t="s">
        <v>511</v>
      </c>
      <c r="M4" s="174" t="s">
        <v>512</v>
      </c>
      <c r="N4" s="174" t="s">
        <v>513</v>
      </c>
      <c r="O4" s="174" t="s">
        <v>194</v>
      </c>
      <c r="P4" s="174" t="s">
        <v>508</v>
      </c>
      <c r="Q4" s="174" t="s">
        <v>509</v>
      </c>
      <c r="R4" s="174" t="s">
        <v>510</v>
      </c>
      <c r="S4" s="174" t="s">
        <v>193</v>
      </c>
      <c r="T4" s="174" t="s">
        <v>511</v>
      </c>
      <c r="U4" s="174" t="s">
        <v>512</v>
      </c>
      <c r="V4" s="174" t="s">
        <v>513</v>
      </c>
      <c r="W4" s="174" t="s">
        <v>194</v>
      </c>
      <c r="X4" s="174" t="s">
        <v>508</v>
      </c>
      <c r="Y4" s="174" t="s">
        <v>509</v>
      </c>
      <c r="Z4" s="174" t="s">
        <v>510</v>
      </c>
    </row>
    <row r="5" spans="1:29" x14ac:dyDescent="0.2">
      <c r="A5" s="214" t="s">
        <v>73</v>
      </c>
      <c r="B5" s="167">
        <v>1</v>
      </c>
      <c r="C5" s="173">
        <v>0.8589</v>
      </c>
      <c r="D5" s="173">
        <v>0.8860614</v>
      </c>
      <c r="E5" s="173">
        <v>0.93433120000000003</v>
      </c>
      <c r="F5" s="168">
        <v>0.90955629999999998</v>
      </c>
      <c r="G5" s="173">
        <v>0.24129999999999999</v>
      </c>
      <c r="H5" s="190">
        <v>1</v>
      </c>
      <c r="I5" s="190">
        <v>6.7421790000000005E-4</v>
      </c>
      <c r="J5" s="190">
        <v>1.3475272999999999E-3</v>
      </c>
      <c r="K5" s="190">
        <v>0.86029999999999995</v>
      </c>
      <c r="L5" s="190">
        <v>0.89195489999999999</v>
      </c>
      <c r="M5" s="190">
        <v>0.9283981</v>
      </c>
      <c r="N5" s="191">
        <v>0.9098117</v>
      </c>
      <c r="O5" s="190">
        <v>0.24467649499999999</v>
      </c>
      <c r="P5" s="190">
        <v>0.97499999999999998</v>
      </c>
      <c r="Q5" s="190">
        <v>5.2589000000000004E-3</v>
      </c>
      <c r="R5" s="190">
        <v>1.0461373E-2</v>
      </c>
      <c r="S5" s="190">
        <v>0.8589</v>
      </c>
      <c r="T5" s="190">
        <v>0.8860614</v>
      </c>
      <c r="U5" s="190">
        <v>0.93433120000000003</v>
      </c>
      <c r="V5" s="191">
        <v>0.90955629999999998</v>
      </c>
      <c r="W5" s="190">
        <v>0.27389999999999998</v>
      </c>
      <c r="X5" s="190">
        <v>0.97640117999999998</v>
      </c>
      <c r="Y5" s="190">
        <v>4.4633230000000003E-2</v>
      </c>
      <c r="Z5" s="190">
        <v>8.5364280000000001E-2</v>
      </c>
    </row>
    <row r="6" spans="1:29" x14ac:dyDescent="0.2">
      <c r="A6" s="214"/>
      <c r="B6" s="167">
        <v>2</v>
      </c>
      <c r="C6" s="173">
        <v>0.8589</v>
      </c>
      <c r="D6" s="173">
        <v>0.8860614</v>
      </c>
      <c r="E6" s="173">
        <v>0.93433120000000003</v>
      </c>
      <c r="F6" s="168">
        <v>0.90955629999999998</v>
      </c>
      <c r="G6" s="173">
        <v>0.38</v>
      </c>
      <c r="H6" s="190">
        <v>0.99490540000000005</v>
      </c>
      <c r="I6" s="190">
        <v>0.1843312</v>
      </c>
      <c r="J6" s="190">
        <v>0.31103530000000001</v>
      </c>
      <c r="K6" s="190">
        <v>0.86029999999999995</v>
      </c>
      <c r="L6" s="190">
        <v>0.89195489999999999</v>
      </c>
      <c r="M6" s="190">
        <v>0.9283981</v>
      </c>
      <c r="N6" s="191">
        <v>0.9098117</v>
      </c>
      <c r="O6" s="190">
        <v>0.44209999999999999</v>
      </c>
      <c r="P6" s="190">
        <v>0.99596370000000001</v>
      </c>
      <c r="Q6" s="190">
        <v>0.26618120000000001</v>
      </c>
      <c r="R6" s="190">
        <v>0.4200894</v>
      </c>
      <c r="S6" s="190">
        <v>0.8589</v>
      </c>
      <c r="T6" s="190">
        <v>0.8860614</v>
      </c>
      <c r="U6" s="190">
        <v>0.93433120000000003</v>
      </c>
      <c r="V6" s="191">
        <v>0.90955629999999998</v>
      </c>
      <c r="W6" s="190">
        <v>0.4662</v>
      </c>
      <c r="X6" s="190">
        <v>0.99549949999999998</v>
      </c>
      <c r="Y6" s="190">
        <v>0.29827399999999998</v>
      </c>
      <c r="Z6" s="190">
        <v>0.45901639999999999</v>
      </c>
    </row>
    <row r="7" spans="1:29" x14ac:dyDescent="0.2">
      <c r="A7" s="214"/>
      <c r="B7" s="167">
        <v>3</v>
      </c>
      <c r="C7" s="173">
        <v>0.8589</v>
      </c>
      <c r="D7" s="173">
        <v>0.8860614</v>
      </c>
      <c r="E7" s="173">
        <v>0.93433120000000003</v>
      </c>
      <c r="F7" s="168">
        <v>0.90955629999999998</v>
      </c>
      <c r="G7" s="173">
        <v>0.5292</v>
      </c>
      <c r="H7" s="190">
        <v>0.75924899999999995</v>
      </c>
      <c r="I7" s="190">
        <v>0.5562298</v>
      </c>
      <c r="J7" s="190">
        <v>0.64207329999999996</v>
      </c>
      <c r="K7" s="190">
        <v>0.86029999999999995</v>
      </c>
      <c r="L7" s="190">
        <v>0.89195489999999999</v>
      </c>
      <c r="M7" s="190">
        <v>0.9283981</v>
      </c>
      <c r="N7" s="191">
        <v>0.9098117</v>
      </c>
      <c r="O7" s="190">
        <v>0.61380000000000001</v>
      </c>
      <c r="P7" s="190">
        <v>0.80509039999999998</v>
      </c>
      <c r="Q7" s="190">
        <v>0.64832789999999996</v>
      </c>
      <c r="R7" s="190">
        <v>0.71825519999999998</v>
      </c>
      <c r="S7" s="190">
        <v>0.8589</v>
      </c>
      <c r="T7" s="190">
        <v>0.8860614</v>
      </c>
      <c r="U7" s="190">
        <v>0.93433120000000003</v>
      </c>
      <c r="V7" s="191">
        <v>0.90955629999999998</v>
      </c>
      <c r="W7" s="190">
        <v>0.66690000000000005</v>
      </c>
      <c r="X7" s="190">
        <v>0.85283149999999996</v>
      </c>
      <c r="Y7" s="190">
        <v>0.67826319999999996</v>
      </c>
      <c r="Z7" s="190">
        <v>0.75559560000000003</v>
      </c>
    </row>
    <row r="8" spans="1:29" x14ac:dyDescent="0.2">
      <c r="A8" s="214"/>
      <c r="B8" s="167">
        <v>4</v>
      </c>
      <c r="C8" s="173">
        <v>0.8589</v>
      </c>
      <c r="D8" s="173">
        <v>0.8860614</v>
      </c>
      <c r="E8" s="173">
        <v>0.93433120000000003</v>
      </c>
      <c r="F8" s="168">
        <v>0.90955629999999998</v>
      </c>
      <c r="G8" s="173">
        <v>0.81740000000000002</v>
      </c>
      <c r="H8" s="190">
        <v>0.8063534</v>
      </c>
      <c r="I8" s="190">
        <v>0.99946060000000003</v>
      </c>
      <c r="J8" s="190">
        <v>0.89258190000000004</v>
      </c>
      <c r="K8" s="190">
        <v>0.86029999999999995</v>
      </c>
      <c r="L8" s="190">
        <v>0.89195489999999999</v>
      </c>
      <c r="M8" s="190">
        <v>0.9283981</v>
      </c>
      <c r="N8" s="191">
        <v>0.9098117</v>
      </c>
      <c r="O8" s="190">
        <v>0.82320000000000004</v>
      </c>
      <c r="P8" s="190">
        <v>0.81131660000000005</v>
      </c>
      <c r="Q8" s="190">
        <v>0.99959549999999997</v>
      </c>
      <c r="R8" s="190">
        <v>0.89566849999999998</v>
      </c>
      <c r="S8" s="190">
        <v>0.8589</v>
      </c>
      <c r="T8" s="190">
        <v>0.8860614</v>
      </c>
      <c r="U8" s="190">
        <v>0.93433120000000003</v>
      </c>
      <c r="V8" s="191">
        <v>0.90955629999999998</v>
      </c>
      <c r="W8" s="190">
        <v>0.83450000000000002</v>
      </c>
      <c r="X8" s="173">
        <v>0.82120309999999996</v>
      </c>
      <c r="Y8" s="190">
        <v>0.99959549999999997</v>
      </c>
      <c r="Z8" s="190">
        <v>0.90166029999999997</v>
      </c>
    </row>
    <row r="9" spans="1:29" x14ac:dyDescent="0.2">
      <c r="A9" s="214"/>
      <c r="B9" s="167">
        <v>5</v>
      </c>
      <c r="C9" s="173">
        <v>0.8589</v>
      </c>
      <c r="D9" s="173">
        <v>0.8860614</v>
      </c>
      <c r="E9" s="173">
        <v>0.93433120000000003</v>
      </c>
      <c r="F9" s="168">
        <v>0.90955629999999998</v>
      </c>
      <c r="G9" s="173">
        <v>0.75919999999999999</v>
      </c>
      <c r="H9" s="170">
        <v>0.75921380000000005</v>
      </c>
      <c r="I9" s="170">
        <v>1</v>
      </c>
      <c r="J9" s="170">
        <v>0.86312849999999997</v>
      </c>
      <c r="K9" s="170">
        <v>0.86029999999999995</v>
      </c>
      <c r="L9" s="170">
        <v>0.89195489999999999</v>
      </c>
      <c r="M9" s="170">
        <v>0.9283981</v>
      </c>
      <c r="N9" s="169">
        <v>0.9098117</v>
      </c>
      <c r="O9" s="170">
        <v>0.78080000000000005</v>
      </c>
      <c r="P9" s="190">
        <v>0.77609128000000005</v>
      </c>
      <c r="Q9" s="190">
        <v>0.99973031000000001</v>
      </c>
      <c r="R9" s="190">
        <v>0.87382875000000004</v>
      </c>
      <c r="S9" s="190">
        <v>0.8589</v>
      </c>
      <c r="T9" s="190">
        <v>0.8860614</v>
      </c>
      <c r="U9" s="190">
        <v>0.93433120000000003</v>
      </c>
      <c r="V9" s="191">
        <v>0.90955629999999998</v>
      </c>
      <c r="W9" s="190">
        <v>0.78900000000000003</v>
      </c>
      <c r="X9" s="190">
        <v>0.78276480000000004</v>
      </c>
      <c r="Y9" s="190">
        <v>0.99946060000000003</v>
      </c>
      <c r="Z9" s="190">
        <v>0.87793900000000002</v>
      </c>
    </row>
    <row r="10" spans="1:29" x14ac:dyDescent="0.2">
      <c r="A10" s="130"/>
      <c r="B10" s="167"/>
      <c r="C10" s="173"/>
      <c r="D10" s="173"/>
      <c r="E10" s="173"/>
      <c r="F10" s="173"/>
      <c r="G10" s="173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9" x14ac:dyDescent="0.2">
      <c r="A11" s="214" t="s">
        <v>74</v>
      </c>
      <c r="B11" s="167">
        <v>1</v>
      </c>
      <c r="C11" s="173">
        <v>0.8589</v>
      </c>
      <c r="D11" s="173">
        <v>0.8860614</v>
      </c>
      <c r="E11" s="173">
        <v>0.93433120000000003</v>
      </c>
      <c r="F11" s="173">
        <v>0.90955629999999998</v>
      </c>
      <c r="G11" s="173">
        <v>0.90739999999999998</v>
      </c>
      <c r="H11" s="190">
        <v>0.9164641</v>
      </c>
      <c r="I11" s="190">
        <v>0.96601939999999997</v>
      </c>
      <c r="J11" s="191">
        <v>0.94058949999999997</v>
      </c>
      <c r="K11" s="190">
        <v>0.86029999999999995</v>
      </c>
      <c r="L11" s="190">
        <v>0.89195489999999999</v>
      </c>
      <c r="M11" s="190">
        <v>0.9283981</v>
      </c>
      <c r="N11" s="190">
        <v>0.9098117</v>
      </c>
      <c r="O11" s="190">
        <v>0.91569999999999996</v>
      </c>
      <c r="P11" s="190">
        <v>0.92928770000000005</v>
      </c>
      <c r="Q11" s="190">
        <v>0.96224379999999998</v>
      </c>
      <c r="R11" s="191">
        <v>0.94547859999999995</v>
      </c>
      <c r="S11" s="190">
        <v>0.8589</v>
      </c>
      <c r="T11" s="190">
        <v>0.8860614</v>
      </c>
      <c r="U11" s="190">
        <v>0.93433120000000003</v>
      </c>
      <c r="V11" s="190">
        <v>0.90955629999999998</v>
      </c>
      <c r="W11" s="190">
        <v>0.92390000000000005</v>
      </c>
      <c r="X11" s="190">
        <v>0.92825049999999998</v>
      </c>
      <c r="Y11" s="190">
        <v>0.97518879999999997</v>
      </c>
      <c r="Z11" s="191">
        <v>0.95114089999999996</v>
      </c>
    </row>
    <row r="12" spans="1:29" x14ac:dyDescent="0.2">
      <c r="A12" s="214"/>
      <c r="B12" s="167">
        <v>2</v>
      </c>
      <c r="C12" s="173">
        <v>0.8589</v>
      </c>
      <c r="D12" s="173">
        <v>0.8860614</v>
      </c>
      <c r="E12" s="173">
        <v>0.93433120000000003</v>
      </c>
      <c r="F12" s="173">
        <v>0.90955629999999998</v>
      </c>
      <c r="G12" s="173">
        <v>0.90680000000000005</v>
      </c>
      <c r="H12" s="190">
        <v>0.91963360000000005</v>
      </c>
      <c r="I12" s="190">
        <v>0.96129989999999998</v>
      </c>
      <c r="J12" s="191">
        <v>0.94000530000000004</v>
      </c>
      <c r="K12" s="190">
        <v>0.86029999999999995</v>
      </c>
      <c r="L12" s="190">
        <v>0.89195489999999999</v>
      </c>
      <c r="M12" s="190">
        <v>0.9283981</v>
      </c>
      <c r="N12" s="190">
        <v>0.9098117</v>
      </c>
      <c r="O12" s="190">
        <v>0.91810000000000003</v>
      </c>
      <c r="P12" s="190">
        <v>0.93061700000000003</v>
      </c>
      <c r="Q12" s="190">
        <v>0.96399679999999999</v>
      </c>
      <c r="R12" s="191">
        <v>0.94701279999999999</v>
      </c>
      <c r="S12" s="190">
        <v>0.8589</v>
      </c>
      <c r="T12" s="190">
        <v>0.8860614</v>
      </c>
      <c r="U12" s="190">
        <v>0.93433120000000003</v>
      </c>
      <c r="V12" s="190">
        <v>0.90955629999999998</v>
      </c>
      <c r="W12" s="190">
        <v>0.92659999999999998</v>
      </c>
      <c r="X12" s="190">
        <v>0.93528270000000002</v>
      </c>
      <c r="Y12" s="190">
        <v>0.97046929999999998</v>
      </c>
      <c r="Z12" s="191">
        <v>0.95255109999999998</v>
      </c>
      <c r="AC12" t="s">
        <v>178</v>
      </c>
    </row>
    <row r="13" spans="1:29" x14ac:dyDescent="0.2">
      <c r="A13" s="214"/>
      <c r="B13" s="167">
        <v>3</v>
      </c>
      <c r="C13" s="173">
        <v>0.8589</v>
      </c>
      <c r="D13" s="173">
        <v>0.8860614</v>
      </c>
      <c r="E13" s="173">
        <v>0.93433120000000003</v>
      </c>
      <c r="F13" s="173">
        <v>0.90955629999999998</v>
      </c>
      <c r="G13" s="173">
        <v>0.90359999999999996</v>
      </c>
      <c r="H13" s="190">
        <v>0.92181389999999996</v>
      </c>
      <c r="I13" s="190">
        <v>0.9538835</v>
      </c>
      <c r="J13" s="191">
        <v>0.93757460000000004</v>
      </c>
      <c r="K13" s="190">
        <v>0.86029999999999995</v>
      </c>
      <c r="L13" s="190">
        <v>0.89195489999999999</v>
      </c>
      <c r="M13" s="190">
        <v>0.9283981</v>
      </c>
      <c r="N13" s="190">
        <v>0.9098117</v>
      </c>
      <c r="O13" s="190">
        <v>0.90800000000000003</v>
      </c>
      <c r="P13" s="190">
        <v>0.92566950000000003</v>
      </c>
      <c r="Q13" s="190">
        <v>0.95550159999999995</v>
      </c>
      <c r="R13" s="191">
        <v>0.94034899999999999</v>
      </c>
      <c r="S13" s="190">
        <v>0.8589</v>
      </c>
      <c r="T13" s="190">
        <v>0.8860614</v>
      </c>
      <c r="U13" s="190">
        <v>0.93433120000000003</v>
      </c>
      <c r="V13" s="190">
        <v>0.90955629999999998</v>
      </c>
      <c r="W13" s="190">
        <v>0.91669999999999996</v>
      </c>
      <c r="X13" s="190">
        <v>0.92981769999999997</v>
      </c>
      <c r="Y13" s="190">
        <v>0.96291800000000005</v>
      </c>
      <c r="Z13" s="191">
        <v>0.94607839999999999</v>
      </c>
    </row>
    <row r="14" spans="1:29" x14ac:dyDescent="0.2">
      <c r="A14" s="214"/>
      <c r="B14" s="167">
        <v>4</v>
      </c>
      <c r="C14" s="173">
        <v>0.8589</v>
      </c>
      <c r="D14" s="173">
        <v>0.8860614</v>
      </c>
      <c r="E14" s="173">
        <v>0.93433120000000003</v>
      </c>
      <c r="F14" s="173">
        <v>0.90955629999999998</v>
      </c>
      <c r="G14" s="173">
        <v>0.87270000000000003</v>
      </c>
      <c r="H14" s="170">
        <v>0.90929579999999999</v>
      </c>
      <c r="I14" s="170">
        <v>0.92462239999999996</v>
      </c>
      <c r="J14" s="169">
        <v>0.91689509999999996</v>
      </c>
      <c r="K14" s="170">
        <v>0.86029999999999995</v>
      </c>
      <c r="L14" s="170">
        <v>0.89195489999999999</v>
      </c>
      <c r="M14" s="170">
        <v>0.9283981</v>
      </c>
      <c r="N14" s="170">
        <v>0.9098117</v>
      </c>
      <c r="O14" s="170">
        <v>0.89029999999999998</v>
      </c>
      <c r="P14" s="190">
        <v>0.92566950000000003</v>
      </c>
      <c r="Q14" s="190">
        <v>0.95550159999999995</v>
      </c>
      <c r="R14" s="191">
        <v>0.94034899999999999</v>
      </c>
      <c r="S14" s="190">
        <v>0.8589</v>
      </c>
      <c r="T14" s="190">
        <v>0.8860614</v>
      </c>
      <c r="U14" s="190">
        <v>0.93433120000000003</v>
      </c>
      <c r="V14" s="190">
        <v>0.90955629999999998</v>
      </c>
      <c r="W14" s="190">
        <v>0.87570000000000003</v>
      </c>
      <c r="X14" s="190">
        <v>0.91928069999999995</v>
      </c>
      <c r="Y14" s="190">
        <v>0.91680150000000005</v>
      </c>
      <c r="Z14" s="191">
        <v>0.91803939999999995</v>
      </c>
    </row>
    <row r="15" spans="1:29" x14ac:dyDescent="0.2">
      <c r="A15" s="214"/>
      <c r="B15" s="167">
        <v>5</v>
      </c>
      <c r="C15" s="173">
        <v>0.8589</v>
      </c>
      <c r="D15" s="173">
        <v>0.8860614</v>
      </c>
      <c r="E15" s="173">
        <v>0.93433120000000003</v>
      </c>
      <c r="F15" s="168">
        <v>0.90955629999999998</v>
      </c>
      <c r="G15" s="173">
        <v>0.84889999999999999</v>
      </c>
      <c r="H15" s="170">
        <v>0.84889999999999999</v>
      </c>
      <c r="I15" s="170">
        <v>0.92179069999999996</v>
      </c>
      <c r="J15" s="170">
        <v>0.90256139999999996</v>
      </c>
      <c r="K15" s="170">
        <v>0.86029999999999995</v>
      </c>
      <c r="L15" s="170">
        <v>0.89195489999999999</v>
      </c>
      <c r="M15" s="170">
        <v>0.9283981</v>
      </c>
      <c r="N15" s="169">
        <v>0.9098117</v>
      </c>
      <c r="O15" s="170">
        <v>0.84789999999999999</v>
      </c>
      <c r="P15" s="190">
        <v>0.89862869999999995</v>
      </c>
      <c r="Q15" s="190">
        <v>0.9012945</v>
      </c>
      <c r="R15" s="190">
        <v>0.89995959999999997</v>
      </c>
      <c r="S15" s="190">
        <v>0.8589</v>
      </c>
      <c r="T15" s="190">
        <v>0.8860614</v>
      </c>
      <c r="U15" s="190">
        <v>0.93433120000000003</v>
      </c>
      <c r="V15" s="190">
        <v>0.90955629999999998</v>
      </c>
      <c r="W15" s="190">
        <v>0.86919999999999997</v>
      </c>
      <c r="X15" s="190">
        <v>0.89055740000000005</v>
      </c>
      <c r="Y15" s="190">
        <v>0.94363540000000001</v>
      </c>
      <c r="Z15" s="191">
        <v>0.91632840000000004</v>
      </c>
    </row>
    <row r="16" spans="1:29" ht="17" thickBot="1" x14ac:dyDescent="0.25">
      <c r="A16" s="138"/>
      <c r="B16" s="115"/>
      <c r="C16" s="175"/>
      <c r="D16" s="175"/>
      <c r="E16" s="175"/>
      <c r="F16" s="175"/>
      <c r="G16" s="175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x14ac:dyDescent="0.2">
      <c r="A17" s="214" t="s">
        <v>75</v>
      </c>
      <c r="B17" s="167">
        <v>1</v>
      </c>
      <c r="C17" s="173">
        <v>0.82699999999999996</v>
      </c>
      <c r="D17" s="173">
        <v>0.85102990000000001</v>
      </c>
      <c r="E17" s="173">
        <v>0.93594929999999998</v>
      </c>
      <c r="F17" s="168">
        <v>0.89147189999999998</v>
      </c>
      <c r="G17" s="173">
        <v>0.30759999999999998</v>
      </c>
      <c r="H17" s="190">
        <v>0.77506317999999996</v>
      </c>
      <c r="I17" s="190">
        <v>0.12405608999999999</v>
      </c>
      <c r="J17" s="190">
        <v>0.21387887999999999</v>
      </c>
      <c r="K17" s="190">
        <v>0.82589999999999997</v>
      </c>
      <c r="L17" s="190">
        <v>0.8480936</v>
      </c>
      <c r="M17" s="190">
        <v>0.93878099999999998</v>
      </c>
      <c r="N17" s="191">
        <v>0.89113600000000004</v>
      </c>
      <c r="O17" s="190">
        <v>0.35249999999999998</v>
      </c>
      <c r="P17" s="190">
        <v>0.79988999999999999</v>
      </c>
      <c r="Q17" s="190">
        <v>0.19619739999999999</v>
      </c>
      <c r="R17" s="190">
        <v>0.31510559999999999</v>
      </c>
      <c r="S17" s="190">
        <v>0.82699999999999996</v>
      </c>
      <c r="T17" s="190">
        <v>0.85102990000000001</v>
      </c>
      <c r="U17" s="190">
        <v>0.93594929999999998</v>
      </c>
      <c r="V17" s="191">
        <v>0.89147189999999998</v>
      </c>
      <c r="W17" s="190">
        <v>0.37740000000000001</v>
      </c>
      <c r="X17" s="190">
        <v>0.80235719999999999</v>
      </c>
      <c r="Y17" s="190">
        <v>0.2386731</v>
      </c>
      <c r="Z17" s="173">
        <v>0.36790689999999998</v>
      </c>
    </row>
    <row r="18" spans="1:26" x14ac:dyDescent="0.2">
      <c r="A18" s="214"/>
      <c r="B18" s="167">
        <v>2</v>
      </c>
      <c r="C18" s="173">
        <v>0.82699999999999996</v>
      </c>
      <c r="D18" s="173">
        <v>0.85102990000000001</v>
      </c>
      <c r="E18" s="173">
        <v>0.93594929999999998</v>
      </c>
      <c r="F18" s="168">
        <v>0.89147189999999998</v>
      </c>
      <c r="G18" s="173">
        <v>0.3135</v>
      </c>
      <c r="H18" s="190">
        <v>0.78354630000000003</v>
      </c>
      <c r="I18" s="190">
        <v>0.1322816</v>
      </c>
      <c r="J18" s="190">
        <v>0.22634979999999999</v>
      </c>
      <c r="K18" s="190">
        <v>0.82589999999999997</v>
      </c>
      <c r="L18" s="190">
        <v>0.8480936</v>
      </c>
      <c r="M18" s="190">
        <v>0.93878099999999998</v>
      </c>
      <c r="N18" s="191">
        <v>0.89113600000000004</v>
      </c>
      <c r="O18" s="190">
        <v>0.35460000000000003</v>
      </c>
      <c r="P18" s="190">
        <v>0.80415749999999997</v>
      </c>
      <c r="Q18" s="190">
        <v>0.19822010000000001</v>
      </c>
      <c r="R18" s="190">
        <v>0.3180441</v>
      </c>
      <c r="S18" s="190">
        <v>0.82699999999999996</v>
      </c>
      <c r="T18" s="190">
        <v>0.85102990000000001</v>
      </c>
      <c r="U18" s="190">
        <v>0.93594929999999998</v>
      </c>
      <c r="V18" s="191">
        <v>0.89147189999999998</v>
      </c>
      <c r="W18" s="190">
        <v>0.37740000000000001</v>
      </c>
      <c r="X18" s="190">
        <v>0.80235719999999999</v>
      </c>
      <c r="Y18" s="190">
        <v>0.2386731</v>
      </c>
      <c r="Z18" s="173">
        <v>0.36790689999999998</v>
      </c>
    </row>
    <row r="19" spans="1:26" x14ac:dyDescent="0.2">
      <c r="A19" s="214"/>
      <c r="B19" s="167">
        <v>3</v>
      </c>
      <c r="C19" s="173">
        <v>0.82699999999999996</v>
      </c>
      <c r="D19" s="173">
        <v>0.85102990000000001</v>
      </c>
      <c r="E19" s="173">
        <v>0.93594929999999998</v>
      </c>
      <c r="F19" s="168">
        <v>0.89147189999999998</v>
      </c>
      <c r="G19" s="173">
        <v>0.73599999999999999</v>
      </c>
      <c r="H19" s="190">
        <v>0.78436209999999995</v>
      </c>
      <c r="I19" s="190">
        <v>0.89954149999999999</v>
      </c>
      <c r="J19" s="190">
        <v>0.83801270000000005</v>
      </c>
      <c r="K19" s="190">
        <v>0.82589999999999997</v>
      </c>
      <c r="L19" s="190">
        <v>0.8480936</v>
      </c>
      <c r="M19" s="190">
        <v>0.93878099999999998</v>
      </c>
      <c r="N19" s="191">
        <v>0.89113600000000004</v>
      </c>
      <c r="O19" s="190">
        <v>0.74409999999999998</v>
      </c>
      <c r="P19" s="190">
        <v>0.79338739999999996</v>
      </c>
      <c r="Q19" s="190">
        <v>0.89630529999999997</v>
      </c>
      <c r="R19" s="190">
        <v>0.84171200000000002</v>
      </c>
      <c r="S19" s="190">
        <v>0.82699999999999996</v>
      </c>
      <c r="T19" s="190">
        <v>0.85102990000000001</v>
      </c>
      <c r="U19" s="190">
        <v>0.93594929999999998</v>
      </c>
      <c r="V19" s="191">
        <v>0.89147189999999998</v>
      </c>
      <c r="W19" s="190">
        <v>0.76590000000000003</v>
      </c>
      <c r="X19" s="190">
        <v>0.80374270000000003</v>
      </c>
      <c r="Y19" s="190">
        <v>0.91504850000000004</v>
      </c>
      <c r="Z19" s="190">
        <v>0.85579170000000004</v>
      </c>
    </row>
    <row r="20" spans="1:26" x14ac:dyDescent="0.2">
      <c r="A20" s="214"/>
      <c r="B20" s="167">
        <v>4</v>
      </c>
      <c r="C20" s="173">
        <v>0.82699999999999996</v>
      </c>
      <c r="D20" s="173">
        <v>0.85102990000000001</v>
      </c>
      <c r="E20" s="173">
        <v>0.93594929999999998</v>
      </c>
      <c r="F20" s="168">
        <v>0.89147189999999998</v>
      </c>
      <c r="G20" s="173">
        <v>0.77329999999999999</v>
      </c>
      <c r="H20" s="170">
        <v>0.77026185000000003</v>
      </c>
      <c r="I20" s="170">
        <v>0.99959547000000004</v>
      </c>
      <c r="J20" s="170">
        <v>0.87007042000000001</v>
      </c>
      <c r="K20" s="170">
        <v>0.82589999999999997</v>
      </c>
      <c r="L20" s="170">
        <v>0.8480936</v>
      </c>
      <c r="M20" s="170">
        <v>0.93878099999999998</v>
      </c>
      <c r="N20" s="169">
        <v>0.89113600000000004</v>
      </c>
      <c r="O20" s="170">
        <v>0.77280000000000004</v>
      </c>
      <c r="P20" s="190">
        <v>0.76997402999999998</v>
      </c>
      <c r="Q20" s="190">
        <v>0.99932578000000005</v>
      </c>
      <c r="R20" s="190">
        <v>0.86978464</v>
      </c>
      <c r="S20" s="190">
        <v>0.82699999999999996</v>
      </c>
      <c r="T20" s="190">
        <v>0.85102990000000001</v>
      </c>
      <c r="U20" s="190">
        <v>0.93594929999999998</v>
      </c>
      <c r="V20" s="191">
        <v>0.89147189999999998</v>
      </c>
      <c r="W20" s="190">
        <v>0.76400000000000001</v>
      </c>
      <c r="X20" s="173">
        <v>0.76337215000000003</v>
      </c>
      <c r="Y20" s="190">
        <v>0.99878641000000001</v>
      </c>
      <c r="Z20" s="190">
        <v>0.86535428000000003</v>
      </c>
    </row>
    <row r="21" spans="1:26" x14ac:dyDescent="0.2">
      <c r="A21" s="214"/>
      <c r="B21" s="167">
        <v>5</v>
      </c>
      <c r="C21" s="173">
        <v>0.82699999999999996</v>
      </c>
      <c r="D21" s="173">
        <v>0.85102990000000001</v>
      </c>
      <c r="E21" s="173">
        <v>0.93594929999999998</v>
      </c>
      <c r="F21" s="168">
        <v>0.89147189999999998</v>
      </c>
      <c r="G21" s="173">
        <v>0.75919999999999999</v>
      </c>
      <c r="H21" s="170">
        <v>0.75921380000000005</v>
      </c>
      <c r="I21" s="170">
        <v>1</v>
      </c>
      <c r="J21" s="170">
        <v>0.86312849999999997</v>
      </c>
      <c r="K21" s="170">
        <v>0.82589999999999997</v>
      </c>
      <c r="L21" s="170">
        <v>0.8480936</v>
      </c>
      <c r="M21" s="170">
        <v>0.93878099999999998</v>
      </c>
      <c r="N21" s="169">
        <v>0.89113600000000004</v>
      </c>
      <c r="O21" s="170">
        <v>0.75919999999999999</v>
      </c>
      <c r="P21" s="190">
        <v>0.75921380000000005</v>
      </c>
      <c r="Q21" s="190">
        <v>1</v>
      </c>
      <c r="R21" s="190">
        <v>0.86312849999999997</v>
      </c>
      <c r="S21" s="190">
        <v>0.82699999999999996</v>
      </c>
      <c r="T21" s="190">
        <v>0.85102990000000001</v>
      </c>
      <c r="U21" s="190">
        <v>0.93594929999999998</v>
      </c>
      <c r="V21" s="191">
        <v>0.89147189999999998</v>
      </c>
      <c r="W21" s="190">
        <v>0.75919999999999999</v>
      </c>
      <c r="X21" s="173">
        <v>0.75921380000000005</v>
      </c>
      <c r="Y21" s="190">
        <v>1</v>
      </c>
      <c r="Z21" s="190">
        <v>0.86312849999999997</v>
      </c>
    </row>
    <row r="22" spans="1:26" x14ac:dyDescent="0.2">
      <c r="A22" s="130"/>
      <c r="B22" s="167"/>
      <c r="C22" s="173"/>
      <c r="D22" s="173"/>
      <c r="E22" s="173"/>
      <c r="F22" s="173"/>
      <c r="G22" s="173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 spans="1:26" x14ac:dyDescent="0.2">
      <c r="A23" s="214" t="s">
        <v>76</v>
      </c>
      <c r="B23" s="167">
        <v>1</v>
      </c>
      <c r="C23" s="173">
        <v>0.82699999999999996</v>
      </c>
      <c r="D23" s="173">
        <v>0.85102990000000001</v>
      </c>
      <c r="E23" s="173">
        <v>0.93594929999999998</v>
      </c>
      <c r="F23" s="173">
        <v>0.89147189999999998</v>
      </c>
      <c r="G23" s="173">
        <v>0.85</v>
      </c>
      <c r="H23" s="190">
        <v>0.86567530000000004</v>
      </c>
      <c r="I23" s="190">
        <v>0.94983819999999997</v>
      </c>
      <c r="J23" s="191">
        <v>0.905806</v>
      </c>
      <c r="K23" s="190">
        <v>0.82589999999999997</v>
      </c>
      <c r="L23" s="190">
        <v>0.8480936</v>
      </c>
      <c r="M23" s="190">
        <v>0.93878099999999998</v>
      </c>
      <c r="N23" s="190">
        <v>0.89113600000000004</v>
      </c>
      <c r="O23" s="190">
        <v>0.85740000000000005</v>
      </c>
      <c r="P23" s="190">
        <v>0.87904340000000003</v>
      </c>
      <c r="Q23" s="190">
        <v>0.94174760000000002</v>
      </c>
      <c r="R23" s="191">
        <v>0.90931580000000001</v>
      </c>
      <c r="S23" s="190">
        <v>0.82699999999999996</v>
      </c>
      <c r="T23" s="190">
        <v>0.85102990000000001</v>
      </c>
      <c r="U23" s="190">
        <v>0.93594929999999998</v>
      </c>
      <c r="V23" s="190">
        <v>0.89147189999999998</v>
      </c>
      <c r="W23" s="190">
        <v>0.86040000000000005</v>
      </c>
      <c r="X23" s="190">
        <v>0.8817815</v>
      </c>
      <c r="Y23" s="190">
        <v>0.94242179999999998</v>
      </c>
      <c r="Z23" s="191">
        <v>0.91109370000000001</v>
      </c>
    </row>
    <row r="24" spans="1:26" x14ac:dyDescent="0.2">
      <c r="A24" s="214"/>
      <c r="B24" s="167">
        <v>2</v>
      </c>
      <c r="C24" s="173">
        <v>0.82699999999999996</v>
      </c>
      <c r="D24" s="173">
        <v>0.85102990000000001</v>
      </c>
      <c r="E24" s="173">
        <v>0.93594929999999998</v>
      </c>
      <c r="F24" s="173">
        <v>0.89147189999999998</v>
      </c>
      <c r="G24" s="173">
        <v>0.8548</v>
      </c>
      <c r="H24" s="190">
        <v>0.87070460000000005</v>
      </c>
      <c r="I24" s="190">
        <v>0.94983819999999997</v>
      </c>
      <c r="J24" s="191">
        <v>0.90855149999999996</v>
      </c>
      <c r="K24" s="190">
        <v>0.82589999999999997</v>
      </c>
      <c r="L24" s="190">
        <v>0.8480936</v>
      </c>
      <c r="M24" s="190">
        <v>0.93878099999999998</v>
      </c>
      <c r="N24" s="190">
        <v>0.89113600000000004</v>
      </c>
      <c r="O24" s="190">
        <v>0.86109999999999998</v>
      </c>
      <c r="P24" s="190">
        <v>0.87816749999999999</v>
      </c>
      <c r="Q24" s="190">
        <v>0.94862460000000004</v>
      </c>
      <c r="R24" s="191">
        <v>0.91203730000000005</v>
      </c>
      <c r="S24" s="190">
        <v>0.82699999999999996</v>
      </c>
      <c r="T24" s="190">
        <v>0.85102990000000001</v>
      </c>
      <c r="U24" s="190">
        <v>0.93594929999999998</v>
      </c>
      <c r="V24" s="190">
        <v>0.89147189999999998</v>
      </c>
      <c r="W24" s="190">
        <v>0.86570000000000003</v>
      </c>
      <c r="X24" s="190">
        <v>0.88360989999999995</v>
      </c>
      <c r="Y24" s="190">
        <v>0.94795039999999997</v>
      </c>
      <c r="Z24" s="191">
        <v>0.91464999999999996</v>
      </c>
    </row>
    <row r="25" spans="1:26" x14ac:dyDescent="0.2">
      <c r="A25" s="214"/>
      <c r="B25" s="167">
        <v>3</v>
      </c>
      <c r="C25" s="173">
        <v>0.82699999999999996</v>
      </c>
      <c r="D25" s="173">
        <v>0.85102990000000001</v>
      </c>
      <c r="E25" s="173">
        <v>0.93594929999999998</v>
      </c>
      <c r="F25" s="173">
        <v>0.89147189999999998</v>
      </c>
      <c r="G25" s="173">
        <v>0.84550000000000003</v>
      </c>
      <c r="H25" s="190">
        <v>0.86413510000000004</v>
      </c>
      <c r="I25" s="190">
        <v>0.94511869999999998</v>
      </c>
      <c r="J25" s="191">
        <v>0.90281449999999996</v>
      </c>
      <c r="K25" s="190">
        <v>0.82589999999999997</v>
      </c>
      <c r="L25" s="190">
        <v>0.8480936</v>
      </c>
      <c r="M25" s="190">
        <v>0.93878099999999998</v>
      </c>
      <c r="N25" s="190">
        <v>0.89113600000000004</v>
      </c>
      <c r="O25" s="190">
        <v>0.85009999999999997</v>
      </c>
      <c r="P25" s="190">
        <v>0.86795250000000002</v>
      </c>
      <c r="Q25" s="190">
        <v>0.9466019</v>
      </c>
      <c r="R25" s="191">
        <v>0.90557279999999996</v>
      </c>
      <c r="S25" s="190">
        <v>0.82699999999999996</v>
      </c>
      <c r="T25" s="190">
        <v>0.85102990000000001</v>
      </c>
      <c r="U25" s="190">
        <v>0.93594929999999998</v>
      </c>
      <c r="V25" s="190">
        <v>0.89147189999999998</v>
      </c>
      <c r="W25" s="190">
        <v>0.85040000000000004</v>
      </c>
      <c r="X25" s="190">
        <v>0.86682269999999995</v>
      </c>
      <c r="Y25" s="190">
        <v>0.94875940000000003</v>
      </c>
      <c r="Z25" s="191">
        <v>0.90594220000000003</v>
      </c>
    </row>
    <row r="26" spans="1:26" x14ac:dyDescent="0.2">
      <c r="A26" s="214"/>
      <c r="B26" s="167">
        <v>4</v>
      </c>
      <c r="C26" s="173">
        <v>0.82699999999999996</v>
      </c>
      <c r="D26" s="173">
        <v>0.85102990000000001</v>
      </c>
      <c r="E26" s="173">
        <v>0.93594929999999998</v>
      </c>
      <c r="F26" s="168">
        <v>0.89147189999999998</v>
      </c>
      <c r="G26" s="173">
        <v>0.81399999999999995</v>
      </c>
      <c r="H26" s="190">
        <v>0.82285779999999997</v>
      </c>
      <c r="I26" s="190">
        <v>0.96210899999999999</v>
      </c>
      <c r="J26" s="190">
        <v>0.8870517</v>
      </c>
      <c r="K26" s="190">
        <v>0.82589999999999997</v>
      </c>
      <c r="L26" s="190">
        <v>0.8480936</v>
      </c>
      <c r="M26" s="190">
        <v>0.93878099999999998</v>
      </c>
      <c r="N26" s="190">
        <v>0.89113600000000004</v>
      </c>
      <c r="O26" s="190">
        <v>0.82020000000000004</v>
      </c>
      <c r="P26" s="190">
        <v>0.83014469999999996</v>
      </c>
      <c r="Q26" s="190">
        <v>0.95954689999999998</v>
      </c>
      <c r="R26" s="190">
        <v>0.89016759999999995</v>
      </c>
      <c r="S26" s="190">
        <v>0.82699999999999996</v>
      </c>
      <c r="T26" s="190">
        <v>0.85102990000000001</v>
      </c>
      <c r="U26" s="190">
        <v>0.93594929999999998</v>
      </c>
      <c r="V26" s="190">
        <v>0.89147189999999998</v>
      </c>
      <c r="W26" s="190">
        <v>0.82310000000000005</v>
      </c>
      <c r="X26" s="190">
        <v>0.83131409999999994</v>
      </c>
      <c r="Y26" s="190">
        <v>0.96224379999999998</v>
      </c>
      <c r="Z26" s="191">
        <v>0.89200000000000002</v>
      </c>
    </row>
    <row r="27" spans="1:26" x14ac:dyDescent="0.2">
      <c r="A27" s="214"/>
      <c r="B27" s="167">
        <v>5</v>
      </c>
      <c r="C27" s="173">
        <v>0.82699999999999996</v>
      </c>
      <c r="D27" s="173">
        <v>0.85102990000000001</v>
      </c>
      <c r="E27" s="173">
        <v>0.93594929999999998</v>
      </c>
      <c r="F27" s="173">
        <v>0.89147189999999998</v>
      </c>
      <c r="G27" s="173">
        <v>0.83740000000000003</v>
      </c>
      <c r="H27" s="170">
        <v>0.85167749999999998</v>
      </c>
      <c r="I27" s="170">
        <v>0.95159119999999997</v>
      </c>
      <c r="J27" s="169">
        <v>0.89886639999999995</v>
      </c>
      <c r="K27" s="170">
        <v>0.82589999999999997</v>
      </c>
      <c r="L27" s="170">
        <v>0.8480936</v>
      </c>
      <c r="M27" s="170">
        <v>0.93878099999999998</v>
      </c>
      <c r="N27" s="170">
        <v>0.89113600000000004</v>
      </c>
      <c r="O27" s="170">
        <v>0.8488</v>
      </c>
      <c r="P27" s="190">
        <v>0.86448999999999998</v>
      </c>
      <c r="Q27" s="190">
        <v>0.94970330000000003</v>
      </c>
      <c r="R27" s="191">
        <v>0.90509539999999999</v>
      </c>
      <c r="S27" s="190">
        <v>0.82699999999999996</v>
      </c>
      <c r="T27" s="190">
        <v>0.85102990000000001</v>
      </c>
      <c r="U27" s="190">
        <v>0.93594929999999998</v>
      </c>
      <c r="V27" s="190">
        <v>0.89147189999999998</v>
      </c>
      <c r="W27" s="190">
        <v>0.85289999999999999</v>
      </c>
      <c r="X27" s="190">
        <v>0.87141259999999998</v>
      </c>
      <c r="Y27" s="190">
        <v>0.94579290000000005</v>
      </c>
      <c r="Z27" s="191">
        <v>0.90708049999999996</v>
      </c>
    </row>
    <row r="28" spans="1:26" ht="17" thickBot="1" x14ac:dyDescent="0.25">
      <c r="A28" s="138"/>
      <c r="B28" s="115"/>
      <c r="C28" s="175"/>
      <c r="D28" s="175"/>
      <c r="E28" s="175"/>
      <c r="F28" s="175"/>
      <c r="G28" s="175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x14ac:dyDescent="0.2">
      <c r="A29" s="214" t="s">
        <v>77</v>
      </c>
      <c r="B29" s="167">
        <v>1</v>
      </c>
      <c r="C29" s="173">
        <v>0.75919999999999999</v>
      </c>
      <c r="D29" s="173">
        <v>0.75921380000000005</v>
      </c>
      <c r="E29" s="173">
        <v>1</v>
      </c>
      <c r="F29" s="173">
        <v>0.86312849999999997</v>
      </c>
      <c r="G29" s="173">
        <v>0.24079999999999999</v>
      </c>
      <c r="H29" s="190" t="s">
        <v>24</v>
      </c>
      <c r="I29" s="190">
        <v>0</v>
      </c>
      <c r="J29" s="190" t="s">
        <v>24</v>
      </c>
      <c r="K29" s="190">
        <v>0.81120000000000003</v>
      </c>
      <c r="L29" s="190">
        <v>0.86638610000000005</v>
      </c>
      <c r="M29" s="190">
        <v>0.88834950000000001</v>
      </c>
      <c r="N29" s="191">
        <v>0.87723039999999997</v>
      </c>
      <c r="O29" s="190">
        <v>0.24079999999999999</v>
      </c>
      <c r="P29" s="190" t="s">
        <v>24</v>
      </c>
      <c r="Q29" s="190">
        <v>1</v>
      </c>
      <c r="R29" s="190" t="s">
        <v>24</v>
      </c>
      <c r="S29" s="190">
        <v>0.80510000000000004</v>
      </c>
      <c r="T29" s="190">
        <v>0.82809520000000003</v>
      </c>
      <c r="U29" s="190">
        <v>0.93797200000000003</v>
      </c>
      <c r="V29" s="191">
        <v>0.87961560000000005</v>
      </c>
      <c r="W29" s="190">
        <v>0.24079999999999999</v>
      </c>
      <c r="X29" s="190" t="s">
        <v>24</v>
      </c>
      <c r="Y29" s="190">
        <v>1</v>
      </c>
      <c r="Z29" s="190" t="s">
        <v>24</v>
      </c>
    </row>
    <row r="30" spans="1:26" x14ac:dyDescent="0.2">
      <c r="A30" s="214"/>
      <c r="B30" s="167">
        <v>2</v>
      </c>
      <c r="C30" s="173">
        <v>0.75919999999999999</v>
      </c>
      <c r="D30" s="173">
        <v>0.75921380000000005</v>
      </c>
      <c r="E30" s="173">
        <v>1</v>
      </c>
      <c r="F30" s="173">
        <v>0.86312849999999997</v>
      </c>
      <c r="G30" s="173">
        <v>0.30599999999999999</v>
      </c>
      <c r="H30" s="190">
        <v>0.72604679999999999</v>
      </c>
      <c r="I30" s="190">
        <v>0.13794500000000001</v>
      </c>
      <c r="J30" s="190">
        <v>0.2318414</v>
      </c>
      <c r="K30" s="190">
        <v>0.81120000000000003</v>
      </c>
      <c r="L30" s="190">
        <v>0.86638610000000005</v>
      </c>
      <c r="M30" s="190">
        <v>0.88834950000000001</v>
      </c>
      <c r="N30" s="191">
        <v>0.87723039999999997</v>
      </c>
      <c r="O30" s="190">
        <v>0.79400000000000004</v>
      </c>
      <c r="P30" s="190">
        <v>0.80915329999999996</v>
      </c>
      <c r="Q30" s="190">
        <v>0.95361379999999996</v>
      </c>
      <c r="R30" s="190">
        <v>0.87546420000000003</v>
      </c>
      <c r="S30" s="190">
        <v>0.80510000000000004</v>
      </c>
      <c r="T30" s="190">
        <v>0.82809520000000003</v>
      </c>
      <c r="U30" s="190">
        <v>0.93797200000000003</v>
      </c>
      <c r="V30" s="191">
        <v>0.87961560000000005</v>
      </c>
      <c r="W30" s="190">
        <v>0.49299999999999999</v>
      </c>
      <c r="X30" s="190">
        <v>0.73131809999999997</v>
      </c>
      <c r="Y30" s="190">
        <v>0.52521569999999995</v>
      </c>
      <c r="Z30" s="173">
        <v>0.61136400000000002</v>
      </c>
    </row>
    <row r="31" spans="1:26" x14ac:dyDescent="0.2">
      <c r="A31" s="214"/>
      <c r="B31" s="167">
        <v>3</v>
      </c>
      <c r="C31" s="173">
        <v>0.75919999999999999</v>
      </c>
      <c r="D31" s="173">
        <v>0.75921380000000005</v>
      </c>
      <c r="E31" s="173">
        <v>1</v>
      </c>
      <c r="F31" s="173">
        <v>0.86312849999999997</v>
      </c>
      <c r="G31" s="173">
        <v>0.50260000000000005</v>
      </c>
      <c r="H31" s="190">
        <v>0.71045270000000005</v>
      </c>
      <c r="I31" s="190">
        <v>0.58198490000000003</v>
      </c>
      <c r="J31" s="190">
        <v>0.63983400000000001</v>
      </c>
      <c r="K31" s="190">
        <v>0.81120000000000003</v>
      </c>
      <c r="L31" s="190">
        <v>0.86638610000000005</v>
      </c>
      <c r="M31" s="190">
        <v>0.88834950000000001</v>
      </c>
      <c r="N31" s="190">
        <v>0.87723039999999997</v>
      </c>
      <c r="O31" s="190">
        <v>0.79210000000000003</v>
      </c>
      <c r="P31" s="190">
        <v>0.79199649999999999</v>
      </c>
      <c r="Q31" s="190">
        <v>0.98476269999999999</v>
      </c>
      <c r="R31" s="191">
        <v>0.87792269999999994</v>
      </c>
      <c r="S31" s="190">
        <v>0.80510000000000004</v>
      </c>
      <c r="T31" s="190">
        <v>0.82809520000000003</v>
      </c>
      <c r="U31" s="190">
        <v>0.93797200000000003</v>
      </c>
      <c r="V31" s="191">
        <v>0.87961560000000005</v>
      </c>
      <c r="W31" s="190">
        <v>0.74390000000000001</v>
      </c>
      <c r="X31" s="190">
        <v>0.7875702</v>
      </c>
      <c r="Y31" s="190">
        <v>0.90736249999999996</v>
      </c>
      <c r="Z31" s="173">
        <v>0.84323309999999996</v>
      </c>
    </row>
    <row r="32" spans="1:26" x14ac:dyDescent="0.2">
      <c r="A32" s="214"/>
      <c r="B32" s="167">
        <v>4</v>
      </c>
      <c r="C32" s="173">
        <v>0.75919999999999999</v>
      </c>
      <c r="D32" s="173">
        <v>0.75921380000000005</v>
      </c>
      <c r="E32" s="173">
        <v>1</v>
      </c>
      <c r="F32" s="173">
        <v>0.86312849999999997</v>
      </c>
      <c r="G32" s="173">
        <v>0.78779999999999994</v>
      </c>
      <c r="H32" s="170">
        <v>0.78236969999999995</v>
      </c>
      <c r="I32" s="170">
        <v>0.9981122</v>
      </c>
      <c r="J32" s="169">
        <v>0.87717009999999995</v>
      </c>
      <c r="K32" s="170">
        <v>0.81120000000000003</v>
      </c>
      <c r="L32" s="170">
        <v>0.86638610000000005</v>
      </c>
      <c r="M32" s="170">
        <v>0.88834950000000001</v>
      </c>
      <c r="N32" s="170">
        <v>0.87723039999999997</v>
      </c>
      <c r="O32" s="170">
        <v>0.79079999999999995</v>
      </c>
      <c r="P32" s="190">
        <v>0.78473769999999998</v>
      </c>
      <c r="Q32" s="190">
        <v>0.99838190000000004</v>
      </c>
      <c r="R32" s="191">
        <v>0.87876089999999996</v>
      </c>
      <c r="S32" s="190">
        <v>0.80510000000000004</v>
      </c>
      <c r="T32" s="190">
        <v>0.82809520000000003</v>
      </c>
      <c r="U32" s="190">
        <v>0.93797200000000003</v>
      </c>
      <c r="V32" s="191">
        <v>0.87961560000000005</v>
      </c>
      <c r="W32" s="190">
        <v>0.75919999999999999</v>
      </c>
      <c r="X32" s="173">
        <v>0.75921380000000005</v>
      </c>
      <c r="Y32" s="190">
        <v>1</v>
      </c>
      <c r="Z32" s="190">
        <v>0.86312849999999997</v>
      </c>
    </row>
    <row r="33" spans="1:26" x14ac:dyDescent="0.2">
      <c r="A33" s="214"/>
      <c r="B33" s="167">
        <v>5</v>
      </c>
      <c r="C33" s="173">
        <v>0.75919999999999999</v>
      </c>
      <c r="D33" s="173">
        <v>0.75921380000000005</v>
      </c>
      <c r="E33" s="173">
        <v>1</v>
      </c>
      <c r="F33" s="173">
        <v>0.86312849999999997</v>
      </c>
      <c r="G33" s="173">
        <v>0.75919999999999999</v>
      </c>
      <c r="H33" s="170">
        <v>0.75921380000000005</v>
      </c>
      <c r="I33" s="170">
        <v>1</v>
      </c>
      <c r="J33" s="170">
        <v>0.86312849999999997</v>
      </c>
      <c r="K33" s="170">
        <v>0.81120000000000003</v>
      </c>
      <c r="L33" s="170">
        <v>0.86638610000000005</v>
      </c>
      <c r="M33" s="170">
        <v>0.88834950000000001</v>
      </c>
      <c r="N33" s="169">
        <v>0.87723039999999997</v>
      </c>
      <c r="O33" s="170">
        <v>0.75919999999999999</v>
      </c>
      <c r="P33" s="190">
        <v>0.75921380000000005</v>
      </c>
      <c r="Q33" s="190">
        <v>1</v>
      </c>
      <c r="R33" s="190">
        <v>0.86312849999999997</v>
      </c>
      <c r="S33" s="190">
        <v>0.80510000000000004</v>
      </c>
      <c r="T33" s="190">
        <v>0.82809520000000003</v>
      </c>
      <c r="U33" s="190">
        <v>0.93797200000000003</v>
      </c>
      <c r="V33" s="191">
        <v>0.87961560000000005</v>
      </c>
      <c r="W33" s="190">
        <v>0.77900000000000003</v>
      </c>
      <c r="X33" s="173">
        <v>0.77463170000000003</v>
      </c>
      <c r="Y33" s="190">
        <v>0.99973031000000001</v>
      </c>
      <c r="Z33" s="190">
        <v>0.87290281000000003</v>
      </c>
    </row>
    <row r="34" spans="1:26" x14ac:dyDescent="0.2">
      <c r="A34" s="130"/>
      <c r="B34" s="167"/>
      <c r="C34" s="173"/>
      <c r="D34" s="173"/>
      <c r="E34" s="173"/>
      <c r="F34" s="173"/>
      <c r="G34" s="173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spans="1:26" x14ac:dyDescent="0.2">
      <c r="A35" s="214" t="s">
        <v>78</v>
      </c>
      <c r="B35" s="167">
        <v>1</v>
      </c>
      <c r="C35" s="173">
        <v>0.75919999999999999</v>
      </c>
      <c r="D35" s="173">
        <v>0.75921380000000005</v>
      </c>
      <c r="E35" s="173">
        <v>1</v>
      </c>
      <c r="F35" s="173">
        <v>0.86312849999999997</v>
      </c>
      <c r="G35" s="173">
        <v>0.83</v>
      </c>
      <c r="H35" s="190">
        <v>0.86670060000000004</v>
      </c>
      <c r="I35" s="190">
        <v>0.91707119999999998</v>
      </c>
      <c r="J35" s="191">
        <v>0.89117469999999999</v>
      </c>
      <c r="K35" s="190">
        <v>0.81120000000000003</v>
      </c>
      <c r="L35" s="190">
        <v>0.86638610000000005</v>
      </c>
      <c r="M35" s="190">
        <v>0.88834950000000001</v>
      </c>
      <c r="N35" s="190">
        <v>0.87723039999999997</v>
      </c>
      <c r="O35" s="190">
        <v>0.78739999999999999</v>
      </c>
      <c r="P35" s="190">
        <v>0.80893420000000005</v>
      </c>
      <c r="Q35" s="190">
        <v>0.94255659999999997</v>
      </c>
      <c r="R35" s="190">
        <v>0.87064830000000004</v>
      </c>
      <c r="S35" s="190">
        <v>0.80510000000000004</v>
      </c>
      <c r="T35" s="190">
        <v>0.82809520000000003</v>
      </c>
      <c r="U35" s="190">
        <v>0.93797200000000003</v>
      </c>
      <c r="V35" s="191">
        <v>0.87961560000000005</v>
      </c>
      <c r="W35" s="190">
        <v>0.79869999999999997</v>
      </c>
      <c r="X35" s="190">
        <v>0.81178490000000003</v>
      </c>
      <c r="Y35" s="190">
        <v>0.95671519999999999</v>
      </c>
      <c r="Z35" s="190">
        <v>0.87831150000000002</v>
      </c>
    </row>
    <row r="36" spans="1:26" x14ac:dyDescent="0.2">
      <c r="A36" s="214"/>
      <c r="B36" s="167">
        <v>2</v>
      </c>
      <c r="C36" s="173">
        <v>0.75919999999999999</v>
      </c>
      <c r="D36" s="173">
        <v>0.75921380000000005</v>
      </c>
      <c r="E36" s="173">
        <v>1</v>
      </c>
      <c r="F36" s="173">
        <v>0.86312849999999997</v>
      </c>
      <c r="G36" s="173">
        <v>0.75919999999999999</v>
      </c>
      <c r="H36" s="190">
        <v>0.75921380000000005</v>
      </c>
      <c r="I36" s="190">
        <v>1</v>
      </c>
      <c r="J36" s="190">
        <v>0.86312849999999997</v>
      </c>
      <c r="K36" s="190">
        <v>0.81120000000000003</v>
      </c>
      <c r="L36" s="190">
        <v>0.86638610000000005</v>
      </c>
      <c r="M36" s="190">
        <v>0.88834950000000001</v>
      </c>
      <c r="N36" s="190">
        <v>0.87723039999999997</v>
      </c>
      <c r="O36" s="190">
        <v>0.79700000000000004</v>
      </c>
      <c r="P36" s="190">
        <v>0.80788850000000001</v>
      </c>
      <c r="Q36" s="190">
        <v>0.96116500000000005</v>
      </c>
      <c r="R36" s="191">
        <v>0.87788659999999996</v>
      </c>
      <c r="S36" s="190">
        <v>0.80510000000000004</v>
      </c>
      <c r="T36" s="190">
        <v>0.82809520000000003</v>
      </c>
      <c r="U36" s="190">
        <v>0.93797200000000003</v>
      </c>
      <c r="V36" s="190">
        <v>0.87961560000000005</v>
      </c>
      <c r="W36" s="190">
        <v>0.80030000000000001</v>
      </c>
      <c r="X36" s="190">
        <v>0.80977209999999999</v>
      </c>
      <c r="Y36" s="190">
        <v>0.96318769999999998</v>
      </c>
      <c r="Z36" s="191">
        <v>0.87984229999999997</v>
      </c>
    </row>
    <row r="37" spans="1:26" x14ac:dyDescent="0.2">
      <c r="A37" s="214"/>
      <c r="B37" s="167">
        <v>3</v>
      </c>
      <c r="C37" s="173">
        <v>0.75919999999999999</v>
      </c>
      <c r="D37" s="173">
        <v>0.75921380000000005</v>
      </c>
      <c r="E37" s="173">
        <v>1</v>
      </c>
      <c r="F37" s="168">
        <v>0.86312849999999997</v>
      </c>
      <c r="G37" s="173">
        <v>0.7893</v>
      </c>
      <c r="H37" s="190">
        <v>0.85834670000000002</v>
      </c>
      <c r="I37" s="190">
        <v>0.86529129999999999</v>
      </c>
      <c r="J37" s="190">
        <v>0.86180500000000004</v>
      </c>
      <c r="K37" s="190">
        <v>0.81120000000000003</v>
      </c>
      <c r="L37" s="190">
        <v>0.86638610000000005</v>
      </c>
      <c r="M37" s="190">
        <v>0.88834950000000001</v>
      </c>
      <c r="N37" s="190">
        <v>0.87723039999999997</v>
      </c>
      <c r="O37" s="190">
        <v>0.80210000000000004</v>
      </c>
      <c r="P37" s="190">
        <v>0.88694419999999996</v>
      </c>
      <c r="Q37" s="190">
        <v>0.84735709999999997</v>
      </c>
      <c r="R37" s="190">
        <v>0.86669879999999999</v>
      </c>
      <c r="S37" s="190">
        <v>0.80510000000000004</v>
      </c>
      <c r="T37" s="190">
        <v>0.82809520000000003</v>
      </c>
      <c r="U37" s="190">
        <v>0.93797200000000003</v>
      </c>
      <c r="V37" s="190">
        <v>0.87961560000000005</v>
      </c>
      <c r="W37" s="190">
        <v>0.80100000000000005</v>
      </c>
      <c r="X37" s="190">
        <v>0.81013380000000002</v>
      </c>
      <c r="Y37" s="190">
        <v>0.96372709999999995</v>
      </c>
      <c r="Z37" s="191">
        <v>0.88028079999999997</v>
      </c>
    </row>
    <row r="38" spans="1:26" x14ac:dyDescent="0.2">
      <c r="A38" s="214"/>
      <c r="B38" s="167">
        <v>4</v>
      </c>
      <c r="C38" s="173">
        <v>0.75919999999999999</v>
      </c>
      <c r="D38" s="173">
        <v>0.75921380000000005</v>
      </c>
      <c r="E38" s="173">
        <v>1</v>
      </c>
      <c r="F38" s="168">
        <v>0.86312849999999997</v>
      </c>
      <c r="G38" s="173">
        <v>0.70540000000000003</v>
      </c>
      <c r="H38" s="190">
        <v>0.79683409999999999</v>
      </c>
      <c r="I38" s="190">
        <v>0.82133230000000002</v>
      </c>
      <c r="J38" s="190">
        <v>0.80889770000000005</v>
      </c>
      <c r="K38" s="190">
        <v>0.81120000000000003</v>
      </c>
      <c r="L38" s="190">
        <v>0.86638610000000005</v>
      </c>
      <c r="M38" s="190">
        <v>0.88834950000000001</v>
      </c>
      <c r="N38" s="190">
        <v>0.87723039999999997</v>
      </c>
      <c r="O38" s="190">
        <v>0.78790000000000004</v>
      </c>
      <c r="P38" s="190">
        <v>0.78510460000000004</v>
      </c>
      <c r="Q38" s="190">
        <v>0.99217909999999998</v>
      </c>
      <c r="R38" s="191">
        <v>0.87657850000000004</v>
      </c>
      <c r="S38" s="190">
        <v>0.80510000000000004</v>
      </c>
      <c r="T38" s="190">
        <v>0.82809520000000003</v>
      </c>
      <c r="U38" s="190">
        <v>0.93797200000000003</v>
      </c>
      <c r="V38" s="191">
        <v>0.87961560000000005</v>
      </c>
      <c r="W38" s="190">
        <v>0.80069999999999997</v>
      </c>
      <c r="X38" s="190">
        <v>0.88400509999999999</v>
      </c>
      <c r="Y38" s="190">
        <v>0.84884029999999999</v>
      </c>
      <c r="Z38" s="190">
        <v>0.86606590000000006</v>
      </c>
    </row>
    <row r="39" spans="1:26" x14ac:dyDescent="0.2">
      <c r="A39" s="214"/>
      <c r="B39" s="167">
        <v>5</v>
      </c>
      <c r="C39" s="173">
        <v>0.75919999999999999</v>
      </c>
      <c r="D39" s="173">
        <v>0.75921380000000005</v>
      </c>
      <c r="E39" s="173">
        <v>1</v>
      </c>
      <c r="F39" s="168">
        <v>0.86312849999999997</v>
      </c>
      <c r="G39" s="173">
        <v>0.76900000000000002</v>
      </c>
      <c r="H39" s="170">
        <v>0.8147877</v>
      </c>
      <c r="I39" s="170">
        <v>0.90048539999999999</v>
      </c>
      <c r="J39" s="170">
        <v>0.85549580000000003</v>
      </c>
      <c r="K39" s="170">
        <v>0.81120000000000003</v>
      </c>
      <c r="L39" s="170">
        <v>0.86638610000000005</v>
      </c>
      <c r="M39" s="170">
        <v>0.88834950000000001</v>
      </c>
      <c r="N39" s="170">
        <v>0.87723039999999997</v>
      </c>
      <c r="O39" s="170">
        <v>0.79710000000000003</v>
      </c>
      <c r="P39" s="190">
        <v>0.7924021</v>
      </c>
      <c r="Q39" s="190">
        <v>0.99285330000000005</v>
      </c>
      <c r="R39" s="191">
        <v>0.8813742</v>
      </c>
      <c r="S39" s="190">
        <v>0.80510000000000004</v>
      </c>
      <c r="T39" s="190">
        <v>0.82809520000000003</v>
      </c>
      <c r="U39" s="190">
        <v>0.93797200000000003</v>
      </c>
      <c r="V39" s="191">
        <v>0.87961560000000005</v>
      </c>
      <c r="W39" s="190">
        <v>0.74829999999999997</v>
      </c>
      <c r="X39" s="190">
        <v>0.81473019999999996</v>
      </c>
      <c r="Y39" s="190">
        <v>0.86515640000000005</v>
      </c>
      <c r="Z39" s="190">
        <v>0.8391864</v>
      </c>
    </row>
    <row r="40" spans="1:26" ht="17" thickBot="1" x14ac:dyDescent="0.25">
      <c r="A40" s="138"/>
      <c r="B40" s="115"/>
      <c r="C40" s="175"/>
      <c r="D40" s="175"/>
      <c r="E40" s="175"/>
      <c r="F40" s="175"/>
      <c r="G40" s="175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x14ac:dyDescent="0.2">
      <c r="A41" s="214" t="s">
        <v>79</v>
      </c>
      <c r="B41" s="167">
        <v>1</v>
      </c>
      <c r="C41" s="173">
        <v>0.85329999999999995</v>
      </c>
      <c r="D41" s="173">
        <v>0.88045280000000004</v>
      </c>
      <c r="E41" s="173">
        <v>0.93352210000000002</v>
      </c>
      <c r="F41" s="173">
        <v>0.90621110000000005</v>
      </c>
      <c r="G41" s="173">
        <v>0.24879999999999999</v>
      </c>
      <c r="H41" s="190">
        <v>0.83050847000000005</v>
      </c>
      <c r="I41" s="190">
        <v>1.321467E-2</v>
      </c>
      <c r="J41" s="190">
        <v>2.6015400000000001E-2</v>
      </c>
      <c r="K41" s="190">
        <v>0.85699999999999998</v>
      </c>
      <c r="L41" s="190">
        <v>0.88519130000000001</v>
      </c>
      <c r="M41" s="190">
        <v>0.93257820000000002</v>
      </c>
      <c r="N41" s="191">
        <v>0.90826709999999999</v>
      </c>
      <c r="O41" s="190">
        <v>0.2445</v>
      </c>
      <c r="P41" s="190">
        <v>0.83333333300000001</v>
      </c>
      <c r="Q41" s="190">
        <v>6.0679610000000002E-3</v>
      </c>
      <c r="R41" s="190">
        <v>1.2048193E-2</v>
      </c>
      <c r="S41" s="190">
        <v>0.85329999999999995</v>
      </c>
      <c r="T41" s="190">
        <v>0.88045280000000004</v>
      </c>
      <c r="U41" s="190">
        <v>0.93352210000000002</v>
      </c>
      <c r="V41" s="191">
        <v>0.90621110000000005</v>
      </c>
      <c r="W41" s="190">
        <v>0.24360000000000001</v>
      </c>
      <c r="X41" s="190">
        <v>0.66666666699999999</v>
      </c>
      <c r="Y41" s="190">
        <v>7.2815529999999996E-3</v>
      </c>
      <c r="Z41" s="190">
        <v>1.4405762000000001E-2</v>
      </c>
    </row>
    <row r="42" spans="1:26" x14ac:dyDescent="0.2">
      <c r="A42" s="214"/>
      <c r="B42" s="167">
        <v>2</v>
      </c>
      <c r="C42" s="173">
        <v>0.85329999999999995</v>
      </c>
      <c r="D42" s="173">
        <v>0.88045280000000004</v>
      </c>
      <c r="E42" s="173">
        <v>0.93352210000000002</v>
      </c>
      <c r="F42" s="173">
        <v>0.90621110000000005</v>
      </c>
      <c r="G42" s="173">
        <v>0.30470000000000003</v>
      </c>
      <c r="H42" s="190">
        <v>0.73214290000000004</v>
      </c>
      <c r="I42" s="190">
        <v>0.1326861</v>
      </c>
      <c r="J42" s="190">
        <v>0.22465750000000001</v>
      </c>
      <c r="K42" s="190">
        <v>0.85699999999999998</v>
      </c>
      <c r="L42" s="190">
        <v>0.88519130000000001</v>
      </c>
      <c r="M42" s="190">
        <v>0.93257820000000002</v>
      </c>
      <c r="N42" s="191">
        <v>0.90826709999999999</v>
      </c>
      <c r="O42" s="190">
        <v>0.36649999999999999</v>
      </c>
      <c r="P42" s="190">
        <v>0.77533629999999998</v>
      </c>
      <c r="Q42" s="190">
        <v>0.23314460000000001</v>
      </c>
      <c r="R42" s="190">
        <v>0.35849059999999999</v>
      </c>
      <c r="S42" s="190">
        <v>0.85329999999999995</v>
      </c>
      <c r="T42" s="190">
        <v>0.88045280000000004</v>
      </c>
      <c r="U42" s="190">
        <v>0.93352210000000002</v>
      </c>
      <c r="V42" s="191">
        <v>0.90621110000000005</v>
      </c>
      <c r="W42" s="190">
        <v>0.46110000000000001</v>
      </c>
      <c r="X42" s="190">
        <v>0.81665690000000002</v>
      </c>
      <c r="Y42" s="190">
        <v>0.37419089999999999</v>
      </c>
      <c r="Z42" s="190">
        <v>0.5132236</v>
      </c>
    </row>
    <row r="43" spans="1:26" x14ac:dyDescent="0.2">
      <c r="A43" s="214"/>
      <c r="B43" s="167">
        <v>3</v>
      </c>
      <c r="C43" s="173">
        <v>0.85329999999999995</v>
      </c>
      <c r="D43" s="173">
        <v>0.88045280000000004</v>
      </c>
      <c r="E43" s="173">
        <v>0.93352210000000002</v>
      </c>
      <c r="F43" s="173">
        <v>0.90621110000000005</v>
      </c>
      <c r="G43" s="173">
        <v>0.45319999999999999</v>
      </c>
      <c r="H43" s="190">
        <v>0.68147630000000003</v>
      </c>
      <c r="I43" s="190">
        <v>0.5253506</v>
      </c>
      <c r="J43" s="190">
        <v>0.59331460000000003</v>
      </c>
      <c r="K43" s="190">
        <v>0.85699999999999998</v>
      </c>
      <c r="L43" s="190">
        <v>0.88519130000000001</v>
      </c>
      <c r="M43" s="190">
        <v>0.93257820000000002</v>
      </c>
      <c r="N43" s="191">
        <v>0.90826709999999999</v>
      </c>
      <c r="O43" s="190">
        <v>0.58699999999999997</v>
      </c>
      <c r="P43" s="190">
        <v>0.74450550000000004</v>
      </c>
      <c r="Q43" s="190">
        <v>0.69430959999999997</v>
      </c>
      <c r="R43" s="190">
        <v>0.71853199999999995</v>
      </c>
      <c r="S43" s="190">
        <v>0.85329999999999995</v>
      </c>
      <c r="T43" s="190">
        <v>0.88045280000000004</v>
      </c>
      <c r="U43" s="190">
        <v>0.93352210000000002</v>
      </c>
      <c r="V43" s="191">
        <v>0.90621110000000005</v>
      </c>
      <c r="W43" s="190">
        <v>0.76559999999999995</v>
      </c>
      <c r="X43" s="190">
        <v>0.80053940000000001</v>
      </c>
      <c r="Y43" s="190">
        <v>0.92057710000000004</v>
      </c>
      <c r="Z43" s="190">
        <v>0.85637229999999998</v>
      </c>
    </row>
    <row r="44" spans="1:26" x14ac:dyDescent="0.2">
      <c r="A44" s="214"/>
      <c r="B44" s="167">
        <v>4</v>
      </c>
      <c r="C44" s="173">
        <v>0.85329999999999995</v>
      </c>
      <c r="D44" s="173">
        <v>0.88045280000000004</v>
      </c>
      <c r="E44" s="173">
        <v>0.93352210000000002</v>
      </c>
      <c r="F44" s="173">
        <v>0.90621110000000005</v>
      </c>
      <c r="G44" s="173">
        <v>0.7752</v>
      </c>
      <c r="H44" s="170">
        <v>0.77198833</v>
      </c>
      <c r="I44" s="170">
        <v>0.99892124999999998</v>
      </c>
      <c r="J44" s="170">
        <v>0.87091465000000001</v>
      </c>
      <c r="K44" s="170">
        <v>0.85699999999999998</v>
      </c>
      <c r="L44" s="170">
        <v>0.88519130000000001</v>
      </c>
      <c r="M44" s="170">
        <v>0.93257820000000002</v>
      </c>
      <c r="N44" s="169">
        <v>0.90826709999999999</v>
      </c>
      <c r="O44" s="170">
        <v>0.72499999999999998</v>
      </c>
      <c r="P44" s="190">
        <v>0.92156859999999996</v>
      </c>
      <c r="Q44" s="190">
        <v>0.69714129999999996</v>
      </c>
      <c r="R44" s="190">
        <v>0.79379699999999997</v>
      </c>
      <c r="S44" s="190">
        <v>0.85329999999999995</v>
      </c>
      <c r="T44" s="190">
        <v>0.88045280000000004</v>
      </c>
      <c r="U44" s="190">
        <v>0.93352210000000002</v>
      </c>
      <c r="V44" s="191">
        <v>0.90621110000000005</v>
      </c>
      <c r="W44" s="190">
        <v>0.78290000000000004</v>
      </c>
      <c r="X44" s="190">
        <v>0.78114050000000002</v>
      </c>
      <c r="Y44" s="190">
        <v>0.99190940000000005</v>
      </c>
      <c r="Z44" s="190">
        <v>0.87399749999999998</v>
      </c>
    </row>
    <row r="45" spans="1:26" x14ac:dyDescent="0.2">
      <c r="A45" s="214"/>
      <c r="B45" s="167">
        <v>5</v>
      </c>
      <c r="C45" s="173">
        <v>0.85329999999999995</v>
      </c>
      <c r="D45" s="173">
        <v>0.88045280000000004</v>
      </c>
      <c r="E45" s="173">
        <v>0.93352210000000002</v>
      </c>
      <c r="F45" s="173">
        <v>0.90621110000000005</v>
      </c>
      <c r="G45" s="173">
        <v>0.68679999999999997</v>
      </c>
      <c r="H45" s="170">
        <v>0.74229785000000004</v>
      </c>
      <c r="I45" s="170">
        <v>0.89994605999999999</v>
      </c>
      <c r="J45" s="170">
        <v>0.81355518999999998</v>
      </c>
      <c r="K45" s="170">
        <v>0.85699999999999998</v>
      </c>
      <c r="L45" s="170">
        <v>0.88519130000000001</v>
      </c>
      <c r="M45" s="170">
        <v>0.93257820000000002</v>
      </c>
      <c r="N45" s="169">
        <v>0.90826709999999999</v>
      </c>
      <c r="O45" s="170">
        <v>0.7581</v>
      </c>
      <c r="P45" s="190">
        <v>0.75974092699999995</v>
      </c>
      <c r="Q45" s="190">
        <v>0.99649406699999998</v>
      </c>
      <c r="R45" s="190">
        <v>0.86215948200000003</v>
      </c>
      <c r="S45" s="190">
        <v>0.85329999999999995</v>
      </c>
      <c r="T45" s="190">
        <v>0.88045280000000004</v>
      </c>
      <c r="U45" s="190">
        <v>0.93352210000000002</v>
      </c>
      <c r="V45" s="191">
        <v>0.90621110000000005</v>
      </c>
      <c r="W45" s="190">
        <v>0.76290000000000002</v>
      </c>
      <c r="X45" s="190">
        <v>0.76898734000000002</v>
      </c>
      <c r="Y45" s="190">
        <v>0.98300971000000004</v>
      </c>
      <c r="Z45" s="190">
        <v>0.86292614000000001</v>
      </c>
    </row>
    <row r="46" spans="1:26" x14ac:dyDescent="0.2">
      <c r="A46" s="130"/>
      <c r="B46" s="167"/>
      <c r="C46" s="173"/>
      <c r="D46" s="173"/>
      <c r="E46" s="173"/>
      <c r="F46" s="173"/>
      <c r="G46" s="173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spans="1:26" x14ac:dyDescent="0.2">
      <c r="A47" s="214" t="s">
        <v>80</v>
      </c>
      <c r="B47" s="167">
        <v>1</v>
      </c>
      <c r="C47" s="173">
        <v>0.24879999999999999</v>
      </c>
      <c r="D47" s="173">
        <v>0.88045280000000004</v>
      </c>
      <c r="E47" s="173">
        <v>0.93352210000000002</v>
      </c>
      <c r="F47" s="173">
        <v>0.90621110000000005</v>
      </c>
      <c r="G47" s="173">
        <v>0.85070000000000001</v>
      </c>
      <c r="H47" s="190">
        <v>0.87368290000000004</v>
      </c>
      <c r="I47" s="191">
        <v>0.93918550000000001</v>
      </c>
      <c r="J47" s="190">
        <v>0.90525080000000002</v>
      </c>
      <c r="K47" s="190">
        <v>0.85699999999999998</v>
      </c>
      <c r="L47" s="190">
        <v>0.88519130000000001</v>
      </c>
      <c r="M47" s="190">
        <v>0.93257820000000002</v>
      </c>
      <c r="N47" s="190">
        <v>0.90826709999999999</v>
      </c>
      <c r="O47" s="190">
        <v>0.85760000000000003</v>
      </c>
      <c r="P47" s="190">
        <v>0.87974280000000005</v>
      </c>
      <c r="Q47" s="190">
        <v>0.94107339999999995</v>
      </c>
      <c r="R47" s="191">
        <v>0.90937520000000005</v>
      </c>
      <c r="S47" s="190">
        <v>0.85329999999999995</v>
      </c>
      <c r="T47" s="190">
        <v>0.88045280000000004</v>
      </c>
      <c r="U47" s="190">
        <v>0.93352210000000002</v>
      </c>
      <c r="V47" s="191">
        <v>0.90621110000000005</v>
      </c>
      <c r="W47" s="190">
        <v>0.85189999999999999</v>
      </c>
      <c r="X47" s="190">
        <v>0.87441979999999997</v>
      </c>
      <c r="Y47" s="190">
        <v>0.93985980000000002</v>
      </c>
      <c r="Z47" s="190">
        <v>0.90595959999999998</v>
      </c>
    </row>
    <row r="48" spans="1:26" x14ac:dyDescent="0.2">
      <c r="A48" s="214"/>
      <c r="B48" s="167">
        <v>2</v>
      </c>
      <c r="C48" s="173">
        <v>0.30470000000000003</v>
      </c>
      <c r="D48" s="173">
        <v>0.88045280000000004</v>
      </c>
      <c r="E48" s="173">
        <v>0.93352210000000002</v>
      </c>
      <c r="F48" s="173">
        <v>0.90621110000000005</v>
      </c>
      <c r="G48" s="173">
        <v>0.84489999999999998</v>
      </c>
      <c r="H48" s="190">
        <v>0.87400180000000005</v>
      </c>
      <c r="I48" s="191">
        <v>0.92974650000000003</v>
      </c>
      <c r="J48" s="190">
        <v>0.9010127</v>
      </c>
      <c r="K48" s="190">
        <v>0.85699999999999998</v>
      </c>
      <c r="L48" s="190">
        <v>0.88519130000000001</v>
      </c>
      <c r="M48" s="190">
        <v>0.93257820000000002</v>
      </c>
      <c r="N48" s="191">
        <v>0.90826709999999999</v>
      </c>
      <c r="O48" s="190">
        <v>0.84850000000000003</v>
      </c>
      <c r="P48" s="190">
        <v>0.87789660000000003</v>
      </c>
      <c r="Q48" s="190">
        <v>0.92974650000000003</v>
      </c>
      <c r="R48" s="190">
        <v>0.90307789999999999</v>
      </c>
      <c r="S48" s="190">
        <v>0.85329999999999995</v>
      </c>
      <c r="T48" s="190">
        <v>0.88045280000000004</v>
      </c>
      <c r="U48" s="190">
        <v>0.93352210000000002</v>
      </c>
      <c r="V48" s="191">
        <v>0.90621110000000005</v>
      </c>
      <c r="W48" s="190">
        <v>0.8458</v>
      </c>
      <c r="X48" s="190">
        <v>0.87433490000000003</v>
      </c>
      <c r="Y48" s="190">
        <v>0.93069040000000003</v>
      </c>
      <c r="Z48" s="190">
        <v>0.90163289999999996</v>
      </c>
    </row>
    <row r="49" spans="1:26" x14ac:dyDescent="0.2">
      <c r="A49" s="214"/>
      <c r="B49" s="167">
        <v>3</v>
      </c>
      <c r="C49" s="173">
        <v>0.45319999999999999</v>
      </c>
      <c r="D49" s="173">
        <v>0.88045280000000004</v>
      </c>
      <c r="E49" s="173">
        <v>0.93352210000000002</v>
      </c>
      <c r="F49" s="173">
        <v>0.90621110000000005</v>
      </c>
      <c r="G49" s="173">
        <v>0.83489999999999998</v>
      </c>
      <c r="H49" s="190">
        <v>0.87863760000000002</v>
      </c>
      <c r="I49" s="191">
        <v>0.90790179999999998</v>
      </c>
      <c r="J49" s="190">
        <v>0.89302999999999999</v>
      </c>
      <c r="K49" s="190">
        <v>0.85699999999999998</v>
      </c>
      <c r="L49" s="190">
        <v>0.88519130000000001</v>
      </c>
      <c r="M49" s="190">
        <v>0.93257820000000002</v>
      </c>
      <c r="N49" s="191">
        <v>0.90826709999999999</v>
      </c>
      <c r="O49" s="190">
        <v>0.84340000000000004</v>
      </c>
      <c r="P49" s="190">
        <v>0.88350269999999997</v>
      </c>
      <c r="Q49" s="190">
        <v>0.91423949999999998</v>
      </c>
      <c r="R49" s="190">
        <v>0.89860830000000003</v>
      </c>
      <c r="S49" s="190">
        <v>0.85329999999999995</v>
      </c>
      <c r="T49" s="190">
        <v>0.88045280000000004</v>
      </c>
      <c r="U49" s="190">
        <v>0.93352210000000002</v>
      </c>
      <c r="V49" s="191">
        <v>0.90621110000000005</v>
      </c>
      <c r="W49" s="190">
        <v>0.83819999999999995</v>
      </c>
      <c r="X49" s="190">
        <v>0.87945379999999995</v>
      </c>
      <c r="Y49" s="190">
        <v>0.91194710000000001</v>
      </c>
      <c r="Z49" s="190">
        <v>0.89540580000000003</v>
      </c>
    </row>
    <row r="50" spans="1:26" x14ac:dyDescent="0.2">
      <c r="A50" s="214"/>
      <c r="B50" s="167">
        <v>4</v>
      </c>
      <c r="C50" s="173">
        <v>0.7752</v>
      </c>
      <c r="D50" s="173">
        <v>0.88045280000000004</v>
      </c>
      <c r="E50" s="173">
        <v>0.93352210000000002</v>
      </c>
      <c r="F50" s="173">
        <v>0.90621110000000005</v>
      </c>
      <c r="G50" s="173">
        <v>0.8266</v>
      </c>
      <c r="H50" s="190">
        <v>0.8858916</v>
      </c>
      <c r="I50" s="190">
        <v>0.88565260000000001</v>
      </c>
      <c r="J50" s="190">
        <v>0.88577209999999995</v>
      </c>
      <c r="K50" s="190">
        <v>0.85699999999999998</v>
      </c>
      <c r="L50" s="190">
        <v>0.88519130000000001</v>
      </c>
      <c r="M50" s="190">
        <v>0.93257820000000002</v>
      </c>
      <c r="N50" s="191">
        <v>0.90826709999999999</v>
      </c>
      <c r="O50" s="190">
        <v>0.82830000000000004</v>
      </c>
      <c r="P50" s="190">
        <v>0.88584110000000005</v>
      </c>
      <c r="Q50" s="190">
        <v>0.88834950000000001</v>
      </c>
      <c r="R50" s="190">
        <v>0.88709349999999998</v>
      </c>
      <c r="S50" s="190">
        <v>0.85329999999999995</v>
      </c>
      <c r="T50" s="190">
        <v>0.88045280000000004</v>
      </c>
      <c r="U50" s="190">
        <v>0.93352210000000002</v>
      </c>
      <c r="V50" s="191">
        <v>0.90621110000000005</v>
      </c>
      <c r="W50" s="190">
        <v>0.78169999999999995</v>
      </c>
      <c r="X50" s="190">
        <v>0.79349029999999998</v>
      </c>
      <c r="Y50" s="190">
        <v>0.96318769999999998</v>
      </c>
      <c r="Z50" s="190">
        <v>0.87014250000000004</v>
      </c>
    </row>
    <row r="51" spans="1:26" x14ac:dyDescent="0.2">
      <c r="A51" s="214"/>
      <c r="B51" s="167">
        <v>5</v>
      </c>
      <c r="C51" s="173">
        <v>0.68679999999999997</v>
      </c>
      <c r="D51" s="173">
        <v>0.88045280000000004</v>
      </c>
      <c r="E51" s="173">
        <v>0.93352210000000002</v>
      </c>
      <c r="F51" s="173">
        <v>0.90621110000000005</v>
      </c>
      <c r="G51" s="173">
        <v>0.81399999999999995</v>
      </c>
      <c r="H51" s="170">
        <v>0.88187150000000003</v>
      </c>
      <c r="I51" s="170">
        <v>0.87176379999999998</v>
      </c>
      <c r="J51" s="170">
        <v>0.87678849999999997</v>
      </c>
      <c r="K51" s="170">
        <v>0.85699999999999998</v>
      </c>
      <c r="L51" s="170">
        <v>0.88519130000000001</v>
      </c>
      <c r="M51" s="170">
        <v>0.93257820000000002</v>
      </c>
      <c r="N51" s="169">
        <v>0.90826709999999999</v>
      </c>
      <c r="O51" s="170">
        <v>0.82210000000000005</v>
      </c>
      <c r="P51" s="190">
        <v>0.88468829999999998</v>
      </c>
      <c r="Q51" s="190">
        <v>0.88039369999999995</v>
      </c>
      <c r="R51" s="190">
        <v>0.88253579999999998</v>
      </c>
      <c r="S51" s="190">
        <v>0.85329999999999995</v>
      </c>
      <c r="T51" s="190">
        <v>0.88045280000000004</v>
      </c>
      <c r="U51" s="190">
        <v>0.93352210000000002</v>
      </c>
      <c r="V51" s="191">
        <v>0.90621110000000005</v>
      </c>
      <c r="W51" s="190">
        <v>0.81989999999999996</v>
      </c>
      <c r="X51" s="190">
        <v>0.87819230000000004</v>
      </c>
      <c r="Y51" s="190">
        <v>0.88565260000000001</v>
      </c>
      <c r="Z51" s="190">
        <v>0.88190670000000004</v>
      </c>
    </row>
    <row r="52" spans="1:26" ht="17" thickBot="1" x14ac:dyDescent="0.25">
      <c r="A52" s="138"/>
      <c r="B52" s="115"/>
      <c r="C52" s="175"/>
      <c r="D52" s="175"/>
      <c r="E52" s="175"/>
      <c r="F52" s="175"/>
      <c r="G52" s="175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spans="1:26" x14ac:dyDescent="0.2">
      <c r="A53" s="214" t="s">
        <v>81</v>
      </c>
      <c r="B53" s="167">
        <v>1</v>
      </c>
      <c r="C53" s="173">
        <v>0.77280000000000004</v>
      </c>
      <c r="D53" s="173">
        <v>0.76969381999999997</v>
      </c>
      <c r="E53" s="173">
        <v>1</v>
      </c>
      <c r="F53" s="173">
        <v>0.86986101000000005</v>
      </c>
      <c r="G53" s="173">
        <v>0.24079999999999999</v>
      </c>
      <c r="H53" s="190" t="s">
        <v>24</v>
      </c>
      <c r="I53" s="190" t="s">
        <v>24</v>
      </c>
      <c r="J53" s="190" t="s">
        <v>24</v>
      </c>
      <c r="K53" s="190">
        <v>0.77510000000000001</v>
      </c>
      <c r="L53" s="190">
        <v>0.77145532000000006</v>
      </c>
      <c r="M53" s="190">
        <v>1</v>
      </c>
      <c r="N53" s="190">
        <v>0.87098478999999995</v>
      </c>
      <c r="O53" s="190">
        <v>0.24079999999999999</v>
      </c>
      <c r="P53" s="190" t="s">
        <v>24</v>
      </c>
      <c r="Q53" s="190" t="s">
        <v>24</v>
      </c>
      <c r="R53" s="190" t="s">
        <v>24</v>
      </c>
      <c r="S53" s="190">
        <v>0.77280000000000004</v>
      </c>
      <c r="T53" s="190">
        <v>0.76969381999999997</v>
      </c>
      <c r="U53" s="190">
        <v>1</v>
      </c>
      <c r="V53" s="190">
        <v>0.86986101000000005</v>
      </c>
      <c r="W53" s="190">
        <v>0.24079999999999999</v>
      </c>
      <c r="X53" s="190" t="s">
        <v>24</v>
      </c>
      <c r="Y53" s="190" t="s">
        <v>24</v>
      </c>
      <c r="Z53" s="190" t="s">
        <v>24</v>
      </c>
    </row>
    <row r="54" spans="1:26" x14ac:dyDescent="0.2">
      <c r="A54" s="214"/>
      <c r="B54" s="167">
        <v>2</v>
      </c>
      <c r="C54" s="173">
        <v>0.77280000000000004</v>
      </c>
      <c r="D54" s="173">
        <v>0.76969381999999997</v>
      </c>
      <c r="E54" s="173">
        <v>1</v>
      </c>
      <c r="F54" s="173">
        <v>0.86986101000000005</v>
      </c>
      <c r="G54" s="173">
        <v>0.24079999999999999</v>
      </c>
      <c r="H54" s="170" t="s">
        <v>24</v>
      </c>
      <c r="I54" s="170">
        <v>1</v>
      </c>
      <c r="J54" s="170" t="s">
        <v>24</v>
      </c>
      <c r="K54" s="170">
        <v>0.77510000000000001</v>
      </c>
      <c r="L54" s="170">
        <v>0.77145532000000006</v>
      </c>
      <c r="M54" s="170">
        <v>1</v>
      </c>
      <c r="N54" s="170">
        <v>0.87098478999999995</v>
      </c>
      <c r="O54" s="170">
        <v>0.4466</v>
      </c>
      <c r="P54" s="190">
        <v>0.69194040000000001</v>
      </c>
      <c r="Q54" s="190">
        <v>0.48853829999999998</v>
      </c>
      <c r="R54" s="190">
        <v>0.5727158</v>
      </c>
      <c r="S54" s="190">
        <v>0.77280000000000004</v>
      </c>
      <c r="T54" s="190">
        <v>0.76969381999999997</v>
      </c>
      <c r="U54" s="190">
        <v>1</v>
      </c>
      <c r="V54" s="190">
        <v>0.86986101000000005</v>
      </c>
      <c r="W54" s="190">
        <v>0.76339999999999997</v>
      </c>
      <c r="X54" s="190">
        <v>0.76279213000000001</v>
      </c>
      <c r="Y54" s="190">
        <v>0.99905608999999995</v>
      </c>
      <c r="Z54" s="190">
        <v>0.86508260999999997</v>
      </c>
    </row>
    <row r="55" spans="1:26" x14ac:dyDescent="0.2">
      <c r="A55" s="214"/>
      <c r="B55" s="167">
        <v>3</v>
      </c>
      <c r="C55" s="173">
        <v>0.77280000000000004</v>
      </c>
      <c r="D55" s="173">
        <v>0.76969381999999997</v>
      </c>
      <c r="E55" s="173">
        <v>1</v>
      </c>
      <c r="F55" s="173">
        <v>0.86986101000000005</v>
      </c>
      <c r="G55" s="173">
        <v>0.76129999999999998</v>
      </c>
      <c r="H55" s="190">
        <v>0.76077143999999997</v>
      </c>
      <c r="I55" s="190">
        <v>1</v>
      </c>
      <c r="J55" s="190">
        <v>0.864134234</v>
      </c>
      <c r="K55" s="190">
        <v>0.77510000000000001</v>
      </c>
      <c r="L55" s="190">
        <v>0.77145532000000006</v>
      </c>
      <c r="M55" s="190">
        <v>1</v>
      </c>
      <c r="N55" s="190">
        <v>0.87098478999999995</v>
      </c>
      <c r="O55" s="190">
        <v>0.76</v>
      </c>
      <c r="P55" s="190">
        <v>0.75983606599999998</v>
      </c>
      <c r="Q55" s="190">
        <v>1</v>
      </c>
      <c r="R55" s="190">
        <v>0.86353050799999997</v>
      </c>
      <c r="S55" s="190">
        <v>0.77280000000000004</v>
      </c>
      <c r="T55" s="190">
        <v>0.76969381999999997</v>
      </c>
      <c r="U55" s="190">
        <v>1</v>
      </c>
      <c r="V55" s="190">
        <v>0.86986101000000005</v>
      </c>
      <c r="W55" s="190">
        <v>0.77429999999999999</v>
      </c>
      <c r="X55" s="190">
        <v>0.77081379999999999</v>
      </c>
      <c r="Y55" s="190">
        <v>1</v>
      </c>
      <c r="Z55" s="190">
        <v>0.87057580000000001</v>
      </c>
    </row>
    <row r="56" spans="1:26" x14ac:dyDescent="0.2">
      <c r="A56" s="214"/>
      <c r="B56" s="167">
        <v>4</v>
      </c>
      <c r="C56" s="173">
        <v>0.77280000000000004</v>
      </c>
      <c r="D56" s="173">
        <v>0.76969381999999997</v>
      </c>
      <c r="E56" s="173">
        <v>1</v>
      </c>
      <c r="F56" s="173">
        <v>0.86986101000000005</v>
      </c>
      <c r="G56" s="173">
        <v>0.75919999999999999</v>
      </c>
      <c r="H56" s="170">
        <v>0.75921380000000005</v>
      </c>
      <c r="I56" s="170">
        <v>1</v>
      </c>
      <c r="J56" s="170">
        <v>0.86312849999999997</v>
      </c>
      <c r="K56" s="170">
        <v>0.77510000000000001</v>
      </c>
      <c r="L56" s="170">
        <v>0.77145532000000006</v>
      </c>
      <c r="M56" s="170">
        <v>1</v>
      </c>
      <c r="N56" s="170">
        <v>0.87098478999999995</v>
      </c>
      <c r="O56" s="170">
        <v>0.75919999999999999</v>
      </c>
      <c r="P56" s="190">
        <v>0.75921380000000005</v>
      </c>
      <c r="Q56" s="190">
        <v>1</v>
      </c>
      <c r="R56" s="190">
        <v>0.86312849999999997</v>
      </c>
      <c r="S56" s="190">
        <v>0.77280000000000004</v>
      </c>
      <c r="T56" s="190">
        <v>0.76969381999999997</v>
      </c>
      <c r="U56" s="190">
        <v>1</v>
      </c>
      <c r="V56" s="190">
        <v>0.86986101000000005</v>
      </c>
      <c r="W56" s="190">
        <v>0.75919999999999999</v>
      </c>
      <c r="X56" s="190">
        <v>0.75921380000000005</v>
      </c>
      <c r="Y56" s="190">
        <v>1</v>
      </c>
      <c r="Z56" s="190">
        <v>0.86312849999999997</v>
      </c>
    </row>
    <row r="57" spans="1:26" x14ac:dyDescent="0.2">
      <c r="A57" s="214"/>
      <c r="B57" s="167">
        <v>5</v>
      </c>
      <c r="C57" s="173">
        <v>0.77280000000000004</v>
      </c>
      <c r="D57" s="173">
        <v>0.76969381999999997</v>
      </c>
      <c r="E57" s="173">
        <v>1</v>
      </c>
      <c r="F57" s="173">
        <v>0.86986101000000005</v>
      </c>
      <c r="G57" s="173">
        <v>0.75919999999999999</v>
      </c>
      <c r="H57" s="170">
        <v>0.75921380000000005</v>
      </c>
      <c r="I57" s="170">
        <v>1</v>
      </c>
      <c r="J57" s="170">
        <v>0.86312849999999997</v>
      </c>
      <c r="K57" s="170">
        <v>0.77510000000000001</v>
      </c>
      <c r="L57" s="170">
        <v>0.77145532000000006</v>
      </c>
      <c r="M57" s="170">
        <v>1</v>
      </c>
      <c r="N57" s="170">
        <v>0.87098478999999995</v>
      </c>
      <c r="O57" s="170">
        <v>0.75919999999999999</v>
      </c>
      <c r="P57" s="190">
        <v>0.75921380000000005</v>
      </c>
      <c r="Q57" s="190">
        <v>1</v>
      </c>
      <c r="R57" s="190">
        <v>0.86312849999999997</v>
      </c>
      <c r="S57" s="190">
        <v>0.77280000000000004</v>
      </c>
      <c r="T57" s="190">
        <v>0.76969381999999997</v>
      </c>
      <c r="U57" s="190">
        <v>1</v>
      </c>
      <c r="V57" s="190">
        <v>0.86986101000000005</v>
      </c>
      <c r="W57" s="190">
        <v>0.75919999999999999</v>
      </c>
      <c r="X57" s="190">
        <v>0.75921380000000005</v>
      </c>
      <c r="Y57" s="190">
        <v>1</v>
      </c>
      <c r="Z57" s="190">
        <v>0.86312849999999997</v>
      </c>
    </row>
    <row r="58" spans="1:26" x14ac:dyDescent="0.2">
      <c r="A58" s="130"/>
      <c r="B58" s="167"/>
      <c r="C58" s="173"/>
      <c r="D58" s="173"/>
      <c r="E58" s="173"/>
      <c r="F58" s="173"/>
      <c r="G58" s="173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spans="1:26" x14ac:dyDescent="0.2">
      <c r="A59" s="214" t="s">
        <v>82</v>
      </c>
      <c r="B59" s="167">
        <v>1</v>
      </c>
      <c r="C59" s="173">
        <v>0.77280000000000004</v>
      </c>
      <c r="D59" s="173">
        <v>0.76969381999999997</v>
      </c>
      <c r="E59" s="173">
        <v>1</v>
      </c>
      <c r="F59" s="173">
        <v>0.86986101000000005</v>
      </c>
      <c r="G59" s="173">
        <v>0.7742</v>
      </c>
      <c r="H59" s="190" t="s">
        <v>24</v>
      </c>
      <c r="I59" s="191" t="s">
        <v>24</v>
      </c>
      <c r="J59" s="190" t="s">
        <v>24</v>
      </c>
      <c r="K59" s="190">
        <v>0.77510000000000001</v>
      </c>
      <c r="L59" s="190">
        <v>0.77145532000000006</v>
      </c>
      <c r="M59" s="190">
        <v>1</v>
      </c>
      <c r="N59" s="190">
        <v>0.87098478999999995</v>
      </c>
      <c r="O59" s="190">
        <v>0.77339999999999998</v>
      </c>
      <c r="P59" s="190" t="s">
        <v>24</v>
      </c>
      <c r="Q59" s="191" t="s">
        <v>24</v>
      </c>
      <c r="R59" s="190" t="s">
        <v>24</v>
      </c>
      <c r="S59" s="190">
        <v>0.77280000000000004</v>
      </c>
      <c r="T59" s="190">
        <v>0.76969381999999997</v>
      </c>
      <c r="U59" s="190">
        <v>1</v>
      </c>
      <c r="V59" s="190">
        <v>0.86986101000000005</v>
      </c>
      <c r="W59" s="190">
        <v>0.7631</v>
      </c>
      <c r="X59" s="190" t="s">
        <v>24</v>
      </c>
      <c r="Y59" s="191" t="s">
        <v>24</v>
      </c>
      <c r="Z59" s="190" t="s">
        <v>24</v>
      </c>
    </row>
    <row r="60" spans="1:26" x14ac:dyDescent="0.2">
      <c r="A60" s="214"/>
      <c r="B60" s="167">
        <v>2</v>
      </c>
      <c r="C60" s="173">
        <v>0.77280000000000004</v>
      </c>
      <c r="D60" s="173">
        <v>0.76969381999999997</v>
      </c>
      <c r="E60" s="173">
        <v>1</v>
      </c>
      <c r="F60" s="173">
        <v>0.86986101000000005</v>
      </c>
      <c r="G60" s="173">
        <v>0.24079999999999999</v>
      </c>
      <c r="H60" s="170" t="s">
        <v>24</v>
      </c>
      <c r="I60" s="170">
        <v>0</v>
      </c>
      <c r="J60" s="170" t="s">
        <v>24</v>
      </c>
      <c r="K60" s="170">
        <v>0.77510000000000001</v>
      </c>
      <c r="L60" s="170">
        <v>0.77145532000000006</v>
      </c>
      <c r="M60" s="170">
        <v>1</v>
      </c>
      <c r="N60" s="170">
        <v>0.87098478999999995</v>
      </c>
      <c r="O60" s="170">
        <v>0.4466</v>
      </c>
      <c r="P60" s="190">
        <v>0.69194040000000001</v>
      </c>
      <c r="Q60" s="190">
        <v>0.48853829999999998</v>
      </c>
      <c r="R60" s="190">
        <v>0.5727158</v>
      </c>
      <c r="S60" s="190">
        <v>0.77280000000000004</v>
      </c>
      <c r="T60" s="190">
        <v>0.76969381999999997</v>
      </c>
      <c r="U60" s="190">
        <v>1</v>
      </c>
      <c r="V60" s="190">
        <v>0.86986101000000005</v>
      </c>
      <c r="W60" s="190">
        <v>0.76339999999999997</v>
      </c>
      <c r="X60" s="190">
        <v>0.76279213000000001</v>
      </c>
      <c r="Y60" s="190">
        <v>0.99905608999999995</v>
      </c>
      <c r="Z60" s="190">
        <v>0.86508260999999997</v>
      </c>
    </row>
    <row r="61" spans="1:26" x14ac:dyDescent="0.2">
      <c r="A61" s="214"/>
      <c r="B61" s="167">
        <v>3</v>
      </c>
      <c r="C61" s="173">
        <v>0.77280000000000004</v>
      </c>
      <c r="D61" s="173">
        <v>0.76969381999999997</v>
      </c>
      <c r="E61" s="173">
        <v>1</v>
      </c>
      <c r="F61" s="173">
        <v>0.86986101000000005</v>
      </c>
      <c r="G61" s="173">
        <v>0.76129999999999998</v>
      </c>
      <c r="H61" s="190">
        <v>1</v>
      </c>
      <c r="I61" s="190">
        <v>0.864134234</v>
      </c>
      <c r="J61" s="190" t="s">
        <v>24</v>
      </c>
      <c r="K61" s="190">
        <v>0.77510000000000001</v>
      </c>
      <c r="L61" s="190">
        <v>0.77145532000000006</v>
      </c>
      <c r="M61" s="190">
        <v>1</v>
      </c>
      <c r="N61" s="190">
        <v>0.87098478999999995</v>
      </c>
      <c r="O61" s="190">
        <v>0.76</v>
      </c>
      <c r="P61" s="190">
        <v>0.75983606599999998</v>
      </c>
      <c r="Q61" s="190">
        <v>1</v>
      </c>
      <c r="R61" s="190">
        <v>0.86353050799999997</v>
      </c>
      <c r="S61" s="190">
        <v>0.77280000000000004</v>
      </c>
      <c r="T61" s="190">
        <v>0.76969381999999997</v>
      </c>
      <c r="U61" s="190">
        <v>1</v>
      </c>
      <c r="V61" s="190">
        <v>0.86986101000000005</v>
      </c>
      <c r="W61" s="190">
        <v>0.77429999999999999</v>
      </c>
      <c r="X61" s="190">
        <v>0.77081379999999999</v>
      </c>
      <c r="Y61" s="190">
        <v>1</v>
      </c>
      <c r="Z61" s="191">
        <v>0.87057580000000001</v>
      </c>
    </row>
    <row r="62" spans="1:26" x14ac:dyDescent="0.2">
      <c r="A62" s="214"/>
      <c r="B62" s="167">
        <v>4</v>
      </c>
      <c r="C62" s="173">
        <v>0.77280000000000004</v>
      </c>
      <c r="D62" s="173">
        <v>0.76969381999999997</v>
      </c>
      <c r="E62" s="173">
        <v>1</v>
      </c>
      <c r="F62" s="173">
        <v>0.86986101000000005</v>
      </c>
      <c r="G62" s="173">
        <v>0.75919999999999999</v>
      </c>
      <c r="H62" s="190">
        <v>0.75921380000000005</v>
      </c>
      <c r="I62" s="190">
        <v>1</v>
      </c>
      <c r="J62" s="190">
        <v>0.86312800000000001</v>
      </c>
      <c r="K62" s="190">
        <v>0.77510000000000001</v>
      </c>
      <c r="L62" s="190">
        <v>0.77145532000000006</v>
      </c>
      <c r="M62" s="190">
        <v>1</v>
      </c>
      <c r="N62" s="190">
        <v>0.87098478999999995</v>
      </c>
      <c r="O62" s="190">
        <v>0.75919999999999999</v>
      </c>
      <c r="P62" s="190">
        <v>0.75921380000000005</v>
      </c>
      <c r="Q62" s="190">
        <v>1</v>
      </c>
      <c r="R62" s="190">
        <v>0.86312849999999997</v>
      </c>
      <c r="S62" s="190">
        <v>0.77280000000000004</v>
      </c>
      <c r="T62" s="190">
        <v>0.76969381999999997</v>
      </c>
      <c r="U62" s="190">
        <v>1</v>
      </c>
      <c r="V62" s="190">
        <v>0.86986101000000005</v>
      </c>
      <c r="W62" s="190">
        <v>0.75919999999999999</v>
      </c>
      <c r="X62" s="190">
        <v>0.75921380000000005</v>
      </c>
      <c r="Y62" s="190">
        <v>1</v>
      </c>
      <c r="Z62" s="190">
        <v>0.86312849999999997</v>
      </c>
    </row>
    <row r="63" spans="1:26" ht="17" thickBot="1" x14ac:dyDescent="0.25">
      <c r="A63" s="213"/>
      <c r="B63" s="115">
        <v>5</v>
      </c>
      <c r="C63" s="175">
        <v>0.77280000000000004</v>
      </c>
      <c r="D63" s="175">
        <v>0.76969381999999997</v>
      </c>
      <c r="E63" s="175">
        <v>1</v>
      </c>
      <c r="F63" s="175">
        <v>0.86986101000000005</v>
      </c>
      <c r="G63" s="175">
        <v>0.75919999999999999</v>
      </c>
      <c r="H63" s="164">
        <v>0.75921380000000005</v>
      </c>
      <c r="I63" s="164">
        <v>1</v>
      </c>
      <c r="J63" s="164">
        <v>0.86312849999999997</v>
      </c>
      <c r="K63" s="164">
        <v>0.77510000000000001</v>
      </c>
      <c r="L63" s="164">
        <v>0.77145532000000006</v>
      </c>
      <c r="M63" s="164">
        <v>1</v>
      </c>
      <c r="N63" s="164">
        <v>0.87098478999999995</v>
      </c>
      <c r="O63" s="164">
        <v>0.75919999999999999</v>
      </c>
      <c r="P63" s="164">
        <v>0.75921380000000005</v>
      </c>
      <c r="Q63" s="164">
        <v>1</v>
      </c>
      <c r="R63" s="164">
        <v>0.86312849999999997</v>
      </c>
      <c r="S63" s="164">
        <v>0.77280000000000004</v>
      </c>
      <c r="T63" s="164">
        <v>0.76969381999999997</v>
      </c>
      <c r="U63" s="164">
        <v>1</v>
      </c>
      <c r="V63" s="164">
        <v>0.86986101000000005</v>
      </c>
      <c r="W63" s="164">
        <v>0.75919999999999999</v>
      </c>
      <c r="X63" s="163">
        <v>0.75921380000000005</v>
      </c>
      <c r="Y63" s="163">
        <v>1</v>
      </c>
      <c r="Z63" s="163">
        <v>0.86312849999999997</v>
      </c>
    </row>
  </sheetData>
  <mergeCells count="15">
    <mergeCell ref="A5:A9"/>
    <mergeCell ref="A1:Z1"/>
    <mergeCell ref="C2:Z2"/>
    <mergeCell ref="C3:J3"/>
    <mergeCell ref="K3:R3"/>
    <mergeCell ref="S3:Z3"/>
    <mergeCell ref="A47:A51"/>
    <mergeCell ref="A53:A57"/>
    <mergeCell ref="A59:A63"/>
    <mergeCell ref="A11:A15"/>
    <mergeCell ref="A17:A21"/>
    <mergeCell ref="A23:A27"/>
    <mergeCell ref="A29:A33"/>
    <mergeCell ref="A35:A39"/>
    <mergeCell ref="A41:A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F6DD-9E10-C441-AE8F-741134A08E29}">
  <dimension ref="A1:AC64"/>
  <sheetViews>
    <sheetView showGridLines="0" workbookViewId="0">
      <selection activeCell="C4" sqref="C4:Z4"/>
    </sheetView>
  </sheetViews>
  <sheetFormatPr baseColWidth="10" defaultRowHeight="16" x14ac:dyDescent="0.2"/>
  <cols>
    <col min="1" max="1" width="29.1640625" customWidth="1"/>
  </cols>
  <sheetData>
    <row r="1" spans="1:29" ht="17" thickBot="1" x14ac:dyDescent="0.25">
      <c r="A1" s="211" t="s">
        <v>198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 spans="1:29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29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/>
      <c r="J3" s="222"/>
      <c r="K3" s="222" t="s">
        <v>84</v>
      </c>
      <c r="L3" s="222"/>
      <c r="M3" s="222"/>
      <c r="N3" s="222"/>
      <c r="O3" s="222"/>
      <c r="P3" s="222"/>
      <c r="Q3" s="222"/>
      <c r="R3" s="222"/>
      <c r="S3" s="222" t="s">
        <v>85</v>
      </c>
      <c r="T3" s="222"/>
      <c r="U3" s="222"/>
      <c r="V3" s="222"/>
      <c r="W3" s="222"/>
      <c r="X3" s="222"/>
      <c r="Y3" s="222"/>
      <c r="Z3" s="222"/>
    </row>
    <row r="4" spans="1:29" ht="52" thickBot="1" x14ac:dyDescent="0.25">
      <c r="A4" s="138" t="s">
        <v>123</v>
      </c>
      <c r="B4" s="115" t="s">
        <v>44</v>
      </c>
      <c r="C4" s="174" t="s">
        <v>193</v>
      </c>
      <c r="D4" s="174" t="s">
        <v>511</v>
      </c>
      <c r="E4" s="174" t="s">
        <v>512</v>
      </c>
      <c r="F4" s="174" t="s">
        <v>513</v>
      </c>
      <c r="G4" s="174" t="s">
        <v>194</v>
      </c>
      <c r="H4" s="174" t="s">
        <v>508</v>
      </c>
      <c r="I4" s="174" t="s">
        <v>509</v>
      </c>
      <c r="J4" s="174" t="s">
        <v>510</v>
      </c>
      <c r="K4" s="174" t="s">
        <v>193</v>
      </c>
      <c r="L4" s="174" t="s">
        <v>511</v>
      </c>
      <c r="M4" s="174" t="s">
        <v>512</v>
      </c>
      <c r="N4" s="174" t="s">
        <v>513</v>
      </c>
      <c r="O4" s="174" t="s">
        <v>194</v>
      </c>
      <c r="P4" s="174" t="s">
        <v>508</v>
      </c>
      <c r="Q4" s="174" t="s">
        <v>509</v>
      </c>
      <c r="R4" s="174" t="s">
        <v>510</v>
      </c>
      <c r="S4" s="174" t="s">
        <v>193</v>
      </c>
      <c r="T4" s="174" t="s">
        <v>511</v>
      </c>
      <c r="U4" s="174" t="s">
        <v>512</v>
      </c>
      <c r="V4" s="174" t="s">
        <v>513</v>
      </c>
      <c r="W4" s="174" t="s">
        <v>194</v>
      </c>
      <c r="X4" s="174" t="s">
        <v>508</v>
      </c>
      <c r="Y4" s="174" t="s">
        <v>509</v>
      </c>
      <c r="Z4" s="174" t="s">
        <v>510</v>
      </c>
    </row>
    <row r="5" spans="1:29" x14ac:dyDescent="0.2">
      <c r="A5" s="214" t="s">
        <v>73</v>
      </c>
      <c r="B5" s="167">
        <v>1</v>
      </c>
      <c r="C5" s="173">
        <v>0.97970000000000002</v>
      </c>
      <c r="D5" s="173">
        <v>0.98378489999999996</v>
      </c>
      <c r="E5" s="173">
        <v>0.99377979999999999</v>
      </c>
      <c r="F5" s="168">
        <v>0.98875710000000006</v>
      </c>
      <c r="G5" s="173">
        <v>0.96289999999999998</v>
      </c>
      <c r="H5" s="190">
        <v>0.96240000000000003</v>
      </c>
      <c r="I5" s="190">
        <v>0.99771929999999998</v>
      </c>
      <c r="J5" s="190">
        <v>0.97974139999999998</v>
      </c>
      <c r="K5" s="190">
        <v>0.9829</v>
      </c>
      <c r="L5" s="190">
        <v>0.98700239999999995</v>
      </c>
      <c r="M5" s="190">
        <v>0.99427169999999998</v>
      </c>
      <c r="N5" s="191">
        <v>0.9906237</v>
      </c>
      <c r="O5" s="190">
        <v>0.97209999999999996</v>
      </c>
      <c r="P5" s="190">
        <v>0.97134900000000002</v>
      </c>
      <c r="Q5" s="190">
        <v>0.99877249999999995</v>
      </c>
      <c r="R5" s="190">
        <v>0.98486989999999996</v>
      </c>
      <c r="S5" s="190">
        <v>0.98029999999999995</v>
      </c>
      <c r="T5" s="190">
        <v>0.98247039999999997</v>
      </c>
      <c r="U5" s="190">
        <v>0.99586779999999997</v>
      </c>
      <c r="V5" s="191">
        <v>0.98912370000000005</v>
      </c>
      <c r="W5" s="190">
        <v>0.90690000000000004</v>
      </c>
      <c r="X5" s="190">
        <v>0.90636704000000001</v>
      </c>
      <c r="Y5" s="190">
        <v>1</v>
      </c>
      <c r="Z5" s="190">
        <v>0.95088408999999996</v>
      </c>
    </row>
    <row r="6" spans="1:29" x14ac:dyDescent="0.2">
      <c r="A6" s="214"/>
      <c r="B6" s="167">
        <v>2</v>
      </c>
      <c r="C6" s="173">
        <v>0.97970000000000002</v>
      </c>
      <c r="D6" s="80">
        <v>0.98378489999999996</v>
      </c>
      <c r="E6" s="173">
        <v>0.99377979999999999</v>
      </c>
      <c r="F6" s="168">
        <v>0.98875710000000006</v>
      </c>
      <c r="G6" s="173">
        <v>0.91839999999999999</v>
      </c>
      <c r="H6" s="190">
        <v>0.9167459</v>
      </c>
      <c r="I6" s="190">
        <v>1</v>
      </c>
      <c r="J6" s="190">
        <v>0.95656490000000005</v>
      </c>
      <c r="K6" s="190">
        <v>0.9829</v>
      </c>
      <c r="L6" s="190">
        <v>0.98700239999999995</v>
      </c>
      <c r="M6" s="190">
        <v>0.99427169999999998</v>
      </c>
      <c r="N6" s="191">
        <v>0.9906237</v>
      </c>
      <c r="O6" s="190">
        <v>0.93500000000000005</v>
      </c>
      <c r="P6" s="190">
        <v>0.93335880000000004</v>
      </c>
      <c r="Q6" s="190">
        <v>1</v>
      </c>
      <c r="R6" s="190">
        <v>0.96553089999999997</v>
      </c>
      <c r="S6" s="190">
        <v>0.98029999999999995</v>
      </c>
      <c r="T6" s="190">
        <v>0.98247039999999997</v>
      </c>
      <c r="U6" s="190">
        <v>0.99586779999999997</v>
      </c>
      <c r="V6" s="191">
        <v>0.98912370000000005</v>
      </c>
      <c r="W6" s="190">
        <v>0.94379999999999997</v>
      </c>
      <c r="X6" s="190">
        <v>0.94126799999999999</v>
      </c>
      <c r="Y6" s="190">
        <v>1</v>
      </c>
      <c r="Z6" s="190">
        <v>0.96974550000000004</v>
      </c>
    </row>
    <row r="7" spans="1:29" x14ac:dyDescent="0.2">
      <c r="A7" s="214"/>
      <c r="B7" s="167">
        <v>3</v>
      </c>
      <c r="C7" s="173">
        <v>0.97970000000000002</v>
      </c>
      <c r="D7" s="173">
        <v>0.98378489999999996</v>
      </c>
      <c r="E7" s="173">
        <v>0.99377979999999999</v>
      </c>
      <c r="F7" s="168">
        <v>0.98875710000000006</v>
      </c>
      <c r="G7" s="173">
        <v>0.19819999999999999</v>
      </c>
      <c r="H7" s="190">
        <v>0.80980861000000004</v>
      </c>
      <c r="I7" s="190">
        <v>0.14036905999999999</v>
      </c>
      <c r="J7" s="190">
        <v>0.23926489000000001</v>
      </c>
      <c r="K7" s="190">
        <v>0.9829</v>
      </c>
      <c r="L7" s="190">
        <v>0.98700239999999995</v>
      </c>
      <c r="M7" s="190">
        <v>0.99427169999999998</v>
      </c>
      <c r="N7" s="191">
        <v>0.9906237</v>
      </c>
      <c r="O7" s="190">
        <v>0.29110000000000003</v>
      </c>
      <c r="P7" s="190">
        <v>0.91743827</v>
      </c>
      <c r="Q7" s="190">
        <v>0.24324877</v>
      </c>
      <c r="R7" s="190">
        <v>0.38454074999999999</v>
      </c>
      <c r="S7" s="190">
        <v>0.98029999999999995</v>
      </c>
      <c r="T7" s="190">
        <v>0.98247039999999997</v>
      </c>
      <c r="U7" s="190">
        <v>0.99586779999999997</v>
      </c>
      <c r="V7" s="191">
        <v>0.98912370000000005</v>
      </c>
      <c r="W7" s="190">
        <v>0.51870000000000005</v>
      </c>
      <c r="X7" s="190">
        <v>0.97554810000000003</v>
      </c>
      <c r="Y7" s="190">
        <v>0.4780992</v>
      </c>
      <c r="Z7" s="190">
        <v>0.64170830000000001</v>
      </c>
    </row>
    <row r="8" spans="1:29" x14ac:dyDescent="0.2">
      <c r="A8" s="214"/>
      <c r="B8" s="167">
        <v>4</v>
      </c>
      <c r="C8" s="173">
        <v>0.97970000000000002</v>
      </c>
      <c r="D8" s="173">
        <v>0.98378489999999996</v>
      </c>
      <c r="E8" s="173">
        <v>0.99377979999999999</v>
      </c>
      <c r="F8" s="168">
        <v>0.98875710000000006</v>
      </c>
      <c r="G8" s="173">
        <v>0.1082</v>
      </c>
      <c r="H8" s="190">
        <v>1</v>
      </c>
      <c r="I8" s="190">
        <v>7.2568939999999998E-3</v>
      </c>
      <c r="J8" s="190">
        <v>1.4409221999999999E-2</v>
      </c>
      <c r="K8" s="190">
        <v>0.9829</v>
      </c>
      <c r="L8" s="190">
        <v>0.98700239999999995</v>
      </c>
      <c r="M8" s="190">
        <v>0.99427169999999998</v>
      </c>
      <c r="N8" s="191">
        <v>0.9906237</v>
      </c>
      <c r="O8" s="190">
        <v>9.74E-2</v>
      </c>
      <c r="P8" s="190">
        <v>1</v>
      </c>
      <c r="Q8" s="190">
        <v>8.5924710000000008E-3</v>
      </c>
      <c r="R8" s="190">
        <v>1.7038540000000001E-2</v>
      </c>
      <c r="S8" s="190">
        <v>0.98029999999999995</v>
      </c>
      <c r="T8" s="190">
        <v>0.98247039999999997</v>
      </c>
      <c r="U8" s="190">
        <v>0.99586779999999997</v>
      </c>
      <c r="V8" s="191">
        <v>0.98912370000000005</v>
      </c>
      <c r="W8" s="190">
        <v>0.1265</v>
      </c>
      <c r="X8" s="173">
        <v>1</v>
      </c>
      <c r="Y8" s="190">
        <v>3.099174E-2</v>
      </c>
      <c r="Z8" s="190">
        <v>6.0120239999999998E-2</v>
      </c>
    </row>
    <row r="9" spans="1:29" x14ac:dyDescent="0.2">
      <c r="A9" s="214"/>
      <c r="B9" s="167">
        <v>5</v>
      </c>
      <c r="C9" s="173">
        <v>0.97970000000000002</v>
      </c>
      <c r="D9" s="173">
        <v>0.98378489999999996</v>
      </c>
      <c r="E9" s="173">
        <v>0.99377979999999999</v>
      </c>
      <c r="F9" s="168">
        <v>0.98875710000000006</v>
      </c>
      <c r="G9" s="173" t="s">
        <v>24</v>
      </c>
      <c r="H9" s="170" t="s">
        <v>24</v>
      </c>
      <c r="I9" s="170" t="s">
        <v>24</v>
      </c>
      <c r="J9" s="170" t="s">
        <v>24</v>
      </c>
      <c r="K9" s="170">
        <v>0.9829</v>
      </c>
      <c r="L9" s="170">
        <v>0.98700239999999995</v>
      </c>
      <c r="M9" s="170">
        <v>0.99427169999999998</v>
      </c>
      <c r="N9" s="169">
        <v>0.9906237</v>
      </c>
      <c r="O9" s="170">
        <v>9.0499999999999997E-2</v>
      </c>
      <c r="P9" s="190">
        <v>1</v>
      </c>
      <c r="Q9" s="190">
        <v>1.0229133E-3</v>
      </c>
      <c r="R9" s="190">
        <v>2.0437359E-3</v>
      </c>
      <c r="S9" s="190">
        <v>0.98029999999999995</v>
      </c>
      <c r="T9" s="190">
        <v>0.98247039999999997</v>
      </c>
      <c r="U9" s="190">
        <v>0.99586779999999997</v>
      </c>
      <c r="V9" s="191">
        <v>0.98912370000000005</v>
      </c>
      <c r="W9" s="190">
        <v>0.1004</v>
      </c>
      <c r="X9" s="190">
        <v>1</v>
      </c>
      <c r="Y9" s="190">
        <v>2.0661159999999998E-3</v>
      </c>
      <c r="Z9" s="190">
        <v>4.1237110000000004E-3</v>
      </c>
    </row>
    <row r="10" spans="1:29" x14ac:dyDescent="0.2">
      <c r="A10" s="130"/>
      <c r="B10" s="167"/>
      <c r="C10" s="173"/>
      <c r="D10" s="173"/>
      <c r="E10" s="173"/>
      <c r="F10" s="173"/>
      <c r="G10" s="173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9" x14ac:dyDescent="0.2">
      <c r="A11" s="214" t="s">
        <v>74</v>
      </c>
      <c r="B11" s="167">
        <v>1</v>
      </c>
      <c r="C11" s="173">
        <v>0.97970000000000002</v>
      </c>
      <c r="D11" s="173">
        <v>0.98378489999999996</v>
      </c>
      <c r="E11" s="173">
        <v>0.99377979999999999</v>
      </c>
      <c r="F11" s="173">
        <v>0.98875710000000006</v>
      </c>
      <c r="G11" s="173">
        <v>0.9909</v>
      </c>
      <c r="H11" s="190">
        <v>0.9909502</v>
      </c>
      <c r="I11" s="190">
        <v>0.9989633</v>
      </c>
      <c r="J11" s="191">
        <v>0.99494059999999995</v>
      </c>
      <c r="K11" s="190">
        <v>0.9829</v>
      </c>
      <c r="L11" s="190">
        <v>0.98700239999999995</v>
      </c>
      <c r="M11" s="190">
        <v>0.99427169999999998</v>
      </c>
      <c r="N11" s="191">
        <v>0.9906237</v>
      </c>
      <c r="O11" s="190">
        <v>0.99350000000000005</v>
      </c>
      <c r="P11" s="190">
        <v>0.9164641</v>
      </c>
      <c r="Q11" s="190">
        <v>0.96601939999999997</v>
      </c>
      <c r="R11" s="190">
        <v>0.94058949999999997</v>
      </c>
      <c r="S11" s="190">
        <v>0.98029999999999995</v>
      </c>
      <c r="T11" s="190">
        <v>0.98247039999999997</v>
      </c>
      <c r="U11" s="190">
        <v>0.99586779999999997</v>
      </c>
      <c r="V11" s="190">
        <v>0.98912370000000005</v>
      </c>
      <c r="W11" s="190">
        <v>0.99139999999999995</v>
      </c>
      <c r="X11" s="190">
        <v>0.99138990000000005</v>
      </c>
      <c r="Y11" s="190">
        <v>0.9991736</v>
      </c>
      <c r="Z11" s="191">
        <v>0.99526650000000005</v>
      </c>
    </row>
    <row r="12" spans="1:29" x14ac:dyDescent="0.2">
      <c r="A12" s="214"/>
      <c r="B12" s="167">
        <v>2</v>
      </c>
      <c r="C12" s="173">
        <v>0.97970000000000002</v>
      </c>
      <c r="D12" s="173">
        <v>0.98378489999999996</v>
      </c>
      <c r="E12" s="173">
        <v>0.99377979999999999</v>
      </c>
      <c r="F12" s="173">
        <v>0.98875710000000006</v>
      </c>
      <c r="G12" s="173">
        <v>0.93479999999999996</v>
      </c>
      <c r="H12" s="190">
        <v>0.93622000000000005</v>
      </c>
      <c r="I12" s="190">
        <v>0.99523119999999998</v>
      </c>
      <c r="J12" s="191">
        <v>0.99523119999999998</v>
      </c>
      <c r="K12" s="190">
        <v>0.9829</v>
      </c>
      <c r="L12" s="190">
        <v>0.98700239999999995</v>
      </c>
      <c r="M12" s="190">
        <v>0.99427169999999998</v>
      </c>
      <c r="N12" s="191">
        <v>0.9906237</v>
      </c>
      <c r="O12" s="190">
        <v>0.92210000000000003</v>
      </c>
      <c r="P12" s="190">
        <v>0.91963360000000005</v>
      </c>
      <c r="Q12" s="190">
        <v>0.96129989999999998</v>
      </c>
      <c r="R12" s="190">
        <v>0.94000530000000004</v>
      </c>
      <c r="S12" s="190">
        <v>0.98029999999999995</v>
      </c>
      <c r="T12" s="190">
        <v>0.98247039999999997</v>
      </c>
      <c r="U12" s="190">
        <v>0.99586779999999997</v>
      </c>
      <c r="V12" s="191">
        <v>0.98912370000000005</v>
      </c>
      <c r="W12" s="190">
        <v>0.91790000000000005</v>
      </c>
      <c r="X12" s="190">
        <v>0.92015279999999999</v>
      </c>
      <c r="Y12" s="190">
        <v>0.99524789999999996</v>
      </c>
      <c r="Z12" s="190">
        <v>0.95622830000000003</v>
      </c>
      <c r="AC12" t="s">
        <v>178</v>
      </c>
    </row>
    <row r="13" spans="1:29" x14ac:dyDescent="0.2">
      <c r="A13" s="214"/>
      <c r="B13" s="167">
        <v>3</v>
      </c>
      <c r="C13" s="173">
        <v>0.97970000000000002</v>
      </c>
      <c r="D13" s="173">
        <v>0.98378489999999996</v>
      </c>
      <c r="E13" s="173">
        <v>0.99377979999999999</v>
      </c>
      <c r="F13" s="168">
        <v>0.98875710000000006</v>
      </c>
      <c r="G13" s="173">
        <v>0.97170000000000001</v>
      </c>
      <c r="H13" s="190">
        <v>0.97672990000000004</v>
      </c>
      <c r="I13" s="190">
        <v>0.99212109999999998</v>
      </c>
      <c r="J13" s="190">
        <v>0.98436539999999995</v>
      </c>
      <c r="K13" s="190">
        <v>0.9829</v>
      </c>
      <c r="L13" s="190">
        <v>0.98700239999999995</v>
      </c>
      <c r="M13" s="190">
        <v>0.99427169999999998</v>
      </c>
      <c r="N13" s="191">
        <v>0.9906237</v>
      </c>
      <c r="O13" s="190">
        <v>0.97619999999999996</v>
      </c>
      <c r="P13" s="190">
        <v>0.98080809999999996</v>
      </c>
      <c r="Q13" s="190">
        <v>0.99324880000000004</v>
      </c>
      <c r="R13" s="190">
        <v>0.98698900000000001</v>
      </c>
      <c r="S13" s="190">
        <v>0.98029999999999995</v>
      </c>
      <c r="T13" s="190">
        <v>0.98247039999999997</v>
      </c>
      <c r="U13" s="190">
        <v>0.99586779999999997</v>
      </c>
      <c r="V13" s="191">
        <v>0.98912370000000005</v>
      </c>
      <c r="W13" s="190">
        <v>0.84730000000000005</v>
      </c>
      <c r="X13" s="190">
        <v>0.9130703</v>
      </c>
      <c r="Y13" s="190">
        <v>0.91797519999999999</v>
      </c>
      <c r="Z13" s="190">
        <v>0.9155162</v>
      </c>
    </row>
    <row r="14" spans="1:29" x14ac:dyDescent="0.2">
      <c r="A14" s="214"/>
      <c r="B14" s="167">
        <v>4</v>
      </c>
      <c r="C14" s="173">
        <v>0.97970000000000002</v>
      </c>
      <c r="D14" s="173">
        <v>0.98378489999999996</v>
      </c>
      <c r="E14" s="173">
        <v>0.99377979999999999</v>
      </c>
      <c r="F14" s="168">
        <v>0.98875710000000006</v>
      </c>
      <c r="G14" s="173">
        <v>0.96089999999999998</v>
      </c>
      <c r="H14" s="170">
        <v>0.9746861</v>
      </c>
      <c r="I14" s="170">
        <v>0.98196139999999998</v>
      </c>
      <c r="J14" s="170">
        <v>0.97831029999999997</v>
      </c>
      <c r="K14" s="170">
        <v>0.9829</v>
      </c>
      <c r="L14" s="170">
        <v>0.98700239999999995</v>
      </c>
      <c r="M14" s="170">
        <v>0.99427169999999998</v>
      </c>
      <c r="N14" s="169">
        <v>0.9906237</v>
      </c>
      <c r="O14" s="170">
        <v>0.90759999999999996</v>
      </c>
      <c r="P14" s="190">
        <v>0.91717325000000005</v>
      </c>
      <c r="Q14" s="190">
        <v>0.98772504000000005</v>
      </c>
      <c r="R14" s="190">
        <v>0.95114262999999999</v>
      </c>
      <c r="S14" s="190">
        <v>0.98029999999999995</v>
      </c>
      <c r="T14" s="190">
        <v>0.98247039999999997</v>
      </c>
      <c r="U14" s="190">
        <v>0.99586779999999997</v>
      </c>
      <c r="V14" s="191">
        <v>0.98912370000000005</v>
      </c>
      <c r="W14" s="190">
        <v>0.94750000000000001</v>
      </c>
      <c r="X14" s="190">
        <v>0.94826909999999998</v>
      </c>
      <c r="Y14" s="190">
        <v>0.99607440000000003</v>
      </c>
      <c r="Z14" s="190">
        <v>0.971584</v>
      </c>
    </row>
    <row r="15" spans="1:29" x14ac:dyDescent="0.2">
      <c r="A15" s="214"/>
      <c r="B15" s="167">
        <v>5</v>
      </c>
      <c r="C15" s="173">
        <v>0.97970000000000002</v>
      </c>
      <c r="D15" s="173">
        <v>0.98378489999999996</v>
      </c>
      <c r="E15" s="173">
        <v>0.99377979999999999</v>
      </c>
      <c r="F15" s="168">
        <v>0.98875710000000006</v>
      </c>
      <c r="G15" s="173">
        <v>0.92959999999999998</v>
      </c>
      <c r="H15" s="170">
        <v>0.92946859999999998</v>
      </c>
      <c r="I15" s="170">
        <v>0.99730459999999999</v>
      </c>
      <c r="J15" s="170">
        <v>0.96219239999999995</v>
      </c>
      <c r="K15" s="170">
        <v>0.9829</v>
      </c>
      <c r="L15" s="170">
        <v>0.98700239999999995</v>
      </c>
      <c r="M15" s="170">
        <v>0.99427169999999998</v>
      </c>
      <c r="N15" s="169">
        <v>0.9906237</v>
      </c>
      <c r="O15" s="170">
        <v>0.97150000000000003</v>
      </c>
      <c r="P15" s="190">
        <v>0.97587939999999995</v>
      </c>
      <c r="Q15" s="190">
        <v>0.99324880000000004</v>
      </c>
      <c r="R15" s="190">
        <v>0.98448749999999996</v>
      </c>
      <c r="S15" s="190">
        <v>0.98029999999999995</v>
      </c>
      <c r="T15" s="190">
        <v>0.98247039999999997</v>
      </c>
      <c r="U15" s="190">
        <v>0.99586779999999997</v>
      </c>
      <c r="V15" s="191">
        <v>0.98912370000000005</v>
      </c>
      <c r="W15" s="190">
        <v>0.95679999999999998</v>
      </c>
      <c r="X15" s="190">
        <v>0.96432890000000004</v>
      </c>
      <c r="Y15" s="190">
        <v>0.98863639999999997</v>
      </c>
      <c r="Z15" s="190">
        <v>0.97633139999999996</v>
      </c>
    </row>
    <row r="16" spans="1:29" ht="17" thickBot="1" x14ac:dyDescent="0.25">
      <c r="A16" s="138"/>
      <c r="B16" s="115"/>
      <c r="C16" s="175"/>
      <c r="D16" s="175"/>
      <c r="E16" s="175"/>
      <c r="F16" s="175"/>
      <c r="G16" s="175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x14ac:dyDescent="0.2">
      <c r="A17" s="214" t="s">
        <v>75</v>
      </c>
      <c r="B17" s="167">
        <v>1</v>
      </c>
      <c r="C17" s="173">
        <v>0.97689999999999999</v>
      </c>
      <c r="D17" s="173">
        <v>0.97880579999999995</v>
      </c>
      <c r="E17" s="173">
        <v>0.99585319999999999</v>
      </c>
      <c r="F17" s="168">
        <v>0.98725589999999996</v>
      </c>
      <c r="G17" s="173">
        <v>0.89829999999999999</v>
      </c>
      <c r="H17" s="190">
        <v>0.89830509999999997</v>
      </c>
      <c r="I17" s="190">
        <v>1</v>
      </c>
      <c r="J17" s="190">
        <v>0.94642859999999995</v>
      </c>
      <c r="K17" s="190">
        <v>0.98250000000000004</v>
      </c>
      <c r="L17" s="190">
        <v>0.98463400000000001</v>
      </c>
      <c r="M17" s="190">
        <v>0.99631749999999997</v>
      </c>
      <c r="N17" s="191">
        <v>0.99044129999999997</v>
      </c>
      <c r="O17" s="190">
        <v>0.91039999999999999</v>
      </c>
      <c r="P17" s="190">
        <v>0.91041159999999999</v>
      </c>
      <c r="Q17" s="190">
        <v>1</v>
      </c>
      <c r="R17" s="190">
        <v>0.95310519999999999</v>
      </c>
      <c r="S17" s="190">
        <v>0.9778</v>
      </c>
      <c r="T17" s="190">
        <v>0.9789004</v>
      </c>
      <c r="U17" s="190">
        <v>0.99690080000000003</v>
      </c>
      <c r="V17" s="191">
        <v>0.98781859999999999</v>
      </c>
      <c r="W17" s="190">
        <v>0.90149999999999997</v>
      </c>
      <c r="X17" s="190">
        <v>0.90147140000000003</v>
      </c>
      <c r="Y17" s="190">
        <v>1</v>
      </c>
      <c r="Z17" s="173">
        <v>0.948183</v>
      </c>
    </row>
    <row r="18" spans="1:26" x14ac:dyDescent="0.2">
      <c r="A18" s="214"/>
      <c r="B18" s="167">
        <v>2</v>
      </c>
      <c r="C18" s="173">
        <v>0.97689999999999999</v>
      </c>
      <c r="D18" s="173">
        <v>0.97880579999999995</v>
      </c>
      <c r="E18" s="173">
        <v>0.99585319999999999</v>
      </c>
      <c r="F18" s="168">
        <v>0.98725589999999996</v>
      </c>
      <c r="G18" s="173">
        <v>0.90449999999999997</v>
      </c>
      <c r="H18" s="190">
        <v>0.90401200000000004</v>
      </c>
      <c r="I18" s="190">
        <v>0.99979266</v>
      </c>
      <c r="J18" s="190">
        <v>0.94949296000000005</v>
      </c>
      <c r="K18" s="190">
        <v>0.98250000000000004</v>
      </c>
      <c r="L18" s="190">
        <v>0.98463400000000001</v>
      </c>
      <c r="M18" s="190">
        <v>0.99631749999999997</v>
      </c>
      <c r="N18" s="190">
        <v>0.99044129999999997</v>
      </c>
      <c r="O18" s="190">
        <v>0.92179999999999995</v>
      </c>
      <c r="P18" s="190">
        <v>0.92179999999999995</v>
      </c>
      <c r="Q18" s="190">
        <v>0.92214660000000004</v>
      </c>
      <c r="R18" s="191">
        <v>0.99836329999999995</v>
      </c>
      <c r="S18" s="190">
        <v>0.9778</v>
      </c>
      <c r="T18" s="190">
        <v>0.9789004</v>
      </c>
      <c r="U18" s="190">
        <v>0.99690080000000003</v>
      </c>
      <c r="V18" s="191">
        <v>0.98781859999999999</v>
      </c>
      <c r="W18" s="190">
        <v>0.92490000000000006</v>
      </c>
      <c r="X18" s="190">
        <v>0.92475589999999996</v>
      </c>
      <c r="Y18" s="190">
        <v>0.99793390000000004</v>
      </c>
      <c r="Z18" s="173">
        <v>0.95995229999999998</v>
      </c>
    </row>
    <row r="19" spans="1:26" x14ac:dyDescent="0.2">
      <c r="A19" s="214"/>
      <c r="B19" s="167">
        <v>3</v>
      </c>
      <c r="C19" s="173">
        <v>0.97689999999999999</v>
      </c>
      <c r="D19" s="173">
        <v>0.97880579999999995</v>
      </c>
      <c r="E19" s="173">
        <v>0.99585319999999999</v>
      </c>
      <c r="F19" s="168">
        <v>0.98725589999999996</v>
      </c>
      <c r="G19" s="173">
        <v>0.33839999999999998</v>
      </c>
      <c r="H19" s="190">
        <v>0.86252139000000005</v>
      </c>
      <c r="I19" s="190">
        <v>0.31349781999999998</v>
      </c>
      <c r="J19" s="190">
        <v>0.45985400999999998</v>
      </c>
      <c r="K19" s="190">
        <v>0.98250000000000004</v>
      </c>
      <c r="L19" s="190">
        <v>0.98463400000000001</v>
      </c>
      <c r="M19" s="190">
        <v>0.99631749999999997</v>
      </c>
      <c r="N19" s="191">
        <v>0.99044129999999997</v>
      </c>
      <c r="O19" s="190">
        <v>0.3014</v>
      </c>
      <c r="P19" s="190">
        <v>0.87376726000000005</v>
      </c>
      <c r="Q19" s="190">
        <v>0.27189034000000001</v>
      </c>
      <c r="R19" s="190">
        <v>0.41472928999999997</v>
      </c>
      <c r="S19" s="190">
        <v>0.9778</v>
      </c>
      <c r="T19" s="190">
        <v>0.9789004</v>
      </c>
      <c r="U19" s="190">
        <v>0.99690080000000003</v>
      </c>
      <c r="V19" s="191">
        <v>0.98781859999999999</v>
      </c>
      <c r="W19" s="190">
        <v>0.48039999999999999</v>
      </c>
      <c r="X19" s="190">
        <v>0.91464400000000001</v>
      </c>
      <c r="Y19" s="190">
        <v>0.46714879999999998</v>
      </c>
      <c r="Z19" s="190">
        <v>0.61843539999999997</v>
      </c>
    </row>
    <row r="20" spans="1:26" x14ac:dyDescent="0.2">
      <c r="A20" s="214"/>
      <c r="B20" s="167">
        <v>4</v>
      </c>
      <c r="C20" s="173">
        <v>0.97689999999999999</v>
      </c>
      <c r="D20" s="173">
        <v>0.97880579999999995</v>
      </c>
      <c r="E20" s="173">
        <v>0.99585319999999999</v>
      </c>
      <c r="F20" s="168">
        <v>0.98725589999999996</v>
      </c>
      <c r="G20" s="173">
        <v>0.1017</v>
      </c>
      <c r="H20" s="170" t="s">
        <v>24</v>
      </c>
      <c r="I20" s="170">
        <v>0</v>
      </c>
      <c r="J20" s="170" t="s">
        <v>24</v>
      </c>
      <c r="K20" s="170">
        <v>0.98250000000000004</v>
      </c>
      <c r="L20" s="170">
        <v>0.98463400000000001</v>
      </c>
      <c r="M20" s="170">
        <v>0.99631749999999997</v>
      </c>
      <c r="N20" s="169">
        <v>0.99044129999999997</v>
      </c>
      <c r="O20" s="170">
        <v>0.09</v>
      </c>
      <c r="P20" s="190">
        <v>1</v>
      </c>
      <c r="Q20" s="190">
        <v>4.0916530000000001E-4</v>
      </c>
      <c r="R20" s="190">
        <v>8.1799590000000005E-4</v>
      </c>
      <c r="S20" s="190">
        <v>0.9778</v>
      </c>
      <c r="T20" s="190">
        <v>0.9789004</v>
      </c>
      <c r="U20" s="190">
        <v>0.99690080000000003</v>
      </c>
      <c r="V20" s="191">
        <v>0.98781859999999999</v>
      </c>
      <c r="W20" s="190">
        <v>0.1222</v>
      </c>
      <c r="X20" s="173">
        <v>0.95683452999999996</v>
      </c>
      <c r="Y20" s="190">
        <v>2.7479340000000001E-2</v>
      </c>
      <c r="Z20" s="190">
        <v>5.342438E-2</v>
      </c>
    </row>
    <row r="21" spans="1:26" x14ac:dyDescent="0.2">
      <c r="A21" s="214"/>
      <c r="B21" s="167">
        <v>5</v>
      </c>
      <c r="C21" s="173">
        <v>0.97689999999999999</v>
      </c>
      <c r="D21" s="173">
        <v>0.97880579999999995</v>
      </c>
      <c r="E21" s="173">
        <v>0.99585319999999999</v>
      </c>
      <c r="F21" s="168">
        <v>0.98725589999999996</v>
      </c>
      <c r="G21" s="173" t="s">
        <v>24</v>
      </c>
      <c r="H21" s="170" t="s">
        <v>24</v>
      </c>
      <c r="I21" s="170" t="s">
        <v>24</v>
      </c>
      <c r="J21" s="170" t="s">
        <v>24</v>
      </c>
      <c r="K21" s="170">
        <v>0.98250000000000004</v>
      </c>
      <c r="L21" s="170">
        <v>0.98463400000000001</v>
      </c>
      <c r="M21" s="170">
        <v>0.99631749999999997</v>
      </c>
      <c r="N21" s="169">
        <v>0.99044129999999997</v>
      </c>
      <c r="O21" s="170">
        <v>8.9599999999999999E-2</v>
      </c>
      <c r="P21" s="190" t="s">
        <v>24</v>
      </c>
      <c r="Q21" s="190">
        <v>0</v>
      </c>
      <c r="R21" s="190" t="s">
        <v>24</v>
      </c>
      <c r="S21" s="190">
        <v>0.9778</v>
      </c>
      <c r="T21" s="190">
        <v>0.9789004</v>
      </c>
      <c r="U21" s="190">
        <v>0.99690080000000003</v>
      </c>
      <c r="V21" s="191">
        <v>0.98781859999999999</v>
      </c>
      <c r="W21" s="190">
        <v>9.8500000000000004E-2</v>
      </c>
      <c r="X21" s="173" t="s">
        <v>24</v>
      </c>
      <c r="Y21" s="190">
        <v>0</v>
      </c>
      <c r="Z21" s="190" t="s">
        <v>24</v>
      </c>
    </row>
    <row r="22" spans="1:26" x14ac:dyDescent="0.2">
      <c r="A22" s="130"/>
      <c r="B22" s="167"/>
      <c r="C22" s="173"/>
      <c r="D22" s="173"/>
      <c r="E22" s="173"/>
      <c r="F22" s="173"/>
      <c r="G22" s="173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 spans="1:26" x14ac:dyDescent="0.2">
      <c r="A23" s="214" t="s">
        <v>76</v>
      </c>
      <c r="B23" s="167">
        <v>1</v>
      </c>
      <c r="C23" s="173">
        <v>0.97689999999999999</v>
      </c>
      <c r="D23" s="173">
        <v>0.97880579999999995</v>
      </c>
      <c r="E23" s="173">
        <v>0.99585319999999999</v>
      </c>
      <c r="F23" s="168">
        <v>0.98725589999999996</v>
      </c>
      <c r="G23" s="173">
        <v>0.8992</v>
      </c>
      <c r="H23" s="190">
        <v>0.89914243100000002</v>
      </c>
      <c r="I23" s="190">
        <v>1</v>
      </c>
      <c r="J23" s="190">
        <v>0.94689309899999996</v>
      </c>
      <c r="K23" s="190">
        <v>0.98250000000000004</v>
      </c>
      <c r="L23" s="190">
        <v>0.98463400000000001</v>
      </c>
      <c r="M23" s="190">
        <v>0.99631749999999997</v>
      </c>
      <c r="N23" s="191">
        <v>0.99044129999999997</v>
      </c>
      <c r="O23" s="190">
        <v>0.91039999999999999</v>
      </c>
      <c r="P23" s="190">
        <v>0.91041159999999999</v>
      </c>
      <c r="Q23" s="190">
        <v>1</v>
      </c>
      <c r="R23" s="190">
        <v>0.95310519999999999</v>
      </c>
      <c r="S23" s="190">
        <v>0.9778</v>
      </c>
      <c r="T23" s="190">
        <v>0.9789004</v>
      </c>
      <c r="U23" s="190">
        <v>0.99690080000000003</v>
      </c>
      <c r="V23" s="191">
        <v>0.98781859999999999</v>
      </c>
      <c r="W23" s="190">
        <v>0.90300000000000002</v>
      </c>
      <c r="X23" s="190">
        <v>0.90281663999999995</v>
      </c>
      <c r="Y23" s="190">
        <v>1</v>
      </c>
      <c r="Z23" s="190">
        <v>0.94892657999999996</v>
      </c>
    </row>
    <row r="24" spans="1:26" x14ac:dyDescent="0.2">
      <c r="A24" s="214"/>
      <c r="B24" s="167">
        <v>2</v>
      </c>
      <c r="C24" s="173">
        <v>0.97689999999999999</v>
      </c>
      <c r="D24" s="173">
        <v>0.97880579999999995</v>
      </c>
      <c r="E24" s="173">
        <v>0.99585319999999999</v>
      </c>
      <c r="F24" s="168">
        <v>0.98725589999999996</v>
      </c>
      <c r="G24" s="173">
        <v>0.9022</v>
      </c>
      <c r="H24" s="190">
        <v>0.90198279000000003</v>
      </c>
      <c r="I24" s="190">
        <v>0.99979266</v>
      </c>
      <c r="J24" s="190">
        <v>0.94837249999999995</v>
      </c>
      <c r="K24" s="190">
        <v>0.98250000000000004</v>
      </c>
      <c r="L24" s="190">
        <v>0.98463400000000001</v>
      </c>
      <c r="M24" s="190">
        <v>0.99631749999999997</v>
      </c>
      <c r="N24" s="191">
        <v>0.99044129999999997</v>
      </c>
      <c r="O24" s="190">
        <v>0.91320000000000001</v>
      </c>
      <c r="P24" s="190">
        <v>0.91373503</v>
      </c>
      <c r="Q24" s="190">
        <v>0.99897709000000001</v>
      </c>
      <c r="R24" s="190">
        <v>0.95445661000000004</v>
      </c>
      <c r="S24" s="190">
        <v>0.9778</v>
      </c>
      <c r="T24" s="190">
        <v>0.9789004</v>
      </c>
      <c r="U24" s="190">
        <v>0.99690080000000003</v>
      </c>
      <c r="V24" s="191">
        <v>0.98781859999999999</v>
      </c>
      <c r="W24" s="190">
        <v>0.90820000000000001</v>
      </c>
      <c r="X24" s="190">
        <v>0.90770961999999999</v>
      </c>
      <c r="Y24" s="190">
        <v>0.99979339</v>
      </c>
      <c r="Z24" s="190">
        <v>0.95152886000000003</v>
      </c>
    </row>
    <row r="25" spans="1:26" x14ac:dyDescent="0.2">
      <c r="A25" s="214"/>
      <c r="B25" s="167">
        <v>3</v>
      </c>
      <c r="C25" s="173">
        <v>0.97689999999999999</v>
      </c>
      <c r="D25" s="173">
        <v>0.97880579999999995</v>
      </c>
      <c r="E25" s="173">
        <v>0.99585319999999999</v>
      </c>
      <c r="F25" s="168">
        <v>0.98725589999999996</v>
      </c>
      <c r="G25" s="173">
        <v>0.89980000000000004</v>
      </c>
      <c r="H25" s="190">
        <v>0.89979474000000004</v>
      </c>
      <c r="I25" s="190">
        <v>0.99979266</v>
      </c>
      <c r="J25" s="190">
        <v>0.94716166000000002</v>
      </c>
      <c r="K25" s="190">
        <v>0.98250000000000004</v>
      </c>
      <c r="L25" s="190">
        <v>0.98463400000000001</v>
      </c>
      <c r="M25" s="190">
        <v>0.99631749999999997</v>
      </c>
      <c r="N25" s="191">
        <v>0.99044129999999997</v>
      </c>
      <c r="O25" s="190">
        <v>0.91039999999999999</v>
      </c>
      <c r="P25" s="190">
        <v>0.91041159999999999</v>
      </c>
      <c r="Q25" s="190">
        <v>1</v>
      </c>
      <c r="R25" s="190">
        <v>0.95310519999999999</v>
      </c>
      <c r="S25" s="190">
        <v>0.9778</v>
      </c>
      <c r="T25" s="190">
        <v>0.9789004</v>
      </c>
      <c r="U25" s="190">
        <v>0.99690080000000003</v>
      </c>
      <c r="V25" s="191">
        <v>0.98781859999999999</v>
      </c>
      <c r="W25" s="190">
        <v>0.90310000000000001</v>
      </c>
      <c r="X25" s="190">
        <v>0.90328602999999996</v>
      </c>
      <c r="Y25" s="190">
        <v>0.99958678000000001</v>
      </c>
      <c r="Z25" s="190">
        <v>0.94899960999999999</v>
      </c>
    </row>
    <row r="26" spans="1:26" x14ac:dyDescent="0.2">
      <c r="A26" s="214"/>
      <c r="B26" s="167">
        <v>4</v>
      </c>
      <c r="C26" s="173">
        <v>0.97689999999999999</v>
      </c>
      <c r="D26" s="173">
        <v>0.97880579999999995</v>
      </c>
      <c r="E26" s="173">
        <v>0.99585319999999999</v>
      </c>
      <c r="F26" s="168">
        <v>0.98725589999999996</v>
      </c>
      <c r="G26" s="173">
        <v>0.89939999999999998</v>
      </c>
      <c r="H26" s="190">
        <v>0.89931008999999995</v>
      </c>
      <c r="I26" s="190">
        <v>1</v>
      </c>
      <c r="J26" s="190">
        <v>0.94698605999999996</v>
      </c>
      <c r="K26" s="190">
        <v>0.98250000000000004</v>
      </c>
      <c r="L26" s="190">
        <v>0.98463400000000001</v>
      </c>
      <c r="M26" s="190">
        <v>0.99631749999999997</v>
      </c>
      <c r="N26" s="191">
        <v>0.99044129999999997</v>
      </c>
      <c r="O26" s="190">
        <v>0.91190000000000004</v>
      </c>
      <c r="P26" s="190">
        <v>0.91177019000000004</v>
      </c>
      <c r="Q26" s="190">
        <v>1</v>
      </c>
      <c r="R26" s="190">
        <v>0.95384915999999997</v>
      </c>
      <c r="S26" s="190">
        <v>0.9778</v>
      </c>
      <c r="T26" s="190">
        <v>0.9789004</v>
      </c>
      <c r="U26" s="190">
        <v>0.99690080000000003</v>
      </c>
      <c r="V26" s="191">
        <v>0.98781859999999999</v>
      </c>
      <c r="W26" s="190">
        <v>0.90259999999999996</v>
      </c>
      <c r="X26" s="190">
        <v>0.90247995999999997</v>
      </c>
      <c r="Y26" s="190">
        <v>1</v>
      </c>
      <c r="Z26" s="190">
        <v>0.94874057000000001</v>
      </c>
    </row>
    <row r="27" spans="1:26" x14ac:dyDescent="0.2">
      <c r="A27" s="214"/>
      <c r="B27" s="167">
        <v>5</v>
      </c>
      <c r="C27" s="173">
        <v>0.97689999999999999</v>
      </c>
      <c r="D27" s="173">
        <v>0.97880579999999995</v>
      </c>
      <c r="E27" s="173">
        <v>0.99585319999999999</v>
      </c>
      <c r="F27" s="168">
        <v>0.98725589999999996</v>
      </c>
      <c r="G27" s="173">
        <v>0.89829999999999999</v>
      </c>
      <c r="H27" s="170">
        <v>0.89830509999999997</v>
      </c>
      <c r="I27" s="170">
        <v>1</v>
      </c>
      <c r="J27" s="170">
        <v>0.94642859999999995</v>
      </c>
      <c r="K27" s="170">
        <v>0.98250000000000004</v>
      </c>
      <c r="L27" s="170">
        <v>0.98463400000000001</v>
      </c>
      <c r="M27" s="170">
        <v>0.99631749999999997</v>
      </c>
      <c r="N27" s="169">
        <v>0.99044129999999997</v>
      </c>
      <c r="O27" s="170">
        <v>0.91039999999999999</v>
      </c>
      <c r="P27" s="190">
        <v>0.91041159999999999</v>
      </c>
      <c r="Q27" s="190">
        <v>1</v>
      </c>
      <c r="R27" s="190">
        <v>0.95310519999999999</v>
      </c>
      <c r="S27" s="190">
        <v>0.9778</v>
      </c>
      <c r="T27" s="190">
        <v>0.9789004</v>
      </c>
      <c r="U27" s="190">
        <v>0.99690080000000003</v>
      </c>
      <c r="V27" s="191">
        <v>0.98781859999999999</v>
      </c>
      <c r="W27" s="190">
        <v>0.90259999999999996</v>
      </c>
      <c r="X27" s="190">
        <v>0.90247995999999997</v>
      </c>
      <c r="Y27" s="190">
        <v>1</v>
      </c>
      <c r="Z27" s="190">
        <v>0.94874057000000001</v>
      </c>
    </row>
    <row r="28" spans="1:26" ht="17" thickBot="1" x14ac:dyDescent="0.25">
      <c r="A28" s="138"/>
      <c r="B28" s="115"/>
      <c r="C28" s="175"/>
      <c r="D28" s="175"/>
      <c r="E28" s="175"/>
      <c r="F28" s="175"/>
      <c r="G28" s="175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x14ac:dyDescent="0.2">
      <c r="A29" s="214" t="s">
        <v>77</v>
      </c>
      <c r="B29" s="167">
        <v>1</v>
      </c>
      <c r="C29" s="173">
        <v>0.97989999999999999</v>
      </c>
      <c r="D29" s="173">
        <v>0.98458380000000001</v>
      </c>
      <c r="E29" s="173">
        <v>0.99315779999999998</v>
      </c>
      <c r="F29" s="168">
        <v>0.98885219999999996</v>
      </c>
      <c r="G29" s="173">
        <v>0.89829999999999999</v>
      </c>
      <c r="H29" s="190">
        <v>0.89830509999999997</v>
      </c>
      <c r="I29" s="190">
        <v>1</v>
      </c>
      <c r="J29" s="190">
        <v>0.94642859999999995</v>
      </c>
      <c r="K29" s="190">
        <v>0.9829</v>
      </c>
      <c r="L29" s="190">
        <v>0.98581850000000004</v>
      </c>
      <c r="M29" s="190">
        <v>0.99549920000000003</v>
      </c>
      <c r="N29" s="191">
        <v>0.99063520000000005</v>
      </c>
      <c r="O29" s="190">
        <v>0.91039999999999999</v>
      </c>
      <c r="P29" s="190">
        <v>0.91041159999999999</v>
      </c>
      <c r="Q29" s="190">
        <v>1</v>
      </c>
      <c r="R29" s="190">
        <v>0.95310519999999999</v>
      </c>
      <c r="S29" s="190">
        <v>0.98119999999999996</v>
      </c>
      <c r="T29" s="190">
        <v>0.98386770000000001</v>
      </c>
      <c r="U29" s="190">
        <v>0.99545450000000002</v>
      </c>
      <c r="V29" s="190">
        <v>0.98962720000000004</v>
      </c>
      <c r="W29" s="190">
        <v>0.90149999999999997</v>
      </c>
      <c r="X29" s="190">
        <v>0.90147140000000003</v>
      </c>
      <c r="Y29" s="190">
        <v>1</v>
      </c>
      <c r="Z29" s="190">
        <v>0.948183</v>
      </c>
    </row>
    <row r="30" spans="1:26" x14ac:dyDescent="0.2">
      <c r="A30" s="214"/>
      <c r="B30" s="167">
        <v>2</v>
      </c>
      <c r="C30" s="173">
        <v>0.97989999999999999</v>
      </c>
      <c r="D30" s="173">
        <v>0.98458380000000001</v>
      </c>
      <c r="E30" s="173">
        <v>0.99315779999999998</v>
      </c>
      <c r="F30" s="168">
        <v>0.98885219999999996</v>
      </c>
      <c r="G30" s="173">
        <v>0.95230000000000004</v>
      </c>
      <c r="H30" s="190">
        <v>0.95190980000000003</v>
      </c>
      <c r="I30" s="190">
        <v>0.99730459999999999</v>
      </c>
      <c r="J30" s="190">
        <v>0.97407860000000002</v>
      </c>
      <c r="K30" s="190">
        <v>0.9829</v>
      </c>
      <c r="L30" s="190">
        <v>0.98581850000000004</v>
      </c>
      <c r="M30" s="190">
        <v>0.99549920000000003</v>
      </c>
      <c r="N30" s="191">
        <v>0.99063520000000005</v>
      </c>
      <c r="O30" s="190">
        <v>0.92620000000000002</v>
      </c>
      <c r="P30" s="190">
        <v>0.92764659999999999</v>
      </c>
      <c r="Q30" s="190">
        <v>0.99672669999999997</v>
      </c>
      <c r="R30" s="190">
        <v>0.96094670000000004</v>
      </c>
      <c r="S30" s="190">
        <v>0.98119999999999996</v>
      </c>
      <c r="T30" s="190">
        <v>0.98386770000000001</v>
      </c>
      <c r="U30" s="190">
        <v>0.99545450000000002</v>
      </c>
      <c r="V30" s="190">
        <v>0.98962720000000004</v>
      </c>
      <c r="W30" s="190">
        <v>0.93030000000000002</v>
      </c>
      <c r="X30" s="190">
        <v>0.93058229999999997</v>
      </c>
      <c r="Y30" s="190">
        <v>0.99710739999999998</v>
      </c>
      <c r="Z30" s="173">
        <v>0.96269700000000002</v>
      </c>
    </row>
    <row r="31" spans="1:26" x14ac:dyDescent="0.2">
      <c r="A31" s="214"/>
      <c r="B31" s="167">
        <v>3</v>
      </c>
      <c r="C31" s="173">
        <v>0.97989999999999999</v>
      </c>
      <c r="D31" s="173">
        <v>0.98458380000000001</v>
      </c>
      <c r="E31" s="173">
        <v>0.99315779999999998</v>
      </c>
      <c r="F31" s="168">
        <v>0.98885219999999996</v>
      </c>
      <c r="G31" s="173">
        <v>0.37530000000000002</v>
      </c>
      <c r="H31" s="190">
        <v>0.95255699999999999</v>
      </c>
      <c r="I31" s="190">
        <v>0.32054739999999998</v>
      </c>
      <c r="J31" s="190">
        <v>0.47967729999999997</v>
      </c>
      <c r="K31" s="190">
        <v>0.9829</v>
      </c>
      <c r="L31" s="190">
        <v>0.98581850000000004</v>
      </c>
      <c r="M31" s="190">
        <v>0.99549920000000003</v>
      </c>
      <c r="N31" s="191">
        <v>0.99063520000000005</v>
      </c>
      <c r="O31" s="190">
        <v>0.86480000000000001</v>
      </c>
      <c r="P31" s="190">
        <v>0.98171299999999995</v>
      </c>
      <c r="Q31" s="190">
        <v>0.86763500000000005</v>
      </c>
      <c r="R31" s="190">
        <v>0.92115550000000002</v>
      </c>
      <c r="S31" s="190">
        <v>0.98119999999999996</v>
      </c>
      <c r="T31" s="190">
        <v>0.98386770000000001</v>
      </c>
      <c r="U31" s="190">
        <v>0.99545450000000002</v>
      </c>
      <c r="V31" s="190">
        <v>0.98962720000000004</v>
      </c>
      <c r="W31" s="190">
        <v>0.97470000000000001</v>
      </c>
      <c r="X31" s="190">
        <v>0.98078500000000002</v>
      </c>
      <c r="Y31" s="191">
        <v>0.99132229999999999</v>
      </c>
      <c r="Z31" s="173">
        <v>0.9860255</v>
      </c>
    </row>
    <row r="32" spans="1:26" x14ac:dyDescent="0.2">
      <c r="A32" s="214"/>
      <c r="B32" s="167">
        <v>4</v>
      </c>
      <c r="C32" s="173">
        <v>0.97989999999999999</v>
      </c>
      <c r="D32" s="173">
        <v>0.98458380000000001</v>
      </c>
      <c r="E32" s="173">
        <v>0.99315779999999998</v>
      </c>
      <c r="F32" s="168">
        <v>0.98885219999999996</v>
      </c>
      <c r="G32" s="173">
        <v>0.1017</v>
      </c>
      <c r="H32" s="170" t="s">
        <v>24</v>
      </c>
      <c r="I32" s="170">
        <v>0</v>
      </c>
      <c r="J32" s="170" t="s">
        <v>24</v>
      </c>
      <c r="K32" s="170">
        <v>0.9829</v>
      </c>
      <c r="L32" s="170">
        <v>0.98581850000000004</v>
      </c>
      <c r="M32" s="170">
        <v>0.99549920000000003</v>
      </c>
      <c r="N32" s="169">
        <v>0.99063520000000005</v>
      </c>
      <c r="O32" s="170">
        <v>8.9599999999999999E-2</v>
      </c>
      <c r="P32" s="190" t="s">
        <v>24</v>
      </c>
      <c r="Q32" s="190">
        <v>1</v>
      </c>
      <c r="R32" s="190" t="s">
        <v>24</v>
      </c>
      <c r="S32" s="190">
        <v>0.98119999999999996</v>
      </c>
      <c r="T32" s="190">
        <v>0.98386770000000001</v>
      </c>
      <c r="U32" s="190">
        <v>0.99545450000000002</v>
      </c>
      <c r="V32" s="190">
        <v>0.98962720000000004</v>
      </c>
      <c r="W32" s="190">
        <v>0.11899999999999999</v>
      </c>
      <c r="X32" s="173">
        <v>0.9296875</v>
      </c>
      <c r="Y32" s="190">
        <v>2.4586779999999999E-2</v>
      </c>
      <c r="Z32" s="190">
        <v>4.7906600000000001E-2</v>
      </c>
    </row>
    <row r="33" spans="1:26" x14ac:dyDescent="0.2">
      <c r="A33" s="214"/>
      <c r="B33" s="167">
        <v>5</v>
      </c>
      <c r="C33" s="173">
        <v>0.97989999999999999</v>
      </c>
      <c r="D33" s="173">
        <v>0.98458380000000001</v>
      </c>
      <c r="E33" s="173">
        <v>0.99315779999999998</v>
      </c>
      <c r="F33" s="168">
        <v>0.98885219999999996</v>
      </c>
      <c r="G33" s="173" t="s">
        <v>24</v>
      </c>
      <c r="H33" s="170" t="s">
        <v>24</v>
      </c>
      <c r="I33" s="169" t="s">
        <v>24</v>
      </c>
      <c r="J33" s="170" t="s">
        <v>24</v>
      </c>
      <c r="K33" s="170">
        <v>0.9829</v>
      </c>
      <c r="L33" s="170">
        <v>0.98581850000000004</v>
      </c>
      <c r="M33" s="170">
        <v>0.99549920000000003</v>
      </c>
      <c r="N33" s="169">
        <v>0.99063520000000005</v>
      </c>
      <c r="O33" s="170">
        <v>8.9599999999999999E-2</v>
      </c>
      <c r="P33" s="190" t="s">
        <v>24</v>
      </c>
      <c r="Q33" s="190">
        <v>0</v>
      </c>
      <c r="R33" s="190" t="s">
        <v>24</v>
      </c>
      <c r="S33" s="190">
        <v>0.98119999999999996</v>
      </c>
      <c r="T33" s="190">
        <v>0.98386770000000001</v>
      </c>
      <c r="U33" s="190">
        <v>0.99545450000000002</v>
      </c>
      <c r="V33" s="190">
        <v>0.98962720000000004</v>
      </c>
      <c r="W33" s="190">
        <v>9.8500000000000004E-2</v>
      </c>
      <c r="X33" s="173" t="s">
        <v>24</v>
      </c>
      <c r="Y33" s="190">
        <v>0</v>
      </c>
      <c r="Z33" s="190" t="s">
        <v>24</v>
      </c>
    </row>
    <row r="34" spans="1:26" x14ac:dyDescent="0.2">
      <c r="A34" s="130"/>
      <c r="B34" s="167"/>
      <c r="C34" s="173"/>
      <c r="D34" s="173"/>
      <c r="E34" s="173"/>
      <c r="F34" s="173"/>
      <c r="G34" s="173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spans="1:26" x14ac:dyDescent="0.2">
      <c r="A35" s="214" t="s">
        <v>78</v>
      </c>
      <c r="B35" s="167">
        <v>1</v>
      </c>
      <c r="C35" s="173">
        <v>0.97989999999999999</v>
      </c>
      <c r="D35" s="173">
        <v>0.98458380000000001</v>
      </c>
      <c r="E35" s="173">
        <v>0.99315779999999998</v>
      </c>
      <c r="F35" s="173">
        <v>0.98885219999999996</v>
      </c>
      <c r="G35" s="173">
        <v>0.98080000000000001</v>
      </c>
      <c r="H35" s="190">
        <v>0.98479870000000003</v>
      </c>
      <c r="I35" s="190">
        <v>0.99398710000000001</v>
      </c>
      <c r="J35" s="191">
        <v>0.98937160000000002</v>
      </c>
      <c r="K35" s="190">
        <v>0.9829</v>
      </c>
      <c r="L35" s="190">
        <v>0.98581850000000004</v>
      </c>
      <c r="M35" s="190">
        <v>0.99549920000000003</v>
      </c>
      <c r="N35" s="190">
        <v>0.99063520000000005</v>
      </c>
      <c r="O35" s="190">
        <v>0.98360000000000003</v>
      </c>
      <c r="P35" s="190">
        <v>0.9872107</v>
      </c>
      <c r="Q35" s="190">
        <v>0.99488540000000003</v>
      </c>
      <c r="R35" s="191">
        <v>0.99103319999999995</v>
      </c>
      <c r="S35" s="190">
        <v>0.98119999999999996</v>
      </c>
      <c r="T35" s="190">
        <v>0.98386770000000001</v>
      </c>
      <c r="U35" s="190">
        <v>0.99545450000000002</v>
      </c>
      <c r="V35" s="191">
        <v>0.98962720000000004</v>
      </c>
      <c r="W35" s="190">
        <v>0.98080000000000001</v>
      </c>
      <c r="X35" s="190">
        <v>0.98346599999999995</v>
      </c>
      <c r="Y35" s="191">
        <v>0.99545450000000002</v>
      </c>
      <c r="Z35" s="190">
        <v>0.98942399999999997</v>
      </c>
    </row>
    <row r="36" spans="1:26" x14ac:dyDescent="0.2">
      <c r="A36" s="214"/>
      <c r="B36" s="167">
        <v>2</v>
      </c>
      <c r="C36" s="173">
        <v>0.97989999999999999</v>
      </c>
      <c r="D36" s="173">
        <v>0.98458380000000001</v>
      </c>
      <c r="E36" s="173">
        <v>0.99315779999999998</v>
      </c>
      <c r="F36" s="168">
        <v>0.98885219999999996</v>
      </c>
      <c r="G36" s="173">
        <v>0.93089999999999995</v>
      </c>
      <c r="H36" s="190">
        <v>0.92989569999999999</v>
      </c>
      <c r="I36" s="190">
        <v>0.99834129999999999</v>
      </c>
      <c r="J36" s="190">
        <v>0.96290370000000003</v>
      </c>
      <c r="K36" s="190">
        <v>0.9829</v>
      </c>
      <c r="L36" s="190">
        <v>0.98581850000000004</v>
      </c>
      <c r="M36" s="190">
        <v>0.99549920000000003</v>
      </c>
      <c r="N36" s="190">
        <v>0.99063520000000005</v>
      </c>
      <c r="O36" s="190">
        <v>0.98140000000000005</v>
      </c>
      <c r="P36" s="190">
        <v>0.98559839999999999</v>
      </c>
      <c r="Q36" s="190">
        <v>0.99406709999999998</v>
      </c>
      <c r="R36" s="190">
        <v>0.98981459999999999</v>
      </c>
      <c r="S36" s="190">
        <v>0.98119999999999996</v>
      </c>
      <c r="T36" s="190">
        <v>0.98386770000000001</v>
      </c>
      <c r="U36" s="190">
        <v>0.99545450000000002</v>
      </c>
      <c r="V36" s="191">
        <v>0.98962720000000004</v>
      </c>
      <c r="W36" s="190">
        <v>0.9778</v>
      </c>
      <c r="X36" s="190">
        <v>0.98202979999999995</v>
      </c>
      <c r="Y36" s="191">
        <v>0.99359500000000001</v>
      </c>
      <c r="Z36" s="190">
        <v>0.98777859999999995</v>
      </c>
    </row>
    <row r="37" spans="1:26" x14ac:dyDescent="0.2">
      <c r="A37" s="214"/>
      <c r="B37" s="167">
        <v>3</v>
      </c>
      <c r="C37" s="173">
        <v>0.97989999999999999</v>
      </c>
      <c r="D37" s="173">
        <v>0.98458380000000001</v>
      </c>
      <c r="E37" s="173">
        <v>0.99315779999999998</v>
      </c>
      <c r="F37" s="168">
        <v>0.98885219999999996</v>
      </c>
      <c r="G37" s="173">
        <v>0.95699999999999996</v>
      </c>
      <c r="H37" s="190">
        <v>0.96421349999999995</v>
      </c>
      <c r="I37" s="190">
        <v>0.9888036</v>
      </c>
      <c r="J37" s="190">
        <v>0.97635380000000005</v>
      </c>
      <c r="K37" s="190">
        <v>0.9829</v>
      </c>
      <c r="L37" s="190">
        <v>0.98581850000000004</v>
      </c>
      <c r="M37" s="190">
        <v>0.99549920000000003</v>
      </c>
      <c r="N37" s="190">
        <v>0.99063520000000005</v>
      </c>
      <c r="O37" s="190">
        <v>0.98140000000000005</v>
      </c>
      <c r="P37" s="190">
        <v>0.98757640000000002</v>
      </c>
      <c r="Q37" s="190">
        <v>0.99202129999999999</v>
      </c>
      <c r="R37" s="190">
        <v>0.98979379999999995</v>
      </c>
      <c r="S37" s="190">
        <v>0.98119999999999996</v>
      </c>
      <c r="T37" s="190">
        <v>0.98386770000000001</v>
      </c>
      <c r="U37" s="190">
        <v>0.99545450000000002</v>
      </c>
      <c r="V37" s="191">
        <v>0.98962720000000004</v>
      </c>
      <c r="W37" s="190">
        <v>0.97750000000000004</v>
      </c>
      <c r="X37" s="190">
        <v>0.98162890000000003</v>
      </c>
      <c r="Y37" s="191">
        <v>0.99359500000000001</v>
      </c>
      <c r="Z37" s="190">
        <v>0.98757569999999995</v>
      </c>
    </row>
    <row r="38" spans="1:26" x14ac:dyDescent="0.2">
      <c r="A38" s="214"/>
      <c r="B38" s="167">
        <v>4</v>
      </c>
      <c r="C38" s="173">
        <v>0.97989999999999999</v>
      </c>
      <c r="D38" s="173">
        <v>0.98458380000000001</v>
      </c>
      <c r="E38" s="173">
        <v>0.99315779999999998</v>
      </c>
      <c r="F38" s="168">
        <v>0.98885219999999996</v>
      </c>
      <c r="G38" s="173">
        <v>0.95699999999999996</v>
      </c>
      <c r="H38" s="190">
        <v>0.97029909999999997</v>
      </c>
      <c r="I38" s="190">
        <v>0.98216879999999995</v>
      </c>
      <c r="J38" s="190">
        <v>0.9761978</v>
      </c>
      <c r="K38" s="190">
        <v>0.9829</v>
      </c>
      <c r="L38" s="190">
        <v>0.98581850000000004</v>
      </c>
      <c r="M38" s="190">
        <v>0.99549920000000003</v>
      </c>
      <c r="N38" s="190">
        <v>0.99063520000000005</v>
      </c>
      <c r="O38" s="190">
        <v>0.91039999999999999</v>
      </c>
      <c r="P38" s="190">
        <v>0.91041159999999999</v>
      </c>
      <c r="Q38" s="190">
        <v>1</v>
      </c>
      <c r="R38" s="190">
        <v>0.95310519999999999</v>
      </c>
      <c r="S38" s="190">
        <v>0.98119999999999996</v>
      </c>
      <c r="T38" s="190">
        <v>0.98386770000000001</v>
      </c>
      <c r="U38" s="190">
        <v>0.99545450000000002</v>
      </c>
      <c r="V38" s="191">
        <v>0.98962720000000004</v>
      </c>
      <c r="W38" s="190">
        <v>0.97450000000000003</v>
      </c>
      <c r="X38" s="190">
        <v>0.97823879999999996</v>
      </c>
      <c r="Y38" s="191">
        <v>0.99380170000000001</v>
      </c>
      <c r="Z38" s="190">
        <v>0.98595880000000002</v>
      </c>
    </row>
    <row r="39" spans="1:26" x14ac:dyDescent="0.2">
      <c r="A39" s="214"/>
      <c r="B39" s="167">
        <v>5</v>
      </c>
      <c r="C39" s="173">
        <v>0.97989999999999999</v>
      </c>
      <c r="D39" s="173">
        <v>0.98458380000000001</v>
      </c>
      <c r="E39" s="173">
        <v>0.99315779999999998</v>
      </c>
      <c r="F39" s="168">
        <v>0.98885219999999996</v>
      </c>
      <c r="G39" s="173">
        <v>0.89829999999999999</v>
      </c>
      <c r="H39" s="170">
        <v>0.89830509999999997</v>
      </c>
      <c r="I39" s="170">
        <v>1</v>
      </c>
      <c r="J39" s="170">
        <v>0.94642859999999995</v>
      </c>
      <c r="K39" s="170">
        <v>0.9829</v>
      </c>
      <c r="L39" s="170">
        <v>0.98581850000000004</v>
      </c>
      <c r="M39" s="170">
        <v>0.99549920000000003</v>
      </c>
      <c r="N39" s="170">
        <v>0.99063520000000005</v>
      </c>
      <c r="O39" s="170">
        <v>0.96</v>
      </c>
      <c r="P39" s="190">
        <v>0.96075719999999998</v>
      </c>
      <c r="Q39" s="190">
        <v>0.99672669999999997</v>
      </c>
      <c r="R39" s="190">
        <v>0.97841149999999999</v>
      </c>
      <c r="S39" s="190">
        <v>0.98119999999999996</v>
      </c>
      <c r="T39" s="190">
        <v>0.98386770000000001</v>
      </c>
      <c r="U39" s="190">
        <v>0.99545450000000002</v>
      </c>
      <c r="V39" s="191">
        <v>0.98962720000000004</v>
      </c>
      <c r="W39" s="190">
        <v>0.90149999999999997</v>
      </c>
      <c r="X39" s="190">
        <v>0.90147140000000003</v>
      </c>
      <c r="Y39" s="191">
        <v>1</v>
      </c>
      <c r="Z39" s="190">
        <v>0.948183</v>
      </c>
    </row>
    <row r="40" spans="1:26" ht="17" thickBot="1" x14ac:dyDescent="0.25">
      <c r="A40" s="138"/>
      <c r="B40" s="115"/>
      <c r="C40" s="175"/>
      <c r="D40" s="175"/>
      <c r="E40" s="175"/>
      <c r="F40" s="175"/>
      <c r="G40" s="175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x14ac:dyDescent="0.2">
      <c r="A41" s="214" t="s">
        <v>79</v>
      </c>
      <c r="B41" s="167">
        <v>1</v>
      </c>
      <c r="C41" s="173">
        <v>0.9778</v>
      </c>
      <c r="D41" s="173">
        <v>0.98157249999999996</v>
      </c>
      <c r="E41" s="173">
        <v>0.99398710000000001</v>
      </c>
      <c r="F41" s="168">
        <v>0.98774079999999997</v>
      </c>
      <c r="G41" s="173">
        <v>0.89849999999999997</v>
      </c>
      <c r="H41" s="190">
        <v>0.898918314</v>
      </c>
      <c r="I41" s="190">
        <v>0.99937798099999997</v>
      </c>
      <c r="J41" s="190">
        <v>0.94648993599999998</v>
      </c>
      <c r="K41" s="190">
        <v>0.9829</v>
      </c>
      <c r="L41" s="190">
        <v>0.98542510000000005</v>
      </c>
      <c r="M41" s="190">
        <v>0.99590829999999997</v>
      </c>
      <c r="N41" s="191">
        <v>0.99063900000000005</v>
      </c>
      <c r="O41" s="190">
        <v>0.91120000000000001</v>
      </c>
      <c r="P41" s="190">
        <v>0.91109040100000005</v>
      </c>
      <c r="Q41" s="190">
        <v>1</v>
      </c>
      <c r="R41" s="190">
        <v>0.95347703100000003</v>
      </c>
      <c r="S41" s="190">
        <v>0.98080000000000001</v>
      </c>
      <c r="T41" s="190">
        <v>0.97968310000000003</v>
      </c>
      <c r="U41" s="190">
        <v>0.99628099999999997</v>
      </c>
      <c r="V41" s="191">
        <v>0.98791229999999997</v>
      </c>
      <c r="W41" s="190">
        <v>0.90329999999999999</v>
      </c>
      <c r="X41" s="190">
        <v>0.90315356999999996</v>
      </c>
      <c r="Y41" s="190">
        <v>1</v>
      </c>
      <c r="Z41" s="190">
        <v>0.94911266000000005</v>
      </c>
    </row>
    <row r="42" spans="1:26" x14ac:dyDescent="0.2">
      <c r="A42" s="214"/>
      <c r="B42" s="167">
        <v>2</v>
      </c>
      <c r="C42" s="173">
        <v>0.9778</v>
      </c>
      <c r="D42" s="173">
        <v>0.98157249999999996</v>
      </c>
      <c r="E42" s="173">
        <v>0.99398710000000001</v>
      </c>
      <c r="F42" s="168">
        <v>0.98774079999999997</v>
      </c>
      <c r="G42" s="173">
        <v>0.94450000000000001</v>
      </c>
      <c r="H42" s="190">
        <v>0.9435405</v>
      </c>
      <c r="I42" s="190">
        <v>0.9979266</v>
      </c>
      <c r="J42" s="190">
        <v>0.96997180000000005</v>
      </c>
      <c r="K42" s="190">
        <v>0.9829</v>
      </c>
      <c r="L42" s="190">
        <v>0.98542510000000005</v>
      </c>
      <c r="M42" s="190">
        <v>0.99590829999999997</v>
      </c>
      <c r="N42" s="191">
        <v>0.99063900000000005</v>
      </c>
      <c r="O42" s="190">
        <v>0.96199999999999997</v>
      </c>
      <c r="P42" s="190">
        <v>0.96248029999999996</v>
      </c>
      <c r="Q42" s="190">
        <v>0.99713580000000002</v>
      </c>
      <c r="R42" s="190">
        <v>0.97950159999999997</v>
      </c>
      <c r="S42" s="190">
        <v>0.98080000000000001</v>
      </c>
      <c r="T42" s="190">
        <v>0.97968310000000003</v>
      </c>
      <c r="U42" s="190">
        <v>0.99628099999999997</v>
      </c>
      <c r="V42" s="191">
        <v>0.98791229999999997</v>
      </c>
      <c r="W42" s="190">
        <v>0.97240000000000004</v>
      </c>
      <c r="X42" s="190">
        <v>0.97374799999999995</v>
      </c>
      <c r="Y42" s="190">
        <v>0.99628099999999997</v>
      </c>
      <c r="Z42" s="190">
        <v>0.98488560000000003</v>
      </c>
    </row>
    <row r="43" spans="1:26" x14ac:dyDescent="0.2">
      <c r="A43" s="214"/>
      <c r="B43" s="167">
        <v>3</v>
      </c>
      <c r="C43" s="173">
        <v>0.9778</v>
      </c>
      <c r="D43" s="173">
        <v>0.98157249999999996</v>
      </c>
      <c r="E43" s="173">
        <v>0.99398710000000001</v>
      </c>
      <c r="F43" s="168">
        <v>0.98774079999999997</v>
      </c>
      <c r="G43" s="173">
        <v>0.7772</v>
      </c>
      <c r="H43" s="190">
        <v>0.9819293</v>
      </c>
      <c r="I43" s="190">
        <v>0.76612069999999999</v>
      </c>
      <c r="J43" s="190">
        <v>0.86070349999999995</v>
      </c>
      <c r="K43" s="190">
        <v>0.9829</v>
      </c>
      <c r="L43" s="190">
        <v>0.98542510000000005</v>
      </c>
      <c r="M43" s="190">
        <v>0.99590829999999997</v>
      </c>
      <c r="N43" s="191">
        <v>0.99063900000000005</v>
      </c>
      <c r="O43" s="190">
        <v>0.89680000000000004</v>
      </c>
      <c r="P43" s="190">
        <v>0.9867475</v>
      </c>
      <c r="Q43" s="190">
        <v>0.89873159999999996</v>
      </c>
      <c r="R43" s="190">
        <v>0.9406852</v>
      </c>
      <c r="S43" s="190">
        <v>0.98080000000000001</v>
      </c>
      <c r="T43" s="190">
        <v>0.97968310000000003</v>
      </c>
      <c r="U43" s="190">
        <v>0.99628099999999997</v>
      </c>
      <c r="V43" s="191">
        <v>0.98791229999999997</v>
      </c>
      <c r="W43" s="190">
        <v>0.97040000000000004</v>
      </c>
      <c r="X43" s="190">
        <v>0.98089170000000003</v>
      </c>
      <c r="Y43" s="190">
        <v>0.98636360000000001</v>
      </c>
      <c r="Z43" s="190">
        <v>0.9836201</v>
      </c>
    </row>
    <row r="44" spans="1:26" x14ac:dyDescent="0.2">
      <c r="A44" s="214"/>
      <c r="B44" s="167">
        <v>4</v>
      </c>
      <c r="C44" s="173">
        <v>0.9778</v>
      </c>
      <c r="D44" s="173">
        <v>0.98157249999999996</v>
      </c>
      <c r="E44" s="173">
        <v>0.99398710000000001</v>
      </c>
      <c r="F44" s="168">
        <v>0.98774079999999997</v>
      </c>
      <c r="G44" s="173">
        <v>0.1026</v>
      </c>
      <c r="H44" s="170">
        <v>1</v>
      </c>
      <c r="I44" s="170">
        <v>1.0366990999999999E-3</v>
      </c>
      <c r="J44" s="170">
        <v>2.0712510000000001E-3</v>
      </c>
      <c r="K44" s="170">
        <v>0.9829</v>
      </c>
      <c r="L44" s="170">
        <v>0.98542510000000005</v>
      </c>
      <c r="M44" s="170">
        <v>0.99590829999999997</v>
      </c>
      <c r="N44" s="169">
        <v>0.99063900000000005</v>
      </c>
      <c r="O44" s="170">
        <v>0.57089999999999996</v>
      </c>
      <c r="P44" s="190">
        <v>0.99464010000000003</v>
      </c>
      <c r="Q44" s="190">
        <v>0.53150569999999997</v>
      </c>
      <c r="R44" s="190">
        <v>0.69279999999999997</v>
      </c>
      <c r="S44" s="190">
        <v>0.98080000000000001</v>
      </c>
      <c r="T44" s="190">
        <v>0.97968310000000003</v>
      </c>
      <c r="U44" s="190">
        <v>0.99628099999999997</v>
      </c>
      <c r="V44" s="191">
        <v>0.98791229999999997</v>
      </c>
      <c r="W44" s="190">
        <v>0.35239999999999999</v>
      </c>
      <c r="X44" s="190">
        <v>0.98853049999999998</v>
      </c>
      <c r="Y44" s="190">
        <v>0.28491739999999999</v>
      </c>
      <c r="Z44" s="190">
        <v>0.4423416</v>
      </c>
    </row>
    <row r="45" spans="1:26" x14ac:dyDescent="0.2">
      <c r="A45" s="214"/>
      <c r="B45" s="167">
        <v>5</v>
      </c>
      <c r="C45" s="173">
        <v>0.9778</v>
      </c>
      <c r="D45" s="173">
        <v>0.98157249999999996</v>
      </c>
      <c r="E45" s="173">
        <v>0.99398710000000001</v>
      </c>
      <c r="F45" s="168">
        <v>0.98774079999999997</v>
      </c>
      <c r="G45" s="170" t="s">
        <v>24</v>
      </c>
      <c r="H45" s="170" t="s">
        <v>24</v>
      </c>
      <c r="I45" s="170" t="s">
        <v>24</v>
      </c>
      <c r="J45" s="170" t="s">
        <v>24</v>
      </c>
      <c r="K45" s="170">
        <v>0.9829</v>
      </c>
      <c r="L45" s="170">
        <v>0.98542510000000005</v>
      </c>
      <c r="M45" s="170">
        <v>0.99590829999999997</v>
      </c>
      <c r="N45" s="169">
        <v>0.99063900000000005</v>
      </c>
      <c r="O45" s="170">
        <v>8.9800000000000005E-2</v>
      </c>
      <c r="P45" s="190">
        <v>1</v>
      </c>
      <c r="Q45" s="190">
        <v>2.045827E-4</v>
      </c>
      <c r="R45" s="190">
        <v>4.0908159999999998E-4</v>
      </c>
      <c r="S45" s="190">
        <v>0.98080000000000001</v>
      </c>
      <c r="T45" s="190">
        <v>0.97968310000000003</v>
      </c>
      <c r="U45" s="190">
        <v>0.99628099999999997</v>
      </c>
      <c r="V45" s="191">
        <v>0.98791229999999997</v>
      </c>
      <c r="W45" s="190">
        <v>9.8199999999999996E-2</v>
      </c>
      <c r="X45" s="190">
        <v>0</v>
      </c>
      <c r="Y45" s="190">
        <v>0</v>
      </c>
      <c r="Z45" s="190" t="s">
        <v>71</v>
      </c>
    </row>
    <row r="46" spans="1:26" x14ac:dyDescent="0.2">
      <c r="A46" s="130"/>
      <c r="B46" s="167"/>
      <c r="C46" s="173"/>
      <c r="D46" s="173"/>
      <c r="E46" s="173"/>
      <c r="F46" s="173"/>
      <c r="G46" s="173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spans="1:26" x14ac:dyDescent="0.2">
      <c r="A47" s="214" t="s">
        <v>80</v>
      </c>
      <c r="B47" s="167">
        <v>1</v>
      </c>
      <c r="C47" s="173">
        <v>0.9778</v>
      </c>
      <c r="D47" s="173">
        <v>0.98157249999999996</v>
      </c>
      <c r="E47" s="173">
        <v>0.99398710000000001</v>
      </c>
      <c r="F47" s="173">
        <v>0.98774079999999997</v>
      </c>
      <c r="G47" s="173">
        <v>0.97860000000000003</v>
      </c>
      <c r="H47" s="190">
        <v>0.98237699999999994</v>
      </c>
      <c r="I47" s="190">
        <v>0.99398710000000001</v>
      </c>
      <c r="J47" s="191">
        <v>0.98814800000000003</v>
      </c>
      <c r="K47" s="190">
        <v>0.9829</v>
      </c>
      <c r="L47" s="190">
        <v>0.98542510000000005</v>
      </c>
      <c r="M47" s="190">
        <v>0.99590829999999997</v>
      </c>
      <c r="N47" s="191">
        <v>0.99063900000000005</v>
      </c>
      <c r="O47" s="190">
        <v>0.98319999999999996</v>
      </c>
      <c r="P47" s="190">
        <v>0.98602109999999998</v>
      </c>
      <c r="Q47" s="190">
        <v>0.99570380000000003</v>
      </c>
      <c r="R47" s="190">
        <v>0.95150120000000005</v>
      </c>
      <c r="S47" s="190">
        <v>0.98080000000000001</v>
      </c>
      <c r="T47" s="190">
        <v>0.97968310000000003</v>
      </c>
      <c r="U47" s="190">
        <v>0.99628099999999997</v>
      </c>
      <c r="V47" s="191">
        <v>0.98791229999999997</v>
      </c>
      <c r="W47" s="190">
        <v>0.97950000000000004</v>
      </c>
      <c r="X47" s="190">
        <v>0.98127799999999998</v>
      </c>
      <c r="Y47" s="190">
        <v>0.99628099999999997</v>
      </c>
      <c r="Z47" s="190">
        <v>0.98872260000000001</v>
      </c>
    </row>
    <row r="48" spans="1:26" x14ac:dyDescent="0.2">
      <c r="A48" s="214"/>
      <c r="B48" s="167">
        <v>2</v>
      </c>
      <c r="C48" s="173">
        <v>0.9778</v>
      </c>
      <c r="D48" s="173">
        <v>0.98157249999999996</v>
      </c>
      <c r="E48" s="173">
        <v>0.99398710000000001</v>
      </c>
      <c r="F48" s="173">
        <v>0.98774079999999997</v>
      </c>
      <c r="G48" s="173">
        <v>0.9788</v>
      </c>
      <c r="H48" s="190">
        <v>0.98576439999999999</v>
      </c>
      <c r="I48" s="190">
        <v>0.99066969999999999</v>
      </c>
      <c r="J48" s="191">
        <v>0.98821099999999995</v>
      </c>
      <c r="K48" s="190">
        <v>0.9829</v>
      </c>
      <c r="L48" s="190">
        <v>0.98542510000000005</v>
      </c>
      <c r="M48" s="190">
        <v>0.99590829999999997</v>
      </c>
      <c r="N48" s="191">
        <v>0.99063900000000005</v>
      </c>
      <c r="O48" s="190">
        <v>0.98099999999999998</v>
      </c>
      <c r="P48" s="190">
        <v>0.98796899999999999</v>
      </c>
      <c r="Q48" s="190">
        <v>0.9912029</v>
      </c>
      <c r="R48" s="190">
        <v>0.98958330000000005</v>
      </c>
      <c r="S48" s="190">
        <v>0.98080000000000001</v>
      </c>
      <c r="T48" s="190">
        <v>0.97968310000000003</v>
      </c>
      <c r="U48" s="190">
        <v>0.99628099999999997</v>
      </c>
      <c r="V48" s="191">
        <v>0.98791229999999997</v>
      </c>
      <c r="W48" s="190">
        <v>0.97909999999999997</v>
      </c>
      <c r="X48" s="190">
        <v>0.9840295</v>
      </c>
      <c r="Y48" s="190">
        <v>0.99297519999999995</v>
      </c>
      <c r="Z48" s="190">
        <v>0.98848210000000003</v>
      </c>
    </row>
    <row r="49" spans="1:26" x14ac:dyDescent="0.2">
      <c r="A49" s="214"/>
      <c r="B49" s="167">
        <v>3</v>
      </c>
      <c r="C49" s="173">
        <v>0.9778</v>
      </c>
      <c r="D49" s="173">
        <v>0.98157249999999996</v>
      </c>
      <c r="E49" s="173">
        <v>0.99398710000000001</v>
      </c>
      <c r="F49" s="168">
        <v>0.98774079999999997</v>
      </c>
      <c r="G49" s="173">
        <v>0.97170000000000001</v>
      </c>
      <c r="H49" s="190">
        <v>0.98646120000000004</v>
      </c>
      <c r="I49" s="190">
        <v>0.98196139999999998</v>
      </c>
      <c r="J49" s="190">
        <v>0.98420620000000003</v>
      </c>
      <c r="K49" s="190">
        <v>0.9829</v>
      </c>
      <c r="L49" s="190">
        <v>0.98542510000000005</v>
      </c>
      <c r="M49" s="190">
        <v>0.99590829999999997</v>
      </c>
      <c r="N49" s="191">
        <v>0.99063900000000005</v>
      </c>
      <c r="O49" s="190">
        <v>0.97670000000000001</v>
      </c>
      <c r="P49" s="190">
        <v>0.98851279999999997</v>
      </c>
      <c r="Q49" s="190">
        <v>0.98588379999999998</v>
      </c>
      <c r="R49" s="190">
        <v>0.98719659999999998</v>
      </c>
      <c r="S49" s="190">
        <v>0.98080000000000001</v>
      </c>
      <c r="T49" s="190">
        <v>0.97968310000000003</v>
      </c>
      <c r="U49" s="190">
        <v>0.99628099999999997</v>
      </c>
      <c r="V49" s="191">
        <v>0.98791229999999997</v>
      </c>
      <c r="W49" s="190">
        <v>0.97430000000000005</v>
      </c>
      <c r="X49" s="190">
        <v>0.98474229999999996</v>
      </c>
      <c r="Y49" s="190">
        <v>0.98677689999999996</v>
      </c>
      <c r="Z49" s="190">
        <v>0.98575849999999998</v>
      </c>
    </row>
    <row r="50" spans="1:26" x14ac:dyDescent="0.2">
      <c r="A50" s="214"/>
      <c r="B50" s="167">
        <v>4</v>
      </c>
      <c r="C50" s="173">
        <v>0.9778</v>
      </c>
      <c r="D50" s="173">
        <v>0.98157249999999996</v>
      </c>
      <c r="E50" s="173">
        <v>0.99398710000000001</v>
      </c>
      <c r="F50" s="168">
        <v>0.98774079999999997</v>
      </c>
      <c r="G50" s="173">
        <v>0.96589999999999998</v>
      </c>
      <c r="H50" s="190">
        <v>0.98698569999999997</v>
      </c>
      <c r="I50" s="190">
        <v>0.97491190000000005</v>
      </c>
      <c r="J50" s="190">
        <v>0.98091170000000005</v>
      </c>
      <c r="K50" s="190">
        <v>0.9829</v>
      </c>
      <c r="L50" s="190">
        <v>0.98542510000000005</v>
      </c>
      <c r="M50" s="190">
        <v>0.99590829999999997</v>
      </c>
      <c r="N50" s="191">
        <v>0.99063900000000005</v>
      </c>
      <c r="O50" s="190">
        <v>0.97489999999999999</v>
      </c>
      <c r="P50" s="190">
        <v>0.98909239999999998</v>
      </c>
      <c r="Q50" s="190">
        <v>0.98322419999999999</v>
      </c>
      <c r="R50" s="190">
        <v>0.98614959999999996</v>
      </c>
      <c r="S50" s="190">
        <v>0.98080000000000001</v>
      </c>
      <c r="T50" s="190">
        <v>0.97968310000000003</v>
      </c>
      <c r="U50" s="190">
        <v>0.99628099999999997</v>
      </c>
      <c r="V50" s="191">
        <v>0.98791229999999997</v>
      </c>
      <c r="W50" s="190">
        <v>0.96850000000000003</v>
      </c>
      <c r="X50" s="190">
        <v>0.98545000000000005</v>
      </c>
      <c r="Y50" s="190">
        <v>0.97954549999999996</v>
      </c>
      <c r="Z50" s="190">
        <v>0.9824889</v>
      </c>
    </row>
    <row r="51" spans="1:26" x14ac:dyDescent="0.2">
      <c r="A51" s="214"/>
      <c r="B51" s="167">
        <v>5</v>
      </c>
      <c r="C51" s="173">
        <v>0.9778</v>
      </c>
      <c r="D51" s="173">
        <v>0.98157249999999996</v>
      </c>
      <c r="E51" s="173">
        <v>0.99398710000000001</v>
      </c>
      <c r="F51" s="168">
        <v>0.98774079999999997</v>
      </c>
      <c r="G51" s="173">
        <v>0.93330000000000002</v>
      </c>
      <c r="H51" s="170">
        <v>0.98840519999999998</v>
      </c>
      <c r="I51" s="170">
        <v>0.93676139999999997</v>
      </c>
      <c r="J51" s="170">
        <v>0.96189060000000004</v>
      </c>
      <c r="K51" s="170">
        <v>0.9829</v>
      </c>
      <c r="L51" s="170">
        <v>0.98542510000000005</v>
      </c>
      <c r="M51" s="170">
        <v>0.99590829999999997</v>
      </c>
      <c r="N51" s="169">
        <v>0.99063900000000005</v>
      </c>
      <c r="O51" s="170">
        <v>0.95920000000000005</v>
      </c>
      <c r="P51" s="190">
        <v>0.99013229999999997</v>
      </c>
      <c r="Q51" s="190">
        <v>0.9648118</v>
      </c>
      <c r="R51" s="190">
        <v>0.97730810000000001</v>
      </c>
      <c r="S51" s="190">
        <v>0.98080000000000001</v>
      </c>
      <c r="T51" s="190">
        <v>0.97968310000000003</v>
      </c>
      <c r="U51" s="190">
        <v>0.99628099999999997</v>
      </c>
      <c r="V51" s="191">
        <v>0.98791229999999997</v>
      </c>
      <c r="W51" s="190">
        <v>0.96289999999999998</v>
      </c>
      <c r="X51" s="190">
        <v>0.98596859999999997</v>
      </c>
      <c r="Y51" s="190">
        <v>0.97272729999999996</v>
      </c>
      <c r="Z51" s="190">
        <v>0.97930320000000004</v>
      </c>
    </row>
    <row r="52" spans="1:26" ht="17" thickBot="1" x14ac:dyDescent="0.25">
      <c r="A52" s="138"/>
      <c r="B52" s="115"/>
      <c r="C52" s="175"/>
      <c r="D52" s="175"/>
      <c r="E52" s="175"/>
      <c r="F52" s="175"/>
      <c r="G52" s="175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spans="1:26" x14ac:dyDescent="0.2">
      <c r="A53" s="214" t="s">
        <v>81</v>
      </c>
      <c r="B53" s="167">
        <v>1</v>
      </c>
      <c r="C53" s="173">
        <v>0.96179999999999999</v>
      </c>
      <c r="D53" s="173">
        <v>0.98447340000000005</v>
      </c>
      <c r="E53" s="173">
        <v>0.97283850000000005</v>
      </c>
      <c r="F53" s="168">
        <v>0.97862130000000003</v>
      </c>
      <c r="G53" s="173">
        <v>0.89419999999999999</v>
      </c>
      <c r="H53" s="190" t="s">
        <v>24</v>
      </c>
      <c r="I53" s="190" t="s">
        <v>24</v>
      </c>
      <c r="J53" s="190" t="s">
        <v>24</v>
      </c>
      <c r="K53" s="190">
        <v>0.97060000000000002</v>
      </c>
      <c r="L53" s="190">
        <v>0.98602109999999998</v>
      </c>
      <c r="M53" s="190">
        <v>0.99570380000000003</v>
      </c>
      <c r="N53" s="191">
        <v>0.95150120000000005</v>
      </c>
      <c r="O53" s="190">
        <v>0.92679999999999996</v>
      </c>
      <c r="P53" s="190" t="s">
        <v>24</v>
      </c>
      <c r="Q53" s="190" t="s">
        <v>24</v>
      </c>
      <c r="R53" s="190" t="s">
        <v>24</v>
      </c>
      <c r="S53" s="190">
        <v>0.9667</v>
      </c>
      <c r="T53" s="190">
        <v>0.98481379999999996</v>
      </c>
      <c r="U53" s="190">
        <v>0.97809919999999995</v>
      </c>
      <c r="V53" s="191">
        <v>0.98144500000000001</v>
      </c>
      <c r="W53" s="190">
        <v>0.92900000000000005</v>
      </c>
      <c r="X53" s="190" t="s">
        <v>24</v>
      </c>
      <c r="Y53" s="190" t="s">
        <v>24</v>
      </c>
      <c r="Z53" s="190" t="s">
        <v>24</v>
      </c>
    </row>
    <row r="54" spans="1:26" x14ac:dyDescent="0.2">
      <c r="A54" s="214"/>
      <c r="B54" s="167">
        <v>2</v>
      </c>
      <c r="C54" s="173">
        <v>0.96179999999999999</v>
      </c>
      <c r="D54" s="173">
        <v>0.98447340000000005</v>
      </c>
      <c r="E54" s="173">
        <v>0.97283850000000005</v>
      </c>
      <c r="F54" s="168">
        <v>0.97862130000000003</v>
      </c>
      <c r="G54" s="173">
        <v>0.9385</v>
      </c>
      <c r="H54" s="170">
        <v>0.96870440000000002</v>
      </c>
      <c r="I54" s="170">
        <v>0.96267879999999995</v>
      </c>
      <c r="J54" s="170">
        <v>0.96568220000000005</v>
      </c>
      <c r="K54" s="170">
        <v>0.97060000000000002</v>
      </c>
      <c r="L54" s="170">
        <v>0.98602109999999998</v>
      </c>
      <c r="M54" s="170">
        <v>0.99570380000000003</v>
      </c>
      <c r="N54" s="170">
        <v>0.95150120000000005</v>
      </c>
      <c r="O54" s="170">
        <v>0.95569999999999999</v>
      </c>
      <c r="P54" s="190">
        <v>0.98721709999999996</v>
      </c>
      <c r="Q54" s="190">
        <v>0.96378889999999995</v>
      </c>
      <c r="R54" s="191">
        <v>0.97536230000000002</v>
      </c>
      <c r="S54" s="190">
        <v>0.9667</v>
      </c>
      <c r="T54" s="190">
        <v>0.98481379999999996</v>
      </c>
      <c r="U54" s="190">
        <v>0.97809919999999995</v>
      </c>
      <c r="V54" s="191">
        <v>0.98144500000000001</v>
      </c>
      <c r="W54" s="190">
        <v>0.95550000000000002</v>
      </c>
      <c r="X54" s="190">
        <v>0.98462190000000005</v>
      </c>
      <c r="Y54" s="190">
        <v>0.96570250000000002</v>
      </c>
      <c r="Z54" s="190">
        <v>0.96570250000000002</v>
      </c>
    </row>
    <row r="55" spans="1:26" x14ac:dyDescent="0.2">
      <c r="A55" s="214"/>
      <c r="B55" s="167">
        <v>3</v>
      </c>
      <c r="C55" s="173">
        <v>0.96179999999999999</v>
      </c>
      <c r="D55" s="173">
        <v>0.98447340000000005</v>
      </c>
      <c r="E55" s="173">
        <v>0.97283850000000005</v>
      </c>
      <c r="F55" s="168">
        <v>0.97862130000000003</v>
      </c>
      <c r="G55" s="173">
        <v>0.47720000000000001</v>
      </c>
      <c r="H55" s="190">
        <v>0.96494460000000004</v>
      </c>
      <c r="I55" s="190">
        <v>0.4337549</v>
      </c>
      <c r="J55" s="190">
        <v>0.59848380000000001</v>
      </c>
      <c r="K55" s="190">
        <v>0.97060000000000002</v>
      </c>
      <c r="L55" s="190">
        <v>0.98602109999999998</v>
      </c>
      <c r="M55" s="190">
        <v>0.99570380000000003</v>
      </c>
      <c r="N55" s="191">
        <v>0.95150120000000005</v>
      </c>
      <c r="O55" s="190">
        <v>0.90110000000000001</v>
      </c>
      <c r="P55" s="190">
        <v>0.97931789999999996</v>
      </c>
      <c r="Q55" s="190">
        <v>0.9105974</v>
      </c>
      <c r="R55" s="190">
        <v>0.94370830000000006</v>
      </c>
      <c r="S55" s="190">
        <v>0.9667</v>
      </c>
      <c r="T55" s="190">
        <v>0.98481379999999996</v>
      </c>
      <c r="U55" s="190">
        <v>0.97809919999999995</v>
      </c>
      <c r="V55" s="191">
        <v>0.98144500000000001</v>
      </c>
      <c r="W55" s="190">
        <v>0.9637</v>
      </c>
      <c r="X55" s="190">
        <v>0.97955809999999999</v>
      </c>
      <c r="Y55" s="190">
        <v>0.98016530000000002</v>
      </c>
      <c r="Z55" s="190">
        <v>0.9798616</v>
      </c>
    </row>
    <row r="56" spans="1:26" x14ac:dyDescent="0.2">
      <c r="A56" s="214"/>
      <c r="B56" s="167">
        <v>4</v>
      </c>
      <c r="C56" s="173">
        <v>0.96179999999999999</v>
      </c>
      <c r="D56" s="173">
        <v>0.98447340000000005</v>
      </c>
      <c r="E56" s="173">
        <v>0.97283850000000005</v>
      </c>
      <c r="F56" s="168">
        <v>0.97862130000000003</v>
      </c>
      <c r="G56" s="173">
        <v>0.69289999999999996</v>
      </c>
      <c r="H56" s="170">
        <v>0.9794562</v>
      </c>
      <c r="I56" s="170">
        <v>0.67219569999999995</v>
      </c>
      <c r="J56" s="170">
        <v>0.7972458</v>
      </c>
      <c r="K56" s="170">
        <v>0.97060000000000002</v>
      </c>
      <c r="L56" s="170">
        <v>0.98602109999999998</v>
      </c>
      <c r="M56" s="170">
        <v>0.99570380000000003</v>
      </c>
      <c r="N56" s="169">
        <v>0.95150120000000005</v>
      </c>
      <c r="O56" s="170">
        <v>0.75</v>
      </c>
      <c r="P56" s="190">
        <v>0.98601970000000005</v>
      </c>
      <c r="Q56" s="190">
        <v>0.73588379999999998</v>
      </c>
      <c r="R56" s="190">
        <v>0.84278350000000002</v>
      </c>
      <c r="S56" s="190">
        <v>0.9667</v>
      </c>
      <c r="T56" s="190">
        <v>0.98481379999999996</v>
      </c>
      <c r="U56" s="190">
        <v>0.97809919999999995</v>
      </c>
      <c r="V56" s="191">
        <v>0.98144500000000001</v>
      </c>
      <c r="W56" s="190">
        <v>0.71560000000000001</v>
      </c>
      <c r="X56" s="190">
        <v>0.98140079999999996</v>
      </c>
      <c r="Y56" s="190">
        <v>0.69772730000000005</v>
      </c>
      <c r="Z56" s="190">
        <v>0.81560200000000005</v>
      </c>
    </row>
    <row r="57" spans="1:26" x14ac:dyDescent="0.2">
      <c r="A57" s="214"/>
      <c r="B57" s="167">
        <v>5</v>
      </c>
      <c r="C57" s="173">
        <v>0.96179999999999999</v>
      </c>
      <c r="D57" s="173">
        <v>0.98447340000000005</v>
      </c>
      <c r="E57" s="173">
        <v>0.97283850000000005</v>
      </c>
      <c r="F57" s="168">
        <v>0.97862130000000003</v>
      </c>
      <c r="G57" s="173" t="s">
        <v>24</v>
      </c>
      <c r="H57" s="170" t="s">
        <v>24</v>
      </c>
      <c r="I57" s="170" t="s">
        <v>24</v>
      </c>
      <c r="J57" s="170" t="s">
        <v>24</v>
      </c>
      <c r="K57" s="170">
        <v>0.97060000000000002</v>
      </c>
      <c r="L57" s="170">
        <v>0.98602109999999998</v>
      </c>
      <c r="M57" s="170">
        <v>0.99570380000000003</v>
      </c>
      <c r="N57" s="169">
        <v>0.95150120000000005</v>
      </c>
      <c r="O57" s="170" t="s">
        <v>24</v>
      </c>
      <c r="P57" s="190" t="s">
        <v>24</v>
      </c>
      <c r="Q57" s="190" t="s">
        <v>24</v>
      </c>
      <c r="R57" s="190" t="s">
        <v>24</v>
      </c>
      <c r="S57" s="190">
        <v>0.9667</v>
      </c>
      <c r="T57" s="190">
        <v>0.98481379999999996</v>
      </c>
      <c r="U57" s="190">
        <v>0.97809919999999995</v>
      </c>
      <c r="V57" s="191">
        <v>0.98144500000000001</v>
      </c>
      <c r="W57" s="190" t="s">
        <v>24</v>
      </c>
      <c r="X57" s="190" t="s">
        <v>24</v>
      </c>
      <c r="Y57" s="190" t="s">
        <v>24</v>
      </c>
      <c r="Z57" s="190" t="s">
        <v>24</v>
      </c>
    </row>
    <row r="58" spans="1:26" x14ac:dyDescent="0.2">
      <c r="A58" s="130"/>
      <c r="B58" s="167"/>
      <c r="C58" s="173"/>
      <c r="D58" s="173"/>
      <c r="E58" s="173"/>
      <c r="F58" s="173"/>
      <c r="G58" s="173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spans="1:26" x14ac:dyDescent="0.2">
      <c r="A59" s="214" t="s">
        <v>82</v>
      </c>
      <c r="B59" s="167">
        <v>1</v>
      </c>
      <c r="C59" s="173">
        <v>0.96179999999999999</v>
      </c>
      <c r="D59" s="173">
        <v>0.98447340000000005</v>
      </c>
      <c r="E59" s="173">
        <v>0.97283850000000005</v>
      </c>
      <c r="F59" s="168">
        <v>0.97862130000000003</v>
      </c>
      <c r="G59" s="173">
        <v>0.96950000000000003</v>
      </c>
      <c r="H59" s="190" t="s">
        <v>24</v>
      </c>
      <c r="I59" s="191" t="s">
        <v>24</v>
      </c>
      <c r="J59" s="190" t="s">
        <v>24</v>
      </c>
      <c r="K59" s="190">
        <v>0.97060000000000002</v>
      </c>
      <c r="L59" s="190">
        <v>0.98602109999999998</v>
      </c>
      <c r="M59" s="190">
        <v>0.99570380000000003</v>
      </c>
      <c r="N59" s="191">
        <v>0.95150120000000005</v>
      </c>
      <c r="O59" s="190">
        <v>0.97499999999999998</v>
      </c>
      <c r="P59" s="190" t="s">
        <v>24</v>
      </c>
      <c r="Q59" s="191" t="s">
        <v>24</v>
      </c>
      <c r="R59" s="190" t="s">
        <v>24</v>
      </c>
      <c r="S59" s="190">
        <v>0.9667</v>
      </c>
      <c r="T59" s="190">
        <v>0.98481379999999996</v>
      </c>
      <c r="U59" s="190">
        <v>0.97809919999999995</v>
      </c>
      <c r="V59" s="191">
        <v>0.98144500000000001</v>
      </c>
      <c r="W59" s="190">
        <v>0.97109999999999996</v>
      </c>
      <c r="X59" s="190" t="s">
        <v>24</v>
      </c>
      <c r="Y59" s="191" t="s">
        <v>24</v>
      </c>
      <c r="Z59" s="190" t="s">
        <v>24</v>
      </c>
    </row>
    <row r="60" spans="1:26" x14ac:dyDescent="0.2">
      <c r="A60" s="214"/>
      <c r="B60" s="167">
        <v>2</v>
      </c>
      <c r="C60" s="173">
        <v>0.96179999999999999</v>
      </c>
      <c r="D60" s="173">
        <v>0.98447340000000005</v>
      </c>
      <c r="E60" s="173">
        <v>0.97283850000000005</v>
      </c>
      <c r="F60" s="168">
        <v>0.97862130000000003</v>
      </c>
      <c r="G60" s="173">
        <v>0.9385</v>
      </c>
      <c r="H60" s="170">
        <v>0.96870440000000002</v>
      </c>
      <c r="I60" s="170">
        <v>0.96267879999999995</v>
      </c>
      <c r="J60" s="170">
        <v>0.96568220000000005</v>
      </c>
      <c r="K60" s="170">
        <v>0.97060000000000002</v>
      </c>
      <c r="L60" s="170">
        <v>0.98602109999999998</v>
      </c>
      <c r="M60" s="170">
        <v>0.99570380000000003</v>
      </c>
      <c r="N60" s="170">
        <v>0.95150120000000005</v>
      </c>
      <c r="O60" s="170">
        <v>0.95569999999999999</v>
      </c>
      <c r="P60" s="190">
        <v>0.98721709999999996</v>
      </c>
      <c r="Q60" s="190">
        <v>0.96378889999999995</v>
      </c>
      <c r="R60" s="191">
        <v>0.97536230000000002</v>
      </c>
      <c r="S60" s="190">
        <v>0.9667</v>
      </c>
      <c r="T60" s="190">
        <v>0.98481379999999996</v>
      </c>
      <c r="U60" s="190">
        <v>0.97809919999999995</v>
      </c>
      <c r="V60" s="191">
        <v>0.98144500000000001</v>
      </c>
      <c r="W60" s="190">
        <v>0.95550000000000002</v>
      </c>
      <c r="X60" s="190">
        <v>0.98462190000000005</v>
      </c>
      <c r="Y60" s="190">
        <v>0.96570250000000002</v>
      </c>
      <c r="Z60" s="190">
        <v>0.9750704</v>
      </c>
    </row>
    <row r="61" spans="1:26" x14ac:dyDescent="0.2">
      <c r="A61" s="214"/>
      <c r="B61" s="167">
        <v>3</v>
      </c>
      <c r="C61" s="173">
        <v>0.96179999999999999</v>
      </c>
      <c r="D61" s="173">
        <v>0.98447340000000005</v>
      </c>
      <c r="E61" s="173">
        <v>0.97283850000000005</v>
      </c>
      <c r="F61" s="168">
        <v>0.97862130000000003</v>
      </c>
      <c r="G61" s="173">
        <v>0.47720000000000001</v>
      </c>
      <c r="H61" s="190">
        <v>0.96494460000000004</v>
      </c>
      <c r="I61" s="190">
        <v>0.4337549</v>
      </c>
      <c r="J61" s="190">
        <v>0.59848380000000001</v>
      </c>
      <c r="K61" s="190">
        <v>0.97060000000000002</v>
      </c>
      <c r="L61" s="190">
        <v>0.98602109999999998</v>
      </c>
      <c r="M61" s="190">
        <v>0.99570380000000003</v>
      </c>
      <c r="N61" s="191">
        <v>0.95150120000000005</v>
      </c>
      <c r="O61" s="190">
        <v>0.90110000000000001</v>
      </c>
      <c r="P61" s="190">
        <v>0.97931789999999996</v>
      </c>
      <c r="Q61" s="190">
        <v>0.9105974</v>
      </c>
      <c r="R61" s="190">
        <v>0.94370830000000006</v>
      </c>
      <c r="S61" s="190">
        <v>0.9667</v>
      </c>
      <c r="T61" s="190">
        <v>0.98481379999999996</v>
      </c>
      <c r="U61" s="190">
        <v>0.97809919999999995</v>
      </c>
      <c r="V61" s="190">
        <v>0.98144500000000001</v>
      </c>
      <c r="W61" s="190">
        <v>0.9637</v>
      </c>
      <c r="X61" s="190">
        <v>0.97955809999999999</v>
      </c>
      <c r="Y61" s="190">
        <v>0.98016530000000002</v>
      </c>
      <c r="Z61" s="191">
        <v>0.9798616</v>
      </c>
    </row>
    <row r="62" spans="1:26" x14ac:dyDescent="0.2">
      <c r="A62" s="214"/>
      <c r="B62" s="167">
        <v>4</v>
      </c>
      <c r="C62" s="173">
        <v>0.96179999999999999</v>
      </c>
      <c r="D62" s="173">
        <v>0.98447340000000005</v>
      </c>
      <c r="E62" s="173">
        <v>0.97283850000000005</v>
      </c>
      <c r="F62" s="168">
        <v>0.97862130000000003</v>
      </c>
      <c r="G62" s="173">
        <v>0.69289999999999996</v>
      </c>
      <c r="H62" s="190">
        <v>0.9794562</v>
      </c>
      <c r="I62" s="190">
        <v>0.67219569999999995</v>
      </c>
      <c r="J62" s="190">
        <v>0.7972458</v>
      </c>
      <c r="K62" s="190">
        <v>0.97060000000000002</v>
      </c>
      <c r="L62" s="190">
        <v>0.98602109999999998</v>
      </c>
      <c r="M62" s="190">
        <v>0.99570380000000003</v>
      </c>
      <c r="N62" s="191">
        <v>0.95150120000000005</v>
      </c>
      <c r="O62" s="190">
        <v>0.75</v>
      </c>
      <c r="P62" s="190">
        <v>0.98601970000000005</v>
      </c>
      <c r="Q62" s="190">
        <v>0.73588379999999998</v>
      </c>
      <c r="R62" s="190">
        <v>0.84278350000000002</v>
      </c>
      <c r="S62" s="190">
        <v>0.9667</v>
      </c>
      <c r="T62" s="190">
        <v>0.98481379999999996</v>
      </c>
      <c r="U62" s="190">
        <v>0.97809919999999995</v>
      </c>
      <c r="V62" s="191">
        <v>0.98144500000000001</v>
      </c>
      <c r="W62" s="190">
        <v>0.71560000000000001</v>
      </c>
      <c r="X62" s="190">
        <v>0.98140079999999996</v>
      </c>
      <c r="Y62" s="190">
        <v>0.69772730000000005</v>
      </c>
      <c r="Z62" s="190">
        <v>0.81560200000000005</v>
      </c>
    </row>
    <row r="63" spans="1:26" ht="17" thickBot="1" x14ac:dyDescent="0.25">
      <c r="A63" s="213"/>
      <c r="B63" s="115">
        <v>5</v>
      </c>
      <c r="C63" s="175">
        <v>0.96179999999999999</v>
      </c>
      <c r="D63" s="175">
        <v>0.98447340000000005</v>
      </c>
      <c r="E63" s="175">
        <v>0.97283850000000005</v>
      </c>
      <c r="F63" s="196">
        <v>0.97862130000000003</v>
      </c>
      <c r="G63" s="175" t="s">
        <v>24</v>
      </c>
      <c r="H63" s="164" t="s">
        <v>24</v>
      </c>
      <c r="I63" s="164" t="s">
        <v>24</v>
      </c>
      <c r="J63" s="164" t="s">
        <v>24</v>
      </c>
      <c r="K63" s="164">
        <v>0.97060000000000002</v>
      </c>
      <c r="L63" s="164">
        <v>0.98602109999999998</v>
      </c>
      <c r="M63" s="164">
        <v>0.99570380000000003</v>
      </c>
      <c r="N63" s="208">
        <v>0.95150120000000005</v>
      </c>
      <c r="O63" s="164" t="s">
        <v>24</v>
      </c>
      <c r="P63" s="164" t="s">
        <v>24</v>
      </c>
      <c r="Q63" s="164" t="s">
        <v>24</v>
      </c>
      <c r="R63" s="164" t="s">
        <v>24</v>
      </c>
      <c r="S63" s="164">
        <v>0.9667</v>
      </c>
      <c r="T63" s="164">
        <v>0.98481379999999996</v>
      </c>
      <c r="U63" s="164">
        <v>0.97809919999999995</v>
      </c>
      <c r="V63" s="208">
        <v>0.98144500000000001</v>
      </c>
      <c r="W63" s="164" t="s">
        <v>24</v>
      </c>
      <c r="X63" s="163" t="s">
        <v>24</v>
      </c>
      <c r="Y63" s="163" t="s">
        <v>24</v>
      </c>
      <c r="Z63" s="163" t="s">
        <v>24</v>
      </c>
    </row>
    <row r="64" spans="1:26" x14ac:dyDescent="0.2">
      <c r="X64" s="11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Z2"/>
    <mergeCell ref="A1:Z1"/>
    <mergeCell ref="C3:J3"/>
    <mergeCell ref="K3:R3"/>
    <mergeCell ref="S3:Z3"/>
    <mergeCell ref="A5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E460-AF2A-C040-A86F-EFEF98B1A7CA}">
  <dimension ref="A1:AA63"/>
  <sheetViews>
    <sheetView showGridLines="0" workbookViewId="0">
      <selection activeCell="C2" sqref="C2:T2"/>
    </sheetView>
  </sheetViews>
  <sheetFormatPr baseColWidth="10" defaultColWidth="11" defaultRowHeight="16" x14ac:dyDescent="0.2"/>
  <cols>
    <col min="1" max="1" width="29" customWidth="1"/>
  </cols>
  <sheetData>
    <row r="1" spans="1:27" ht="17" thickBot="1" x14ac:dyDescent="0.25">
      <c r="A1" s="211" t="s">
        <v>197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7" s="23" customFormat="1" ht="17" thickBot="1" x14ac:dyDescent="0.25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/>
      <c r="V2"/>
      <c r="W2"/>
      <c r="X2"/>
      <c r="Y2"/>
      <c r="Z2"/>
      <c r="AA2"/>
    </row>
    <row r="3" spans="1:27" ht="17" thickBot="1" x14ac:dyDescent="0.25">
      <c r="A3" s="103"/>
      <c r="B3" s="103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7" ht="52" thickBot="1" x14ac:dyDescent="0.25">
      <c r="A4" s="115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7" x14ac:dyDescent="0.2">
      <c r="A5" s="214" t="s">
        <v>73</v>
      </c>
      <c r="B5" s="167">
        <v>1</v>
      </c>
      <c r="C5" s="167" t="s">
        <v>181</v>
      </c>
      <c r="D5" s="168">
        <v>0.98020599999999991</v>
      </c>
      <c r="E5" s="168">
        <v>0.99941363333333333</v>
      </c>
      <c r="F5" s="169" t="s">
        <v>86</v>
      </c>
      <c r="G5" s="170"/>
      <c r="H5" s="170"/>
      <c r="I5" s="169" t="s">
        <v>181</v>
      </c>
      <c r="J5" s="169">
        <v>0.97876956666666659</v>
      </c>
      <c r="K5" s="169">
        <v>0.99843286666666664</v>
      </c>
      <c r="L5" s="169" t="s">
        <v>86</v>
      </c>
      <c r="M5" s="170"/>
      <c r="N5" s="170"/>
      <c r="O5" s="170" t="s">
        <v>181</v>
      </c>
      <c r="P5" s="170">
        <v>0.97964693333333341</v>
      </c>
      <c r="Q5" s="170">
        <v>0.99439069999999996</v>
      </c>
      <c r="R5" s="171"/>
      <c r="S5" s="171"/>
      <c r="T5" s="171"/>
    </row>
    <row r="6" spans="1:27" x14ac:dyDescent="0.2">
      <c r="A6" s="214"/>
      <c r="B6" s="167">
        <v>2</v>
      </c>
      <c r="C6" s="172" t="s">
        <v>180</v>
      </c>
      <c r="D6" s="173">
        <v>0.98020599999999991</v>
      </c>
      <c r="E6" s="173">
        <v>0.98516136666666665</v>
      </c>
      <c r="F6" s="170"/>
      <c r="G6" s="169" t="s">
        <v>86</v>
      </c>
      <c r="H6" s="170"/>
      <c r="I6" s="170" t="s">
        <v>180</v>
      </c>
      <c r="J6" s="170">
        <v>0.97876956666666659</v>
      </c>
      <c r="K6" s="170">
        <v>0.98470630000000003</v>
      </c>
      <c r="L6" s="170"/>
      <c r="M6" s="170" t="s">
        <v>86</v>
      </c>
      <c r="N6" s="170"/>
      <c r="O6" s="170" t="s">
        <v>180</v>
      </c>
      <c r="P6" s="170">
        <v>0.97964693333333341</v>
      </c>
      <c r="Q6" s="170">
        <v>0.98198616666666672</v>
      </c>
      <c r="R6" s="171"/>
      <c r="S6" s="171" t="s">
        <v>86</v>
      </c>
      <c r="T6" s="171"/>
    </row>
    <row r="7" spans="1:27" x14ac:dyDescent="0.2">
      <c r="A7" s="214"/>
      <c r="B7" s="167">
        <v>3</v>
      </c>
      <c r="C7" s="172" t="s">
        <v>180</v>
      </c>
      <c r="D7" s="173">
        <v>0.98020599999999991</v>
      </c>
      <c r="E7" s="173">
        <v>0.90268386666666667</v>
      </c>
      <c r="F7" s="170"/>
      <c r="G7" s="170"/>
      <c r="H7" s="170" t="s">
        <v>86</v>
      </c>
      <c r="I7" s="170" t="s">
        <v>180</v>
      </c>
      <c r="J7" s="170">
        <v>0.97876956666666659</v>
      </c>
      <c r="K7" s="170">
        <v>0.98470630000000003</v>
      </c>
      <c r="L7" s="170"/>
      <c r="M7" s="170"/>
      <c r="N7" s="170" t="s">
        <v>86</v>
      </c>
      <c r="O7" s="170" t="s">
        <v>180</v>
      </c>
      <c r="P7" s="170">
        <v>0.97964693333333341</v>
      </c>
      <c r="Q7" s="170">
        <v>0.93993326666666677</v>
      </c>
      <c r="R7" s="171"/>
      <c r="S7" s="171"/>
      <c r="T7" s="171" t="s">
        <v>86</v>
      </c>
    </row>
    <row r="8" spans="1:27" x14ac:dyDescent="0.2">
      <c r="A8" s="214"/>
      <c r="B8" s="167">
        <v>4</v>
      </c>
      <c r="C8" s="172" t="s">
        <v>180</v>
      </c>
      <c r="D8" s="173">
        <v>0.98020599999999991</v>
      </c>
      <c r="E8" s="173">
        <v>0.97704589999999991</v>
      </c>
      <c r="F8" s="170"/>
      <c r="G8" s="169" t="s">
        <v>86</v>
      </c>
      <c r="H8" s="170"/>
      <c r="I8" s="173" t="s">
        <v>180</v>
      </c>
      <c r="J8" s="173">
        <v>0.97876956666666659</v>
      </c>
      <c r="K8" s="173">
        <v>0.98470630000000003</v>
      </c>
      <c r="L8" s="170"/>
      <c r="M8" s="170"/>
      <c r="N8" s="170" t="s">
        <v>86</v>
      </c>
      <c r="O8" s="170" t="s">
        <v>180</v>
      </c>
      <c r="P8" s="170">
        <v>0.97964693333333341</v>
      </c>
      <c r="Q8" s="170">
        <v>0.9423851333333334</v>
      </c>
      <c r="R8" s="171"/>
      <c r="S8" s="171"/>
      <c r="T8" s="171" t="s">
        <v>86</v>
      </c>
    </row>
    <row r="9" spans="1:27" x14ac:dyDescent="0.2">
      <c r="A9" s="214"/>
      <c r="B9" s="167">
        <v>5</v>
      </c>
      <c r="C9" s="172" t="s">
        <v>24</v>
      </c>
      <c r="D9" s="173">
        <v>0.98020599999999991</v>
      </c>
      <c r="E9" s="173" t="s">
        <v>24</v>
      </c>
      <c r="F9" s="170"/>
      <c r="G9" s="170"/>
      <c r="H9" s="170"/>
      <c r="I9" s="173" t="s">
        <v>24</v>
      </c>
      <c r="J9" s="173">
        <v>0.97876956666666659</v>
      </c>
      <c r="K9" s="173">
        <v>0.98470630000000003</v>
      </c>
      <c r="L9" s="170"/>
      <c r="M9" s="170"/>
      <c r="N9" s="170"/>
      <c r="O9" s="169" t="s">
        <v>181</v>
      </c>
      <c r="P9" s="169">
        <v>0.97964693333333341</v>
      </c>
      <c r="Q9" s="169">
        <v>0.9936676000000001</v>
      </c>
      <c r="R9" s="166" t="s">
        <v>86</v>
      </c>
      <c r="S9" s="171"/>
      <c r="T9" s="171"/>
    </row>
    <row r="10" spans="1:27" x14ac:dyDescent="0.2">
      <c r="A10" s="130"/>
      <c r="B10" s="167"/>
      <c r="C10" s="167"/>
      <c r="D10" s="173"/>
      <c r="E10" s="173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1"/>
      <c r="S10" s="171"/>
      <c r="T10" s="171"/>
      <c r="V10" t="s">
        <v>506</v>
      </c>
    </row>
    <row r="11" spans="1:27" x14ac:dyDescent="0.2">
      <c r="A11" s="214" t="s">
        <v>74</v>
      </c>
      <c r="B11" s="167">
        <v>1</v>
      </c>
      <c r="C11" s="172" t="s">
        <v>180</v>
      </c>
      <c r="D11" s="173">
        <v>0.98020599999999991</v>
      </c>
      <c r="E11" s="173">
        <v>0.96514423333333343</v>
      </c>
      <c r="F11" s="170"/>
      <c r="G11" s="170"/>
      <c r="H11" s="170"/>
      <c r="I11" s="170" t="s">
        <v>180</v>
      </c>
      <c r="J11" s="170">
        <v>0.97876956666666659</v>
      </c>
      <c r="K11" s="170">
        <v>0.96649363333333327</v>
      </c>
      <c r="L11" s="170"/>
      <c r="M11" s="170"/>
      <c r="N11" s="170"/>
      <c r="O11" s="170" t="s">
        <v>180</v>
      </c>
      <c r="P11" s="170">
        <v>0.97964693333333341</v>
      </c>
      <c r="Q11" s="170">
        <v>0.96747123333333329</v>
      </c>
      <c r="R11" s="171"/>
      <c r="S11" s="171"/>
      <c r="T11" s="171"/>
    </row>
    <row r="12" spans="1:27" x14ac:dyDescent="0.2">
      <c r="A12" s="214"/>
      <c r="B12" s="167">
        <v>2</v>
      </c>
      <c r="C12" s="172" t="s">
        <v>180</v>
      </c>
      <c r="D12" s="173">
        <v>0.98020599999999991</v>
      </c>
      <c r="E12" s="173">
        <v>0.97910609999999998</v>
      </c>
      <c r="F12" s="170"/>
      <c r="G12" s="169" t="s">
        <v>86</v>
      </c>
      <c r="H12" s="170"/>
      <c r="I12" s="173" t="s">
        <v>180</v>
      </c>
      <c r="J12" s="168">
        <v>0.97876956666666659</v>
      </c>
      <c r="K12" s="168">
        <v>0.97865830000000009</v>
      </c>
      <c r="L12" s="170"/>
      <c r="M12" s="170" t="s">
        <v>86</v>
      </c>
      <c r="N12" s="170"/>
      <c r="O12" s="170" t="s">
        <v>180</v>
      </c>
      <c r="P12" s="170">
        <v>0.97964693333333341</v>
      </c>
      <c r="Q12" s="170">
        <v>0.98051099999999991</v>
      </c>
      <c r="R12" s="171"/>
      <c r="S12" s="171" t="s">
        <v>86</v>
      </c>
      <c r="T12" s="171"/>
    </row>
    <row r="13" spans="1:27" x14ac:dyDescent="0.2">
      <c r="A13" s="214"/>
      <c r="B13" s="167">
        <v>3</v>
      </c>
      <c r="C13" s="172" t="s">
        <v>180</v>
      </c>
      <c r="D13" s="173">
        <v>0.98020599999999991</v>
      </c>
      <c r="E13" s="173">
        <v>0.98595310000000003</v>
      </c>
      <c r="F13" s="170"/>
      <c r="G13" s="169" t="s">
        <v>86</v>
      </c>
      <c r="H13" s="170"/>
      <c r="I13" s="170" t="s">
        <v>180</v>
      </c>
      <c r="J13" s="170">
        <v>0.97876956666666659</v>
      </c>
      <c r="K13" s="170">
        <v>0.98406459999999996</v>
      </c>
      <c r="L13" s="170"/>
      <c r="M13" s="170" t="s">
        <v>86</v>
      </c>
      <c r="N13" s="170"/>
      <c r="O13" s="170" t="s">
        <v>180</v>
      </c>
      <c r="P13" s="170">
        <v>0.97964693333333341</v>
      </c>
      <c r="Q13" s="170">
        <v>0.98282476666666663</v>
      </c>
      <c r="R13" s="171"/>
      <c r="S13" s="171" t="s">
        <v>86</v>
      </c>
      <c r="T13" s="171"/>
    </row>
    <row r="14" spans="1:27" x14ac:dyDescent="0.2">
      <c r="A14" s="214"/>
      <c r="B14" s="167">
        <v>4</v>
      </c>
      <c r="C14" s="172" t="s">
        <v>181</v>
      </c>
      <c r="D14" s="173">
        <v>0.98020599999999991</v>
      </c>
      <c r="E14" s="173">
        <v>0.98871180000000003</v>
      </c>
      <c r="F14" s="170"/>
      <c r="G14" s="170"/>
      <c r="H14" s="170"/>
      <c r="I14" s="170" t="s">
        <v>181</v>
      </c>
      <c r="J14" s="170">
        <v>0.97876956666666659</v>
      </c>
      <c r="K14" s="170">
        <v>0.9878876333333334</v>
      </c>
      <c r="L14" s="170"/>
      <c r="M14" s="170"/>
      <c r="N14" s="170"/>
      <c r="O14" s="170" t="s">
        <v>181</v>
      </c>
      <c r="P14" s="170">
        <v>0.97964693333333341</v>
      </c>
      <c r="Q14" s="170">
        <v>0.98745973333333337</v>
      </c>
      <c r="R14" s="171"/>
      <c r="S14" s="171"/>
      <c r="T14" s="171"/>
    </row>
    <row r="15" spans="1:27" x14ac:dyDescent="0.2">
      <c r="A15" s="214"/>
      <c r="B15" s="167">
        <v>5</v>
      </c>
      <c r="C15" s="172" t="s">
        <v>181</v>
      </c>
      <c r="D15" s="173">
        <v>0.98020599999999991</v>
      </c>
      <c r="E15" s="173">
        <v>0.99157420000000007</v>
      </c>
      <c r="F15" s="170"/>
      <c r="G15" s="170"/>
      <c r="H15" s="170"/>
      <c r="I15" s="170" t="s">
        <v>181</v>
      </c>
      <c r="J15" s="170">
        <v>0.97876956666666659</v>
      </c>
      <c r="K15" s="170">
        <v>0.98885033333333328</v>
      </c>
      <c r="L15" s="170"/>
      <c r="M15" s="170"/>
      <c r="N15" s="170"/>
      <c r="O15" s="170" t="s">
        <v>181</v>
      </c>
      <c r="P15" s="170">
        <v>0.97964693333333341</v>
      </c>
      <c r="Q15" s="170">
        <v>0.98907306666666661</v>
      </c>
      <c r="R15" s="171"/>
      <c r="S15" s="171"/>
      <c r="T15" s="171"/>
    </row>
    <row r="16" spans="1:27" ht="17" thickBot="1" x14ac:dyDescent="0.25">
      <c r="A16" s="138"/>
      <c r="B16" s="115"/>
      <c r="C16" s="115"/>
      <c r="D16" s="175"/>
      <c r="E16" s="175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49"/>
      <c r="S16" s="149"/>
      <c r="T16" s="149"/>
    </row>
    <row r="17" spans="1:20" x14ac:dyDescent="0.2">
      <c r="A17" s="214" t="s">
        <v>75</v>
      </c>
      <c r="B17" s="167">
        <v>1</v>
      </c>
      <c r="C17" s="172" t="s">
        <v>181</v>
      </c>
      <c r="D17" s="173">
        <v>0.97956736666666666</v>
      </c>
      <c r="E17" s="173">
        <v>0.99941363333333333</v>
      </c>
      <c r="F17" s="170"/>
      <c r="G17" s="170"/>
      <c r="H17" s="170"/>
      <c r="I17" s="169" t="s">
        <v>181</v>
      </c>
      <c r="J17" s="169">
        <v>0.97677423333333324</v>
      </c>
      <c r="K17" s="169">
        <v>0.99843286666666664</v>
      </c>
      <c r="L17" s="169" t="s">
        <v>86</v>
      </c>
      <c r="M17" s="170"/>
      <c r="N17" s="170"/>
      <c r="O17" s="170" t="s">
        <v>181</v>
      </c>
      <c r="P17" s="170">
        <v>0.97916840000000016</v>
      </c>
      <c r="Q17" s="170">
        <v>0.99426176666666677</v>
      </c>
      <c r="R17" s="171"/>
      <c r="S17" s="171"/>
      <c r="T17" s="171"/>
    </row>
    <row r="18" spans="1:20" x14ac:dyDescent="0.2">
      <c r="A18" s="214"/>
      <c r="B18" s="167">
        <v>2</v>
      </c>
      <c r="C18" s="172" t="s">
        <v>180</v>
      </c>
      <c r="D18" s="173">
        <v>0.97956736666666666</v>
      </c>
      <c r="E18" s="173">
        <v>0.98503770000000002</v>
      </c>
      <c r="F18" s="170"/>
      <c r="G18" s="170" t="s">
        <v>86</v>
      </c>
      <c r="H18" s="170"/>
      <c r="I18" s="170" t="s">
        <v>180</v>
      </c>
      <c r="J18" s="170">
        <v>0.97677423333333324</v>
      </c>
      <c r="K18" s="170">
        <v>0.98373139999999992</v>
      </c>
      <c r="L18" s="170"/>
      <c r="M18" s="170" t="s">
        <v>86</v>
      </c>
      <c r="N18" s="170"/>
      <c r="O18" s="170" t="s">
        <v>180</v>
      </c>
      <c r="P18" s="170">
        <v>0.97916840000000016</v>
      </c>
      <c r="Q18" s="170">
        <v>0.98168606666666669</v>
      </c>
      <c r="R18" s="171"/>
      <c r="S18" s="171" t="s">
        <v>86</v>
      </c>
      <c r="T18" s="171"/>
    </row>
    <row r="19" spans="1:20" x14ac:dyDescent="0.2">
      <c r="A19" s="214"/>
      <c r="B19" s="167">
        <v>3</v>
      </c>
      <c r="C19" s="172" t="s">
        <v>180</v>
      </c>
      <c r="D19" s="173">
        <v>0.97956736666666666</v>
      </c>
      <c r="E19" s="173">
        <v>0.91090166666666672</v>
      </c>
      <c r="F19" s="170"/>
      <c r="G19" s="170"/>
      <c r="H19" s="170" t="s">
        <v>86</v>
      </c>
      <c r="I19" s="170" t="s">
        <v>180</v>
      </c>
      <c r="J19" s="170">
        <v>0.97677423333333324</v>
      </c>
      <c r="K19" s="170">
        <v>0.91999940000000002</v>
      </c>
      <c r="L19" s="170"/>
      <c r="M19" s="170"/>
      <c r="N19" s="170" t="s">
        <v>86</v>
      </c>
      <c r="O19" s="170" t="s">
        <v>180</v>
      </c>
      <c r="P19" s="170">
        <v>0.97916840000000016</v>
      </c>
      <c r="Q19" s="170">
        <v>0.94104540000000003</v>
      </c>
      <c r="R19" s="171"/>
      <c r="S19" s="171"/>
      <c r="T19" s="171" t="s">
        <v>86</v>
      </c>
    </row>
    <row r="20" spans="1:20" x14ac:dyDescent="0.2">
      <c r="A20" s="214"/>
      <c r="B20" s="167">
        <v>4</v>
      </c>
      <c r="C20" s="172" t="s">
        <v>180</v>
      </c>
      <c r="D20" s="173">
        <v>0.97956736666666666</v>
      </c>
      <c r="E20" s="173">
        <v>0.98203589999999996</v>
      </c>
      <c r="F20" s="170"/>
      <c r="G20" s="170" t="s">
        <v>86</v>
      </c>
      <c r="H20" s="170"/>
      <c r="I20" s="170" t="s">
        <v>180</v>
      </c>
      <c r="J20" s="170">
        <v>0.97677423333333324</v>
      </c>
      <c r="K20" s="170">
        <v>0.95826076666666671</v>
      </c>
      <c r="L20" s="170"/>
      <c r="M20" s="170"/>
      <c r="N20" s="170" t="s">
        <v>86</v>
      </c>
      <c r="O20" s="170" t="s">
        <v>180</v>
      </c>
      <c r="P20" s="170">
        <v>0.97916840000000016</v>
      </c>
      <c r="Q20" s="170">
        <v>0.93669776666666671</v>
      </c>
      <c r="R20" s="171"/>
      <c r="S20" s="171"/>
      <c r="T20" s="171" t="s">
        <v>86</v>
      </c>
    </row>
    <row r="21" spans="1:20" x14ac:dyDescent="0.2">
      <c r="A21" s="214"/>
      <c r="B21" s="167">
        <v>5</v>
      </c>
      <c r="C21" s="172" t="s">
        <v>24</v>
      </c>
      <c r="D21" s="173">
        <v>0.97956736666666666</v>
      </c>
      <c r="E21" s="173" t="s">
        <v>24</v>
      </c>
      <c r="F21" s="170"/>
      <c r="G21" s="170"/>
      <c r="H21" s="170"/>
      <c r="I21" s="170" t="s">
        <v>24</v>
      </c>
      <c r="J21" s="170">
        <v>0.97677423333333324</v>
      </c>
      <c r="K21" s="170">
        <v>1</v>
      </c>
      <c r="L21" s="170" t="s">
        <v>24</v>
      </c>
      <c r="M21" s="170"/>
      <c r="N21" s="170"/>
      <c r="O21" s="170" t="s">
        <v>181</v>
      </c>
      <c r="P21" s="170">
        <v>0.97916840000000016</v>
      </c>
      <c r="Q21" s="170">
        <v>0.99366283333333338</v>
      </c>
      <c r="R21" s="171"/>
      <c r="S21" s="171"/>
      <c r="T21" s="171"/>
    </row>
    <row r="22" spans="1:20" x14ac:dyDescent="0.2">
      <c r="A22" s="130"/>
      <c r="B22" s="167"/>
      <c r="C22" s="167"/>
      <c r="D22" s="173"/>
      <c r="E22" s="173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1"/>
      <c r="S22" s="171"/>
      <c r="T22" s="171"/>
    </row>
    <row r="23" spans="1:20" x14ac:dyDescent="0.2">
      <c r="A23" s="214" t="s">
        <v>76</v>
      </c>
      <c r="B23" s="167">
        <v>1</v>
      </c>
      <c r="C23" s="172" t="s">
        <v>181</v>
      </c>
      <c r="D23" s="173">
        <v>0.97956736666666666</v>
      </c>
      <c r="E23" s="173">
        <v>0.98871179999999992</v>
      </c>
      <c r="F23" s="170"/>
      <c r="G23" s="170"/>
      <c r="H23" s="170"/>
      <c r="I23" s="170" t="s">
        <v>181</v>
      </c>
      <c r="J23" s="170">
        <v>0.97677423333333324</v>
      </c>
      <c r="K23" s="170">
        <v>0.98803543333333332</v>
      </c>
      <c r="L23" s="170"/>
      <c r="M23" s="170"/>
      <c r="N23" s="170"/>
      <c r="O23" s="170" t="s">
        <v>181</v>
      </c>
      <c r="P23" s="170">
        <v>0.97916840000000016</v>
      </c>
      <c r="Q23" s="170">
        <v>0.98810609999999999</v>
      </c>
      <c r="R23" s="171"/>
      <c r="S23" s="171"/>
      <c r="T23" s="171"/>
    </row>
    <row r="24" spans="1:20" x14ac:dyDescent="0.2">
      <c r="A24" s="214"/>
      <c r="B24" s="167">
        <v>2</v>
      </c>
      <c r="C24" s="172" t="s">
        <v>180</v>
      </c>
      <c r="D24" s="173">
        <v>0.97956736666666666</v>
      </c>
      <c r="E24" s="173">
        <v>0.97832463333333342</v>
      </c>
      <c r="F24" s="170"/>
      <c r="G24" s="170" t="s">
        <v>86</v>
      </c>
      <c r="H24" s="170"/>
      <c r="I24" s="170" t="s">
        <v>180</v>
      </c>
      <c r="J24" s="170">
        <v>0.97677423333333324</v>
      </c>
      <c r="K24" s="170">
        <v>0.98002400000000012</v>
      </c>
      <c r="L24" s="170"/>
      <c r="M24" s="170" t="s">
        <v>86</v>
      </c>
      <c r="N24" s="170"/>
      <c r="O24" s="170" t="s">
        <v>180</v>
      </c>
      <c r="P24" s="170">
        <v>0.97916840000000016</v>
      </c>
      <c r="Q24" s="170">
        <v>0.97992050000000008</v>
      </c>
      <c r="R24" s="171"/>
      <c r="S24" s="171" t="s">
        <v>86</v>
      </c>
      <c r="T24" s="171"/>
    </row>
    <row r="25" spans="1:20" x14ac:dyDescent="0.2">
      <c r="A25" s="214"/>
      <c r="B25" s="167">
        <v>3</v>
      </c>
      <c r="C25" s="172" t="s">
        <v>180</v>
      </c>
      <c r="D25" s="173">
        <v>0.97956736666666666</v>
      </c>
      <c r="E25" s="173">
        <v>0.98613096666666655</v>
      </c>
      <c r="F25" s="170"/>
      <c r="G25" s="170" t="s">
        <v>86</v>
      </c>
      <c r="H25" s="170"/>
      <c r="I25" s="170" t="s">
        <v>180</v>
      </c>
      <c r="J25" s="170">
        <v>0.97677423333333324</v>
      </c>
      <c r="K25" s="170">
        <v>0.98501113333333334</v>
      </c>
      <c r="L25" s="170"/>
      <c r="M25" s="170" t="s">
        <v>86</v>
      </c>
      <c r="N25" s="170"/>
      <c r="O25" s="170" t="s">
        <v>180</v>
      </c>
      <c r="P25" s="170">
        <v>0.97916840000000016</v>
      </c>
      <c r="Q25" s="170">
        <v>0.98364946666666675</v>
      </c>
      <c r="R25" s="171"/>
      <c r="S25" s="171" t="s">
        <v>86</v>
      </c>
      <c r="T25" s="171"/>
    </row>
    <row r="26" spans="1:20" x14ac:dyDescent="0.2">
      <c r="A26" s="214"/>
      <c r="B26" s="167">
        <v>4</v>
      </c>
      <c r="C26" s="172" t="s">
        <v>181</v>
      </c>
      <c r="D26" s="173">
        <v>0.97956736666666666</v>
      </c>
      <c r="E26" s="173">
        <v>0.98920980000000014</v>
      </c>
      <c r="F26" s="170"/>
      <c r="G26" s="170"/>
      <c r="H26" s="170"/>
      <c r="I26" s="170" t="s">
        <v>181</v>
      </c>
      <c r="J26" s="170">
        <v>0.97677423333333324</v>
      </c>
      <c r="K26" s="170">
        <v>0.98862633333333338</v>
      </c>
      <c r="L26" s="170"/>
      <c r="M26" s="170"/>
      <c r="N26" s="170"/>
      <c r="O26" s="170" t="s">
        <v>181</v>
      </c>
      <c r="P26" s="170">
        <v>0.97916840000000016</v>
      </c>
      <c r="Q26" s="170">
        <v>0.98810600000000004</v>
      </c>
      <c r="R26" s="171"/>
      <c r="S26" s="171"/>
      <c r="T26" s="171"/>
    </row>
    <row r="27" spans="1:20" x14ac:dyDescent="0.2">
      <c r="A27" s="214"/>
      <c r="B27" s="167">
        <v>5</v>
      </c>
      <c r="C27" s="172" t="s">
        <v>181</v>
      </c>
      <c r="D27" s="173">
        <v>0.97956736666666666</v>
      </c>
      <c r="E27" s="173">
        <v>0.99089050000000001</v>
      </c>
      <c r="F27" s="170"/>
      <c r="G27" s="170"/>
      <c r="H27" s="170"/>
      <c r="I27" s="170" t="s">
        <v>181</v>
      </c>
      <c r="J27" s="170">
        <v>0.97677423333333324</v>
      </c>
      <c r="K27" s="170">
        <v>0.98923503333333329</v>
      </c>
      <c r="L27" s="170"/>
      <c r="M27" s="170"/>
      <c r="N27" s="170"/>
      <c r="O27" s="170" t="s">
        <v>181</v>
      </c>
      <c r="P27" s="170">
        <v>0.97916840000000016</v>
      </c>
      <c r="Q27" s="170">
        <v>0.98923353333333319</v>
      </c>
      <c r="R27" s="171"/>
      <c r="S27" s="171"/>
      <c r="T27" s="171"/>
    </row>
    <row r="28" spans="1:20" ht="17" thickBot="1" x14ac:dyDescent="0.25">
      <c r="A28" s="138"/>
      <c r="B28" s="115"/>
      <c r="C28" s="115"/>
      <c r="D28" s="175"/>
      <c r="E28" s="175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49"/>
      <c r="S28" s="149"/>
      <c r="T28" s="149"/>
    </row>
    <row r="29" spans="1:20" x14ac:dyDescent="0.2">
      <c r="A29" s="214" t="s">
        <v>77</v>
      </c>
      <c r="B29" s="167">
        <v>1</v>
      </c>
      <c r="C29" s="172" t="s">
        <v>181</v>
      </c>
      <c r="D29" s="173">
        <v>0.98060506666666658</v>
      </c>
      <c r="E29" s="173">
        <v>0.99941360000000001</v>
      </c>
      <c r="F29" s="170"/>
      <c r="G29" s="170"/>
      <c r="H29" s="170"/>
      <c r="I29" s="169" t="s">
        <v>181</v>
      </c>
      <c r="J29" s="169">
        <v>0.97852986666666675</v>
      </c>
      <c r="K29" s="169">
        <v>0.99843286666666664</v>
      </c>
      <c r="L29" s="169" t="s">
        <v>86</v>
      </c>
      <c r="M29" s="170"/>
      <c r="N29" s="170"/>
      <c r="O29" s="170" t="s">
        <v>181</v>
      </c>
      <c r="P29" s="170">
        <v>0.97988673333333332</v>
      </c>
      <c r="Q29" s="170">
        <v>0.99432623333333325</v>
      </c>
      <c r="R29" s="171"/>
      <c r="S29" s="171"/>
      <c r="T29" s="171"/>
    </row>
    <row r="30" spans="1:20" x14ac:dyDescent="0.2">
      <c r="A30" s="214"/>
      <c r="B30" s="167">
        <v>2</v>
      </c>
      <c r="C30" s="172" t="s">
        <v>180</v>
      </c>
      <c r="D30" s="173">
        <v>0.98060506666666658</v>
      </c>
      <c r="E30" s="173">
        <v>0.98509863333333325</v>
      </c>
      <c r="F30" s="170"/>
      <c r="G30" s="170" t="s">
        <v>86</v>
      </c>
      <c r="H30" s="170"/>
      <c r="I30" s="170" t="s">
        <v>180</v>
      </c>
      <c r="J30" s="170">
        <v>0.97852986666666675</v>
      </c>
      <c r="K30" s="170">
        <v>0.98379246666666675</v>
      </c>
      <c r="L30" s="170"/>
      <c r="M30" s="170" t="s">
        <v>86</v>
      </c>
      <c r="N30" s="170"/>
      <c r="O30" s="170" t="s">
        <v>180</v>
      </c>
      <c r="P30" s="170">
        <v>0.97988673333333332</v>
      </c>
      <c r="Q30" s="170">
        <v>0.98228660000000001</v>
      </c>
      <c r="R30" s="171"/>
      <c r="S30" s="171" t="s">
        <v>86</v>
      </c>
      <c r="T30" s="171"/>
    </row>
    <row r="31" spans="1:20" x14ac:dyDescent="0.2">
      <c r="A31" s="214"/>
      <c r="B31" s="167">
        <v>3</v>
      </c>
      <c r="C31" s="172" t="s">
        <v>180</v>
      </c>
      <c r="D31" s="173">
        <v>0.98060506666666658</v>
      </c>
      <c r="E31" s="173">
        <v>0.89618870000000006</v>
      </c>
      <c r="F31" s="170"/>
      <c r="G31" s="170"/>
      <c r="H31" s="170" t="s">
        <v>86</v>
      </c>
      <c r="I31" s="170" t="s">
        <v>180</v>
      </c>
      <c r="J31" s="170">
        <v>0.97852986666666675</v>
      </c>
      <c r="K31" s="170">
        <v>0.91193800000000003</v>
      </c>
      <c r="L31" s="170"/>
      <c r="M31" s="170"/>
      <c r="N31" s="170" t="s">
        <v>86</v>
      </c>
      <c r="O31" s="170" t="s">
        <v>180</v>
      </c>
      <c r="P31" s="170">
        <v>0.97988673333333332</v>
      </c>
      <c r="Q31" s="170">
        <v>0.9384511333333333</v>
      </c>
      <c r="R31" s="171"/>
      <c r="S31" s="171"/>
      <c r="T31" s="171" t="s">
        <v>86</v>
      </c>
    </row>
    <row r="32" spans="1:20" x14ac:dyDescent="0.2">
      <c r="A32" s="214"/>
      <c r="B32" s="167">
        <v>4</v>
      </c>
      <c r="C32" s="172" t="s">
        <v>180</v>
      </c>
      <c r="D32" s="173">
        <v>0.98060506666666658</v>
      </c>
      <c r="E32" s="173">
        <v>0.98203589999999996</v>
      </c>
      <c r="F32" s="170"/>
      <c r="G32" s="170" t="s">
        <v>86</v>
      </c>
      <c r="H32" s="170"/>
      <c r="I32" s="170" t="s">
        <v>180</v>
      </c>
      <c r="J32" s="170">
        <v>0.97852986666666675</v>
      </c>
      <c r="K32" s="170">
        <v>0.96000143333333332</v>
      </c>
      <c r="L32" s="170"/>
      <c r="M32" s="170"/>
      <c r="N32" s="170"/>
      <c r="O32" s="170" t="s">
        <v>180</v>
      </c>
      <c r="P32" s="170">
        <v>0.97988673333333332</v>
      </c>
      <c r="Q32" s="170">
        <v>0.93812376666666664</v>
      </c>
      <c r="R32" s="171"/>
      <c r="S32" s="171"/>
      <c r="T32" s="171" t="s">
        <v>86</v>
      </c>
    </row>
    <row r="33" spans="1:20" x14ac:dyDescent="0.2">
      <c r="A33" s="214"/>
      <c r="B33" s="167">
        <v>5</v>
      </c>
      <c r="C33" s="172" t="s">
        <v>24</v>
      </c>
      <c r="D33" s="173">
        <v>0.98060506666666658</v>
      </c>
      <c r="E33" s="173" t="s">
        <v>24</v>
      </c>
      <c r="F33" s="170"/>
      <c r="G33" s="170"/>
      <c r="H33" s="170"/>
      <c r="I33" s="170" t="s">
        <v>180</v>
      </c>
      <c r="J33" s="170">
        <v>0.97852986666666675</v>
      </c>
      <c r="K33" s="170">
        <v>0.66823899366666673</v>
      </c>
      <c r="L33" s="170"/>
      <c r="M33" s="170"/>
      <c r="N33" s="170"/>
      <c r="O33" s="170" t="s">
        <v>181</v>
      </c>
      <c r="P33" s="170">
        <v>0.97988673333333332</v>
      </c>
      <c r="Q33" s="170">
        <v>0.9936676000000001</v>
      </c>
      <c r="R33" s="171"/>
      <c r="S33" s="171"/>
      <c r="T33" s="171"/>
    </row>
    <row r="34" spans="1:20" x14ac:dyDescent="0.2">
      <c r="A34" s="130"/>
      <c r="B34" s="167"/>
      <c r="C34" s="167"/>
      <c r="D34" s="173"/>
      <c r="E34" s="173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1"/>
      <c r="S34" s="171"/>
      <c r="T34" s="171"/>
    </row>
    <row r="35" spans="1:20" x14ac:dyDescent="0.2">
      <c r="A35" s="214" t="s">
        <v>78</v>
      </c>
      <c r="B35" s="167">
        <v>1</v>
      </c>
      <c r="C35" s="172" t="s">
        <v>180</v>
      </c>
      <c r="D35" s="173">
        <v>0.98060506666666658</v>
      </c>
      <c r="E35" s="173">
        <v>0.96654450000000003</v>
      </c>
      <c r="F35" s="170"/>
      <c r="G35" s="170"/>
      <c r="H35" s="170"/>
      <c r="I35" s="170" t="s">
        <v>180</v>
      </c>
      <c r="J35" s="170">
        <v>0.97852986666666675</v>
      </c>
      <c r="K35" s="170">
        <v>0.96712286666666669</v>
      </c>
      <c r="L35" s="170"/>
      <c r="M35" s="170"/>
      <c r="N35" s="170"/>
      <c r="O35" s="170" t="s">
        <v>180</v>
      </c>
      <c r="P35" s="170">
        <v>0.97988673333333332</v>
      </c>
      <c r="Q35" s="170">
        <v>0.96898633333333339</v>
      </c>
      <c r="R35" s="171"/>
      <c r="S35" s="171"/>
      <c r="T35" s="171"/>
    </row>
    <row r="36" spans="1:20" x14ac:dyDescent="0.2">
      <c r="A36" s="214"/>
      <c r="B36" s="167">
        <v>2</v>
      </c>
      <c r="C36" s="172" t="s">
        <v>180</v>
      </c>
      <c r="D36" s="173">
        <v>0.98060506666666658</v>
      </c>
      <c r="E36" s="173">
        <v>0.98506403333333326</v>
      </c>
      <c r="F36" s="170"/>
      <c r="G36" s="170" t="s">
        <v>86</v>
      </c>
      <c r="H36" s="170"/>
      <c r="I36" s="170" t="s">
        <v>180</v>
      </c>
      <c r="J36" s="170">
        <v>0.97852986666666675</v>
      </c>
      <c r="K36" s="170">
        <v>0.98564220000000002</v>
      </c>
      <c r="L36" s="170"/>
      <c r="M36" s="170" t="s">
        <v>86</v>
      </c>
      <c r="N36" s="170"/>
      <c r="O36" s="170" t="s">
        <v>180</v>
      </c>
      <c r="P36" s="170">
        <v>0.97988673333333332</v>
      </c>
      <c r="Q36" s="170">
        <v>0.98351203333333326</v>
      </c>
      <c r="R36" s="171"/>
      <c r="S36" s="171" t="s">
        <v>86</v>
      </c>
      <c r="T36" s="171"/>
    </row>
    <row r="37" spans="1:20" x14ac:dyDescent="0.2">
      <c r="A37" s="214"/>
      <c r="B37" s="167">
        <v>3</v>
      </c>
      <c r="C37" s="172" t="s">
        <v>180</v>
      </c>
      <c r="D37" s="173">
        <v>0.98060506666666658</v>
      </c>
      <c r="E37" s="173">
        <v>0.98524179999999995</v>
      </c>
      <c r="F37" s="170"/>
      <c r="G37" s="170" t="s">
        <v>86</v>
      </c>
      <c r="H37" s="170"/>
      <c r="I37" s="170" t="s">
        <v>180</v>
      </c>
      <c r="J37" s="170">
        <v>0.97852986666666675</v>
      </c>
      <c r="K37" s="170">
        <v>0.98548436666666672</v>
      </c>
      <c r="L37" s="170"/>
      <c r="M37" s="170" t="s">
        <v>86</v>
      </c>
      <c r="N37" s="170"/>
      <c r="O37" s="170" t="s">
        <v>180</v>
      </c>
      <c r="P37" s="170">
        <v>0.97988673333333332</v>
      </c>
      <c r="Q37" s="170">
        <v>0.98406159999999998</v>
      </c>
      <c r="R37" s="171"/>
      <c r="S37" s="171" t="s">
        <v>86</v>
      </c>
      <c r="T37" s="171"/>
    </row>
    <row r="38" spans="1:20" x14ac:dyDescent="0.2">
      <c r="A38" s="214"/>
      <c r="B38" s="167">
        <v>4</v>
      </c>
      <c r="C38" s="172" t="s">
        <v>180</v>
      </c>
      <c r="D38" s="173">
        <v>0.98060506666666658</v>
      </c>
      <c r="E38" s="173">
        <v>0.98871180000000003</v>
      </c>
      <c r="F38" s="170"/>
      <c r="G38" s="170" t="s">
        <v>86</v>
      </c>
      <c r="H38" s="170"/>
      <c r="I38" s="170" t="s">
        <v>181</v>
      </c>
      <c r="J38" s="170">
        <v>0.97852986666666675</v>
      </c>
      <c r="K38" s="170">
        <v>0.98803543333333332</v>
      </c>
      <c r="L38" s="170"/>
      <c r="M38" s="170"/>
      <c r="N38" s="170"/>
      <c r="O38" s="170" t="s">
        <v>180</v>
      </c>
      <c r="P38" s="170">
        <v>0.97988673333333332</v>
      </c>
      <c r="Q38" s="170">
        <v>0.98810603333333324</v>
      </c>
      <c r="R38" s="171"/>
      <c r="S38" s="171" t="s">
        <v>86</v>
      </c>
      <c r="T38" s="171"/>
    </row>
    <row r="39" spans="1:20" x14ac:dyDescent="0.2">
      <c r="A39" s="214"/>
      <c r="B39" s="167">
        <v>5</v>
      </c>
      <c r="C39" s="172" t="s">
        <v>181</v>
      </c>
      <c r="D39" s="173">
        <v>0.98060506666666658</v>
      </c>
      <c r="E39" s="173">
        <v>0.99089063333333327</v>
      </c>
      <c r="F39" s="170"/>
      <c r="G39" s="170"/>
      <c r="H39" s="170"/>
      <c r="I39" s="170" t="s">
        <v>181</v>
      </c>
      <c r="J39" s="170">
        <v>0.97852986666666675</v>
      </c>
      <c r="K39" s="170">
        <v>0.98923493333333334</v>
      </c>
      <c r="L39" s="170"/>
      <c r="M39" s="170"/>
      <c r="N39" s="170"/>
      <c r="O39" s="170" t="s">
        <v>180</v>
      </c>
      <c r="P39" s="170">
        <v>0.97988673333333332</v>
      </c>
      <c r="Q39" s="170">
        <v>0.98907293333333335</v>
      </c>
      <c r="R39" s="171"/>
      <c r="S39" s="171" t="s">
        <v>86</v>
      </c>
      <c r="T39" s="171"/>
    </row>
    <row r="40" spans="1:20" ht="17" thickBot="1" x14ac:dyDescent="0.25">
      <c r="A40" s="138"/>
      <c r="B40" s="115"/>
      <c r="C40" s="115"/>
      <c r="D40" s="175"/>
      <c r="E40" s="175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49"/>
      <c r="S40" s="149"/>
      <c r="T40" s="149"/>
    </row>
    <row r="41" spans="1:20" x14ac:dyDescent="0.2">
      <c r="A41" s="214" t="s">
        <v>79</v>
      </c>
      <c r="B41" s="167">
        <v>1</v>
      </c>
      <c r="C41" s="172" t="s">
        <v>181</v>
      </c>
      <c r="D41" s="173">
        <v>0.97972713333333328</v>
      </c>
      <c r="E41" s="173">
        <v>0.99941363333333333</v>
      </c>
      <c r="F41" s="170"/>
      <c r="G41" s="170"/>
      <c r="H41" s="170"/>
      <c r="I41" s="169" t="s">
        <v>181</v>
      </c>
      <c r="J41" s="169">
        <v>0.97749226666666666</v>
      </c>
      <c r="K41" s="169">
        <v>0.99843286666666664</v>
      </c>
      <c r="L41" s="169" t="s">
        <v>86</v>
      </c>
      <c r="M41" s="170"/>
      <c r="N41" s="170"/>
      <c r="O41" s="170" t="s">
        <v>181</v>
      </c>
      <c r="P41" s="170">
        <v>0.97932803333333329</v>
      </c>
      <c r="Q41" s="170">
        <v>0.99432623333333325</v>
      </c>
      <c r="R41" s="171"/>
      <c r="S41" s="171"/>
      <c r="T41" s="171"/>
    </row>
    <row r="42" spans="1:20" x14ac:dyDescent="0.2">
      <c r="A42" s="214"/>
      <c r="B42" s="167">
        <v>2</v>
      </c>
      <c r="C42" s="172" t="s">
        <v>180</v>
      </c>
      <c r="D42" s="173">
        <v>0.97972713333333328</v>
      </c>
      <c r="E42" s="173">
        <v>0.98448133333333343</v>
      </c>
      <c r="F42" s="170"/>
      <c r="G42" s="170" t="s">
        <v>86</v>
      </c>
      <c r="H42" s="170"/>
      <c r="I42" s="170" t="s">
        <v>180</v>
      </c>
      <c r="J42" s="170">
        <v>0.97749226666666666</v>
      </c>
      <c r="K42" s="170">
        <v>0.98330479999999998</v>
      </c>
      <c r="L42" s="170"/>
      <c r="M42" s="170" t="s">
        <v>86</v>
      </c>
      <c r="N42" s="170"/>
      <c r="O42" s="170" t="s">
        <v>180</v>
      </c>
      <c r="P42" s="170">
        <v>0.97932803333333329</v>
      </c>
      <c r="Q42" s="170">
        <v>0.98090549999999999</v>
      </c>
      <c r="R42" s="171"/>
      <c r="S42" s="171" t="s">
        <v>86</v>
      </c>
      <c r="T42" s="171"/>
    </row>
    <row r="43" spans="1:20" x14ac:dyDescent="0.2">
      <c r="A43" s="214"/>
      <c r="B43" s="167">
        <v>3</v>
      </c>
      <c r="C43" s="172" t="s">
        <v>180</v>
      </c>
      <c r="D43" s="173">
        <v>0.97972713333333328</v>
      </c>
      <c r="E43" s="173">
        <v>0.8767204999999999</v>
      </c>
      <c r="F43" s="170"/>
      <c r="G43" s="170" t="s">
        <v>86</v>
      </c>
      <c r="H43" s="170"/>
      <c r="I43" s="170" t="s">
        <v>180</v>
      </c>
      <c r="J43" s="170">
        <v>0.97749226666666666</v>
      </c>
      <c r="K43" s="170">
        <v>0.89953653333333339</v>
      </c>
      <c r="L43" s="170"/>
      <c r="M43" s="170" t="s">
        <v>86</v>
      </c>
      <c r="N43" s="170"/>
      <c r="O43" s="170" t="s">
        <v>180</v>
      </c>
      <c r="P43" s="170">
        <v>0.97932803333333329</v>
      </c>
      <c r="Q43" s="170">
        <v>0.93344443333333338</v>
      </c>
      <c r="R43" s="171"/>
      <c r="S43" s="171" t="s">
        <v>86</v>
      </c>
      <c r="T43" s="171"/>
    </row>
    <row r="44" spans="1:20" x14ac:dyDescent="0.2">
      <c r="A44" s="214"/>
      <c r="B44" s="167">
        <v>4</v>
      </c>
      <c r="C44" s="172" t="s">
        <v>180</v>
      </c>
      <c r="D44" s="173">
        <v>0.97972713333333328</v>
      </c>
      <c r="E44" s="173">
        <v>0.98303393333333322</v>
      </c>
      <c r="F44" s="170"/>
      <c r="G44" s="170" t="s">
        <v>86</v>
      </c>
      <c r="H44" s="170"/>
      <c r="I44" s="170" t="s">
        <v>180</v>
      </c>
      <c r="J44" s="170">
        <v>0.97749226666666666</v>
      </c>
      <c r="K44" s="170">
        <v>0.95999690000000004</v>
      </c>
      <c r="L44" s="170"/>
      <c r="M44" s="170"/>
      <c r="N44" s="170" t="s">
        <v>86</v>
      </c>
      <c r="O44" s="170" t="s">
        <v>180</v>
      </c>
      <c r="P44" s="170">
        <v>0.97932803333333329</v>
      </c>
      <c r="Q44" s="170">
        <v>0.94522960000000011</v>
      </c>
      <c r="R44" s="171"/>
      <c r="S44" s="171"/>
      <c r="T44" s="171" t="s">
        <v>86</v>
      </c>
    </row>
    <row r="45" spans="1:20" x14ac:dyDescent="0.2">
      <c r="A45" s="214"/>
      <c r="B45" s="167">
        <v>5</v>
      </c>
      <c r="C45" s="172" t="s">
        <v>24</v>
      </c>
      <c r="D45" s="173">
        <v>0.97972713333333328</v>
      </c>
      <c r="E45" s="173" t="s">
        <v>24</v>
      </c>
      <c r="F45" s="170"/>
      <c r="G45" s="170"/>
      <c r="H45" s="170"/>
      <c r="I45" s="170" t="s">
        <v>180</v>
      </c>
      <c r="J45" s="170">
        <v>0.97749226666666666</v>
      </c>
      <c r="K45" s="170">
        <v>0.66665921500000003</v>
      </c>
      <c r="L45" s="170"/>
      <c r="M45" s="170"/>
      <c r="N45" s="170"/>
      <c r="O45" s="170" t="s">
        <v>181</v>
      </c>
      <c r="P45" s="170">
        <v>0.97932803333333329</v>
      </c>
      <c r="Q45" s="170">
        <v>0.99240500000000009</v>
      </c>
      <c r="R45" s="171"/>
      <c r="S45" s="171"/>
      <c r="T45" s="171"/>
    </row>
    <row r="46" spans="1:20" x14ac:dyDescent="0.2">
      <c r="A46" s="130"/>
      <c r="B46" s="167"/>
      <c r="C46" s="167"/>
      <c r="D46" s="173"/>
      <c r="E46" s="173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1"/>
      <c r="S46" s="171"/>
      <c r="T46" s="171"/>
    </row>
    <row r="47" spans="1:20" x14ac:dyDescent="0.2">
      <c r="A47" s="214" t="s">
        <v>80</v>
      </c>
      <c r="B47" s="167">
        <v>1</v>
      </c>
      <c r="C47" s="172" t="s">
        <v>180</v>
      </c>
      <c r="D47" s="173">
        <v>0.97972713333333328</v>
      </c>
      <c r="E47" s="173">
        <v>0.96321689999999993</v>
      </c>
      <c r="F47" s="170"/>
      <c r="G47" s="170"/>
      <c r="H47" s="170"/>
      <c r="I47" s="170" t="s">
        <v>180</v>
      </c>
      <c r="J47" s="170">
        <v>0.97749226666666666</v>
      </c>
      <c r="K47" s="170">
        <v>0.96429133333333328</v>
      </c>
      <c r="L47" s="170"/>
      <c r="M47" s="170"/>
      <c r="N47" s="170"/>
      <c r="O47" s="170" t="s">
        <v>180</v>
      </c>
      <c r="P47" s="170">
        <v>0.97932803333333329</v>
      </c>
      <c r="Q47" s="170">
        <v>0.96650519999999995</v>
      </c>
      <c r="R47" s="171"/>
      <c r="S47" s="171"/>
      <c r="T47" s="171"/>
    </row>
    <row r="48" spans="1:20" x14ac:dyDescent="0.2">
      <c r="A48" s="214"/>
      <c r="B48" s="167">
        <v>2</v>
      </c>
      <c r="C48" s="172" t="s">
        <v>180</v>
      </c>
      <c r="D48" s="173">
        <v>0.97972713333333328</v>
      </c>
      <c r="E48" s="173">
        <v>0.97949640000000004</v>
      </c>
      <c r="F48" s="170"/>
      <c r="G48" s="170" t="s">
        <v>86</v>
      </c>
      <c r="H48" s="170"/>
      <c r="I48" s="170" t="s">
        <v>180</v>
      </c>
      <c r="J48" s="170">
        <v>0.97749226666666666</v>
      </c>
      <c r="K48" s="170">
        <v>0.98002383333333343</v>
      </c>
      <c r="L48" s="170"/>
      <c r="M48" s="170" t="s">
        <v>86</v>
      </c>
      <c r="N48" s="170"/>
      <c r="O48" s="170" t="s">
        <v>180</v>
      </c>
      <c r="P48" s="170">
        <v>0.97932803333333329</v>
      </c>
      <c r="Q48" s="170">
        <v>0.98006803333333326</v>
      </c>
      <c r="R48" s="171"/>
      <c r="S48" s="171" t="s">
        <v>86</v>
      </c>
      <c r="T48" s="171"/>
    </row>
    <row r="49" spans="1:20" x14ac:dyDescent="0.2">
      <c r="A49" s="214"/>
      <c r="B49" s="167">
        <v>3</v>
      </c>
      <c r="C49" s="172" t="s">
        <v>180</v>
      </c>
      <c r="D49" s="173">
        <v>0.97972713333333328</v>
      </c>
      <c r="E49" s="173">
        <v>0.98613086666666661</v>
      </c>
      <c r="F49" s="170"/>
      <c r="G49" s="170" t="s">
        <v>86</v>
      </c>
      <c r="H49" s="170"/>
      <c r="I49" s="170" t="s">
        <v>180</v>
      </c>
      <c r="J49" s="170">
        <v>0.97749226666666666</v>
      </c>
      <c r="K49" s="170">
        <v>0.98627349999999991</v>
      </c>
      <c r="L49" s="170"/>
      <c r="M49" s="170" t="s">
        <v>86</v>
      </c>
      <c r="N49" s="170"/>
      <c r="O49" s="170" t="s">
        <v>180</v>
      </c>
      <c r="P49" s="170">
        <v>0.97932803333333329</v>
      </c>
      <c r="Q49" s="170">
        <v>0.98419916666666662</v>
      </c>
      <c r="R49" s="171"/>
      <c r="S49" s="171" t="s">
        <v>86</v>
      </c>
      <c r="T49" s="171"/>
    </row>
    <row r="50" spans="1:20" x14ac:dyDescent="0.2">
      <c r="A50" s="214"/>
      <c r="B50" s="167">
        <v>4</v>
      </c>
      <c r="C50" s="172" t="s">
        <v>181</v>
      </c>
      <c r="D50" s="173">
        <v>0.97972713333333328</v>
      </c>
      <c r="E50" s="173">
        <v>0.98904380000000003</v>
      </c>
      <c r="F50" s="170"/>
      <c r="G50" s="170" t="s">
        <v>86</v>
      </c>
      <c r="H50" s="170"/>
      <c r="I50" s="170" t="s">
        <v>181</v>
      </c>
      <c r="J50" s="170">
        <v>0.97749226666666666</v>
      </c>
      <c r="K50" s="170">
        <v>0.98847849999999993</v>
      </c>
      <c r="L50" s="170"/>
      <c r="M50" s="170"/>
      <c r="N50" s="170"/>
      <c r="O50" s="170" t="s">
        <v>181</v>
      </c>
      <c r="P50" s="170">
        <v>0.97932803333333329</v>
      </c>
      <c r="Q50" s="170">
        <v>0.98849393333333335</v>
      </c>
      <c r="R50" s="171"/>
      <c r="S50" s="171"/>
      <c r="T50" s="171"/>
    </row>
    <row r="51" spans="1:20" x14ac:dyDescent="0.2">
      <c r="A51" s="214"/>
      <c r="B51" s="167">
        <v>5</v>
      </c>
      <c r="C51" s="172" t="s">
        <v>181</v>
      </c>
      <c r="D51" s="173">
        <v>0.97972713333333328</v>
      </c>
      <c r="E51" s="173">
        <v>0.99020743333333339</v>
      </c>
      <c r="F51" s="170"/>
      <c r="G51" s="170"/>
      <c r="H51" s="170"/>
      <c r="I51" s="170" t="s">
        <v>181</v>
      </c>
      <c r="J51" s="170">
        <v>0.97749226666666666</v>
      </c>
      <c r="K51" s="170">
        <v>0.98904270000000005</v>
      </c>
      <c r="L51" s="170"/>
      <c r="M51" s="170"/>
      <c r="N51" s="170"/>
      <c r="O51" s="170" t="s">
        <v>181</v>
      </c>
      <c r="P51" s="170">
        <v>0.97932803333333329</v>
      </c>
      <c r="Q51" s="170">
        <v>0.98923360000000005</v>
      </c>
      <c r="R51" s="171"/>
      <c r="S51" s="171"/>
      <c r="T51" s="171"/>
    </row>
    <row r="52" spans="1:20" ht="17" thickBot="1" x14ac:dyDescent="0.25">
      <c r="A52" s="138"/>
      <c r="B52" s="115"/>
      <c r="C52" s="115"/>
      <c r="D52" s="175"/>
      <c r="E52" s="175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49"/>
      <c r="S52" s="149"/>
      <c r="T52" s="149"/>
    </row>
    <row r="53" spans="1:20" x14ac:dyDescent="0.2">
      <c r="A53" s="214" t="s">
        <v>81</v>
      </c>
      <c r="B53" s="167">
        <v>1</v>
      </c>
      <c r="C53" s="172" t="s">
        <v>181</v>
      </c>
      <c r="D53" s="173">
        <v>0.96208779999999994</v>
      </c>
      <c r="E53" s="173">
        <v>0.97361109999999995</v>
      </c>
      <c r="F53" s="170"/>
      <c r="G53" s="170"/>
      <c r="H53" s="170"/>
      <c r="I53" s="170" t="s">
        <v>181</v>
      </c>
      <c r="J53" s="170">
        <v>0.95929410000000004</v>
      </c>
      <c r="K53" s="170">
        <v>0.97848639999999998</v>
      </c>
      <c r="L53" s="170"/>
      <c r="M53" s="170"/>
      <c r="N53" s="170"/>
      <c r="O53" s="170" t="s">
        <v>181</v>
      </c>
      <c r="P53" s="170">
        <v>0.9627262333333334</v>
      </c>
      <c r="Q53" s="170">
        <v>0.99000643333333338</v>
      </c>
      <c r="R53" s="171" t="s">
        <v>86</v>
      </c>
      <c r="S53" s="171"/>
      <c r="T53" s="171"/>
    </row>
    <row r="54" spans="1:20" x14ac:dyDescent="0.2">
      <c r="A54" s="214"/>
      <c r="B54" s="167">
        <v>2</v>
      </c>
      <c r="C54" s="172" t="s">
        <v>180</v>
      </c>
      <c r="D54" s="173">
        <v>0.96208779999999994</v>
      </c>
      <c r="E54" s="173">
        <v>0.95406203333333328</v>
      </c>
      <c r="F54" s="170"/>
      <c r="G54" s="170" t="s">
        <v>86</v>
      </c>
      <c r="H54" s="170"/>
      <c r="I54" s="170" t="s">
        <v>180</v>
      </c>
      <c r="J54" s="170">
        <v>0.95929410000000004</v>
      </c>
      <c r="K54" s="170">
        <v>0.95338763333333321</v>
      </c>
      <c r="L54" s="170"/>
      <c r="M54" s="170" t="s">
        <v>86</v>
      </c>
      <c r="N54" s="170"/>
      <c r="O54" s="170" t="s">
        <v>180</v>
      </c>
      <c r="P54" s="170">
        <v>0.9627262333333334</v>
      </c>
      <c r="Q54" s="170">
        <v>0.95430539999999997</v>
      </c>
      <c r="R54" s="171"/>
      <c r="S54" s="171" t="s">
        <v>86</v>
      </c>
      <c r="T54" s="171"/>
    </row>
    <row r="55" spans="1:20" x14ac:dyDescent="0.2">
      <c r="A55" s="214"/>
      <c r="B55" s="167">
        <v>3</v>
      </c>
      <c r="C55" s="172" t="s">
        <v>180</v>
      </c>
      <c r="D55" s="173">
        <v>0.96208779999999994</v>
      </c>
      <c r="E55" s="173">
        <v>0.77940606666666667</v>
      </c>
      <c r="F55" s="170"/>
      <c r="G55" s="170"/>
      <c r="H55" s="170" t="s">
        <v>86</v>
      </c>
      <c r="I55" s="170" t="s">
        <v>180</v>
      </c>
      <c r="J55" s="170">
        <v>0.95929410000000004</v>
      </c>
      <c r="K55" s="170">
        <v>0.86697673333333336</v>
      </c>
      <c r="L55" s="170"/>
      <c r="M55" s="170"/>
      <c r="N55" s="170" t="s">
        <v>86</v>
      </c>
      <c r="O55" s="170" t="s">
        <v>180</v>
      </c>
      <c r="P55" s="170">
        <v>0.9627262333333334</v>
      </c>
      <c r="Q55" s="170">
        <v>0.92361883333333328</v>
      </c>
      <c r="R55" s="171"/>
      <c r="S55" s="171"/>
      <c r="T55" s="171" t="s">
        <v>86</v>
      </c>
    </row>
    <row r="56" spans="1:20" x14ac:dyDescent="0.2">
      <c r="A56" s="214"/>
      <c r="B56" s="167">
        <v>4</v>
      </c>
      <c r="C56" s="172" t="s">
        <v>180</v>
      </c>
      <c r="D56" s="173">
        <v>0.96208779999999994</v>
      </c>
      <c r="E56" s="173">
        <v>0.91017963333333329</v>
      </c>
      <c r="F56" s="170"/>
      <c r="G56" s="170"/>
      <c r="H56" s="170" t="s">
        <v>86</v>
      </c>
      <c r="I56" s="170" t="s">
        <v>180</v>
      </c>
      <c r="J56" s="170">
        <v>0.95929410000000004</v>
      </c>
      <c r="K56" s="170">
        <v>0.89392950000000004</v>
      </c>
      <c r="L56" s="170"/>
      <c r="M56" s="170"/>
      <c r="N56" s="170" t="s">
        <v>86</v>
      </c>
      <c r="O56" s="170" t="s">
        <v>180</v>
      </c>
      <c r="P56" s="170">
        <v>0.9627262333333334</v>
      </c>
      <c r="Q56" s="170">
        <v>0.9032690333333333</v>
      </c>
      <c r="R56" s="171"/>
      <c r="S56" s="171"/>
      <c r="T56" s="171" t="s">
        <v>86</v>
      </c>
    </row>
    <row r="57" spans="1:20" x14ac:dyDescent="0.2">
      <c r="A57" s="214"/>
      <c r="B57" s="167">
        <v>5</v>
      </c>
      <c r="C57" s="172" t="s">
        <v>24</v>
      </c>
      <c r="D57" s="173">
        <v>0.96208779999999994</v>
      </c>
      <c r="E57" s="173" t="s">
        <v>24</v>
      </c>
      <c r="F57" s="170"/>
      <c r="G57" s="170"/>
      <c r="H57" s="170"/>
      <c r="I57" s="170" t="s">
        <v>24</v>
      </c>
      <c r="J57" s="170">
        <v>0.95929410000000004</v>
      </c>
      <c r="K57" s="170" t="s">
        <v>24</v>
      </c>
      <c r="L57" s="170"/>
      <c r="M57" s="170"/>
      <c r="N57" s="170"/>
      <c r="O57" s="170" t="s">
        <v>24</v>
      </c>
      <c r="P57" s="170">
        <v>0.9627262333333334</v>
      </c>
      <c r="Q57" s="170" t="s">
        <v>24</v>
      </c>
      <c r="R57" s="171"/>
      <c r="S57" s="171"/>
      <c r="T57" s="171"/>
    </row>
    <row r="58" spans="1:20" x14ac:dyDescent="0.2">
      <c r="A58" s="130"/>
      <c r="B58" s="167"/>
      <c r="C58" s="172"/>
      <c r="D58" s="173"/>
      <c r="E58" s="173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1"/>
      <c r="S58" s="171"/>
      <c r="T58" s="171"/>
    </row>
    <row r="59" spans="1:20" x14ac:dyDescent="0.2">
      <c r="A59" s="214" t="s">
        <v>82</v>
      </c>
      <c r="B59" s="167">
        <v>1</v>
      </c>
      <c r="C59" s="172" t="s">
        <v>180</v>
      </c>
      <c r="D59" s="173">
        <v>0.96208779999999994</v>
      </c>
      <c r="E59" s="173">
        <v>0.9488527000000001</v>
      </c>
      <c r="F59" s="170"/>
      <c r="G59" s="170"/>
      <c r="H59" s="170"/>
      <c r="I59" s="170" t="s">
        <v>180</v>
      </c>
      <c r="J59" s="170">
        <v>0.95929410000000004</v>
      </c>
      <c r="K59" s="170">
        <v>0.94903253333333326</v>
      </c>
      <c r="L59" s="170"/>
      <c r="M59" s="170"/>
      <c r="N59" s="170"/>
      <c r="O59" s="170" t="s">
        <v>180</v>
      </c>
      <c r="P59" s="170">
        <v>0.9627262333333334</v>
      </c>
      <c r="Q59" s="170">
        <v>0.9524463666666666</v>
      </c>
      <c r="R59" s="171"/>
      <c r="S59" s="171"/>
      <c r="T59" s="171"/>
    </row>
    <row r="60" spans="1:20" x14ac:dyDescent="0.2">
      <c r="A60" s="214"/>
      <c r="B60" s="167">
        <v>2</v>
      </c>
      <c r="C60" s="172" t="s">
        <v>180</v>
      </c>
      <c r="D60" s="173">
        <v>0.96208779999999994</v>
      </c>
      <c r="E60" s="173">
        <v>0.9385</v>
      </c>
      <c r="F60" s="170"/>
      <c r="G60" s="170" t="s">
        <v>86</v>
      </c>
      <c r="H60" s="170"/>
      <c r="I60" s="170" t="s">
        <v>180</v>
      </c>
      <c r="J60" s="170">
        <v>0.95929410000000004</v>
      </c>
      <c r="K60" s="170">
        <v>0.95381410000000011</v>
      </c>
      <c r="L60" s="170"/>
      <c r="M60" s="170" t="s">
        <v>86</v>
      </c>
      <c r="N60" s="170"/>
      <c r="O60" s="170" t="s">
        <v>180</v>
      </c>
      <c r="P60" s="170">
        <v>0.9627262333333334</v>
      </c>
      <c r="Q60" s="170">
        <v>0.9536446999999999</v>
      </c>
      <c r="R60" s="171"/>
      <c r="S60" s="171" t="s">
        <v>86</v>
      </c>
      <c r="T60" s="171"/>
    </row>
    <row r="61" spans="1:20" x14ac:dyDescent="0.2">
      <c r="A61" s="214"/>
      <c r="B61" s="167">
        <v>3</v>
      </c>
      <c r="C61" s="172" t="s">
        <v>180</v>
      </c>
      <c r="D61" s="173">
        <v>0.96208779999999994</v>
      </c>
      <c r="E61" s="173">
        <v>0.78200346666666665</v>
      </c>
      <c r="F61" s="170"/>
      <c r="G61" s="170"/>
      <c r="H61" s="170" t="s">
        <v>86</v>
      </c>
      <c r="I61" s="170" t="s">
        <v>180</v>
      </c>
      <c r="J61" s="170">
        <v>0.95929410000000004</v>
      </c>
      <c r="K61" s="170">
        <v>0.86790696666666667</v>
      </c>
      <c r="L61" s="170"/>
      <c r="M61" s="170"/>
      <c r="N61" s="170" t="s">
        <v>86</v>
      </c>
      <c r="O61" s="170" t="s">
        <v>180</v>
      </c>
      <c r="P61" s="170">
        <v>0.9627262333333334</v>
      </c>
      <c r="Q61" s="170">
        <v>0.92343343333333328</v>
      </c>
      <c r="R61" s="171"/>
      <c r="S61" s="171"/>
      <c r="T61" s="171" t="s">
        <v>86</v>
      </c>
    </row>
    <row r="62" spans="1:20" x14ac:dyDescent="0.2">
      <c r="A62" s="214"/>
      <c r="B62" s="167">
        <v>4</v>
      </c>
      <c r="C62" s="172" t="s">
        <v>180</v>
      </c>
      <c r="D62" s="173">
        <v>0.96208779999999994</v>
      </c>
      <c r="E62" s="173">
        <v>0.9161676666666666</v>
      </c>
      <c r="F62" s="170"/>
      <c r="G62" s="170"/>
      <c r="H62" s="170" t="s">
        <v>86</v>
      </c>
      <c r="I62" s="170" t="s">
        <v>180</v>
      </c>
      <c r="J62" s="170">
        <v>0.95929410000000004</v>
      </c>
      <c r="K62" s="170">
        <v>0.89652010000000004</v>
      </c>
      <c r="L62" s="170"/>
      <c r="M62" s="170"/>
      <c r="N62" s="170" t="s">
        <v>86</v>
      </c>
      <c r="O62" s="170" t="s">
        <v>180</v>
      </c>
      <c r="P62" s="170">
        <v>0.9627262333333334</v>
      </c>
      <c r="Q62" s="170">
        <v>0.90541040000000006</v>
      </c>
      <c r="R62" s="171"/>
      <c r="S62" s="171"/>
      <c r="T62" s="171" t="s">
        <v>86</v>
      </c>
    </row>
    <row r="63" spans="1:20" ht="17" thickBot="1" x14ac:dyDescent="0.25">
      <c r="A63" s="213"/>
      <c r="B63" s="115">
        <v>5</v>
      </c>
      <c r="C63" s="114" t="s">
        <v>24</v>
      </c>
      <c r="D63" s="175">
        <v>0.96208779999999994</v>
      </c>
      <c r="E63" s="175" t="s">
        <v>24</v>
      </c>
      <c r="F63" s="164"/>
      <c r="G63" s="164"/>
      <c r="H63" s="164"/>
      <c r="I63" s="164" t="s">
        <v>24</v>
      </c>
      <c r="J63" s="164">
        <v>0.95929410000000004</v>
      </c>
      <c r="K63" s="164" t="s">
        <v>24</v>
      </c>
      <c r="L63" s="164"/>
      <c r="M63" s="164"/>
      <c r="N63" s="164"/>
      <c r="O63" s="164" t="s">
        <v>24</v>
      </c>
      <c r="P63" s="164">
        <v>0.9627262333333334</v>
      </c>
      <c r="Q63" s="164" t="s">
        <v>24</v>
      </c>
      <c r="R63" s="149"/>
      <c r="S63" s="149"/>
      <c r="T63" s="149"/>
    </row>
  </sheetData>
  <mergeCells count="15">
    <mergeCell ref="C2:T2"/>
    <mergeCell ref="A47:A51"/>
    <mergeCell ref="A53:A57"/>
    <mergeCell ref="A59:A63"/>
    <mergeCell ref="A1:T1"/>
    <mergeCell ref="C3:H3"/>
    <mergeCell ref="I3:N3"/>
    <mergeCell ref="O3:T3"/>
    <mergeCell ref="A17:A21"/>
    <mergeCell ref="A23:A27"/>
    <mergeCell ref="A29:A33"/>
    <mergeCell ref="A35:A39"/>
    <mergeCell ref="A41:A45"/>
    <mergeCell ref="A5:A9"/>
    <mergeCell ref="A11:A15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00E2-55F1-C94E-B10F-81696CD4CB9B}">
  <dimension ref="A1:W63"/>
  <sheetViews>
    <sheetView showGridLines="0" zoomScaleNormal="100" workbookViewId="0">
      <selection activeCell="A2" sqref="A2:T6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197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68" t="s">
        <v>71</v>
      </c>
      <c r="D5" s="168">
        <v>0.98020599999999991</v>
      </c>
      <c r="E5" s="168">
        <v>0.99941363333333333</v>
      </c>
      <c r="F5" s="177">
        <v>0.96193329999999999</v>
      </c>
      <c r="G5" s="176">
        <v>3.8066669999999997E-2</v>
      </c>
      <c r="H5" s="176">
        <v>0</v>
      </c>
      <c r="I5" s="177" t="e">
        <f>L5/N5</f>
        <v>#DIV/0!</v>
      </c>
      <c r="J5" s="177">
        <v>0.97876956666666659</v>
      </c>
      <c r="K5" s="177">
        <v>0.99843286666666664</v>
      </c>
      <c r="L5" s="177">
        <v>0.90983329999999996</v>
      </c>
      <c r="M5" s="176">
        <v>9.0166670000000004E-2</v>
      </c>
      <c r="N5" s="176">
        <v>0</v>
      </c>
      <c r="O5" s="176" t="e">
        <f>R5/T5</f>
        <v>#DIV/0!</v>
      </c>
      <c r="P5" s="176">
        <v>0.97964693333333341</v>
      </c>
      <c r="Q5" s="176">
        <v>0.99439069999999996</v>
      </c>
      <c r="R5" s="176">
        <v>0.83450000000000002</v>
      </c>
      <c r="S5" s="176">
        <v>0.16550000000000001</v>
      </c>
      <c r="T5" s="176">
        <v>0</v>
      </c>
    </row>
    <row r="6" spans="1:23" x14ac:dyDescent="0.2">
      <c r="A6" s="214"/>
      <c r="B6" s="167">
        <v>2</v>
      </c>
      <c r="C6" s="173" t="s">
        <v>71</v>
      </c>
      <c r="D6" s="173">
        <v>0.98020599999999991</v>
      </c>
      <c r="E6" s="173">
        <v>0.98516136666666665</v>
      </c>
      <c r="F6" s="176">
        <v>0</v>
      </c>
      <c r="G6" s="177">
        <v>1</v>
      </c>
      <c r="H6" s="176">
        <v>0</v>
      </c>
      <c r="I6" s="176" t="e">
        <f t="shared" ref="I6:I8" si="0">L6/N6</f>
        <v>#DIV/0!</v>
      </c>
      <c r="J6" s="176">
        <v>0.97876956666666659</v>
      </c>
      <c r="K6" s="176">
        <v>0.98470630000000003</v>
      </c>
      <c r="L6" s="176">
        <v>0</v>
      </c>
      <c r="M6" s="177">
        <v>1</v>
      </c>
      <c r="N6" s="176">
        <v>0</v>
      </c>
      <c r="O6" s="176" t="e">
        <f t="shared" ref="O6:O8" si="1">R6/T6</f>
        <v>#DIV/0!</v>
      </c>
      <c r="P6" s="176">
        <v>0.97964693333333341</v>
      </c>
      <c r="Q6" s="176">
        <v>0.98198616666666672</v>
      </c>
      <c r="R6" s="176">
        <v>0</v>
      </c>
      <c r="S6" s="177">
        <v>1</v>
      </c>
      <c r="T6" s="176">
        <v>0</v>
      </c>
    </row>
    <row r="7" spans="1:23" x14ac:dyDescent="0.2">
      <c r="A7" s="214"/>
      <c r="B7" s="167">
        <v>3</v>
      </c>
      <c r="C7" s="173">
        <f t="shared" ref="C7" si="2">F7/H7</f>
        <v>0</v>
      </c>
      <c r="D7" s="173">
        <v>0.98020599999999991</v>
      </c>
      <c r="E7" s="173">
        <v>0.90268386666666667</v>
      </c>
      <c r="F7" s="176">
        <v>0</v>
      </c>
      <c r="G7" s="176">
        <v>8.8999999999999999E-3</v>
      </c>
      <c r="H7" s="177">
        <v>0.99109999999999998</v>
      </c>
      <c r="I7" s="176">
        <f t="shared" si="0"/>
        <v>0</v>
      </c>
      <c r="J7" s="176">
        <v>0.97876956666666659</v>
      </c>
      <c r="K7" s="176">
        <v>0.98470630000000003</v>
      </c>
      <c r="L7" s="176">
        <v>0</v>
      </c>
      <c r="M7" s="176">
        <v>8.3333330000000001E-3</v>
      </c>
      <c r="N7" s="177">
        <v>0.99166670000000001</v>
      </c>
      <c r="O7" s="176">
        <f t="shared" si="1"/>
        <v>0</v>
      </c>
      <c r="P7" s="176">
        <v>0.97964693333333341</v>
      </c>
      <c r="Q7" s="176">
        <v>0.93993326666666677</v>
      </c>
      <c r="R7" s="176">
        <v>0</v>
      </c>
      <c r="S7" s="176">
        <v>8.3666669999999995E-3</v>
      </c>
      <c r="T7" s="177">
        <v>0.99163330000000005</v>
      </c>
    </row>
    <row r="8" spans="1:23" x14ac:dyDescent="0.2">
      <c r="A8" s="214"/>
      <c r="B8" s="167">
        <v>4</v>
      </c>
      <c r="C8" s="173" t="s">
        <v>71</v>
      </c>
      <c r="D8" s="173">
        <v>0.98020599999999991</v>
      </c>
      <c r="E8" s="173">
        <v>0.97704589999999991</v>
      </c>
      <c r="F8" s="176">
        <v>0</v>
      </c>
      <c r="G8" s="177">
        <v>1</v>
      </c>
      <c r="H8" s="176">
        <v>0</v>
      </c>
      <c r="I8" s="176">
        <f t="shared" si="0"/>
        <v>0</v>
      </c>
      <c r="J8" s="176">
        <v>0.97876956666666659</v>
      </c>
      <c r="K8" s="176">
        <v>0.98470630000000003</v>
      </c>
      <c r="L8" s="176">
        <v>0</v>
      </c>
      <c r="M8" s="176">
        <v>9.1666669999999999E-3</v>
      </c>
      <c r="N8" s="177">
        <v>0.99083330000000003</v>
      </c>
      <c r="O8" s="176">
        <f t="shared" si="1"/>
        <v>0</v>
      </c>
      <c r="P8" s="176">
        <v>0.97964693333333341</v>
      </c>
      <c r="Q8" s="176">
        <v>0.9423851333333334</v>
      </c>
      <c r="R8" s="176">
        <v>0</v>
      </c>
      <c r="S8" s="176">
        <v>8.7333329999999994E-3</v>
      </c>
      <c r="T8" s="177">
        <v>0.99126669999999995</v>
      </c>
    </row>
    <row r="9" spans="1:23" x14ac:dyDescent="0.2">
      <c r="A9" s="214"/>
      <c r="B9" s="167">
        <v>5</v>
      </c>
      <c r="C9" s="173" t="s">
        <v>24</v>
      </c>
      <c r="D9" s="173">
        <v>0.98020599999999991</v>
      </c>
      <c r="E9" s="173" t="s">
        <v>24</v>
      </c>
      <c r="F9" s="170" t="s">
        <v>24</v>
      </c>
      <c r="G9" s="170" t="s">
        <v>24</v>
      </c>
      <c r="H9" s="170" t="s">
        <v>24</v>
      </c>
      <c r="I9" s="170" t="s">
        <v>24</v>
      </c>
      <c r="J9" s="170">
        <v>0.97876956666666659</v>
      </c>
      <c r="K9" s="170">
        <v>0.98470630000000003</v>
      </c>
      <c r="L9" s="176" t="s">
        <v>24</v>
      </c>
      <c r="M9" s="176" t="s">
        <v>24</v>
      </c>
      <c r="N9" s="176" t="s">
        <v>24</v>
      </c>
      <c r="O9" s="177" t="s">
        <v>71</v>
      </c>
      <c r="P9" s="177">
        <v>0.97964693333333341</v>
      </c>
      <c r="Q9" s="177">
        <v>0.9936676000000001</v>
      </c>
      <c r="R9" s="177">
        <v>0.99129999999999996</v>
      </c>
      <c r="S9" s="176">
        <v>8.6999999999999994E-3</v>
      </c>
      <c r="T9" s="176">
        <v>0</v>
      </c>
    </row>
    <row r="10" spans="1:23" x14ac:dyDescent="0.2">
      <c r="A10" s="130"/>
      <c r="B10" s="167"/>
      <c r="C10" s="173"/>
      <c r="D10" s="173"/>
      <c r="E10" s="173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</row>
    <row r="11" spans="1:23" x14ac:dyDescent="0.2">
      <c r="A11" s="214" t="s">
        <v>74</v>
      </c>
      <c r="B11" s="167">
        <v>1</v>
      </c>
      <c r="C11" s="173">
        <f t="shared" ref="C11" si="3">F11/H11</f>
        <v>0</v>
      </c>
      <c r="D11" s="173">
        <v>0.98020599999999991</v>
      </c>
      <c r="E11" s="173">
        <v>0.96514423333333343</v>
      </c>
      <c r="F11" s="176">
        <v>0</v>
      </c>
      <c r="G11" s="176">
        <v>0.16733329999999999</v>
      </c>
      <c r="H11" s="176">
        <v>0.83266669999999998</v>
      </c>
      <c r="I11" s="176">
        <f t="shared" ref="I11" si="4">L11/N11</f>
        <v>0</v>
      </c>
      <c r="J11" s="176">
        <v>0.97876956666666659</v>
      </c>
      <c r="K11" s="176">
        <v>0.96649363333333327</v>
      </c>
      <c r="L11" s="176">
        <v>0</v>
      </c>
      <c r="M11" s="176">
        <v>0.48696669999999997</v>
      </c>
      <c r="N11" s="176">
        <v>0.51303330000000003</v>
      </c>
      <c r="O11" s="176">
        <f t="shared" ref="O11" si="5">R11/T11</f>
        <v>0</v>
      </c>
      <c r="P11" s="176">
        <v>0.97964693333333341</v>
      </c>
      <c r="Q11" s="176">
        <v>0.96747123333333329</v>
      </c>
      <c r="R11" s="176">
        <v>0</v>
      </c>
      <c r="S11" s="176">
        <v>0.48456670000000002</v>
      </c>
      <c r="T11" s="176">
        <v>0.51543329999999998</v>
      </c>
    </row>
    <row r="12" spans="1:23" x14ac:dyDescent="0.2">
      <c r="A12" s="214"/>
      <c r="B12" s="167">
        <v>2</v>
      </c>
      <c r="C12" s="173" t="s">
        <v>71</v>
      </c>
      <c r="D12" s="173">
        <v>0.98020599999999991</v>
      </c>
      <c r="E12" s="173">
        <v>0.97910609999999998</v>
      </c>
      <c r="F12" s="176">
        <v>0</v>
      </c>
      <c r="G12" s="177">
        <v>1</v>
      </c>
      <c r="H12" s="176">
        <v>0</v>
      </c>
      <c r="I12" s="176" t="s">
        <v>71</v>
      </c>
      <c r="J12" s="176">
        <v>0.97876956666666659</v>
      </c>
      <c r="K12" s="176">
        <v>0.97865830000000009</v>
      </c>
      <c r="L12" s="176">
        <v>0</v>
      </c>
      <c r="M12" s="177">
        <v>1</v>
      </c>
      <c r="N12" s="176">
        <v>0</v>
      </c>
      <c r="O12" s="176" t="s">
        <v>71</v>
      </c>
      <c r="P12" s="176">
        <v>0.97964693333333341</v>
      </c>
      <c r="Q12" s="176">
        <v>0.98051099999999991</v>
      </c>
      <c r="R12" s="176">
        <v>0</v>
      </c>
      <c r="S12" s="177">
        <v>1</v>
      </c>
      <c r="T12" s="176">
        <v>0</v>
      </c>
      <c r="W12" t="s">
        <v>178</v>
      </c>
    </row>
    <row r="13" spans="1:23" x14ac:dyDescent="0.2">
      <c r="A13" s="214"/>
      <c r="B13" s="167">
        <v>3</v>
      </c>
      <c r="C13" s="173" t="s">
        <v>71</v>
      </c>
      <c r="D13" s="173">
        <v>0.98020599999999991</v>
      </c>
      <c r="E13" s="173">
        <v>0.98595310000000003</v>
      </c>
      <c r="F13" s="176">
        <v>0</v>
      </c>
      <c r="G13" s="177">
        <v>1</v>
      </c>
      <c r="H13" s="176">
        <v>0</v>
      </c>
      <c r="I13" s="176" t="s">
        <v>71</v>
      </c>
      <c r="J13" s="176">
        <v>0.97876956666666659</v>
      </c>
      <c r="K13" s="176">
        <v>0.98406459999999996</v>
      </c>
      <c r="L13" s="176">
        <v>4.5900000000000003E-2</v>
      </c>
      <c r="M13" s="177">
        <v>0.95409999999999995</v>
      </c>
      <c r="N13" s="176">
        <v>0</v>
      </c>
      <c r="O13" s="176" t="s">
        <v>71</v>
      </c>
      <c r="P13" s="176">
        <v>0.97964693333333341</v>
      </c>
      <c r="Q13" s="176">
        <v>0.98282476666666663</v>
      </c>
      <c r="R13" s="176">
        <v>0</v>
      </c>
      <c r="S13" s="177">
        <v>1</v>
      </c>
      <c r="T13" s="176">
        <v>0</v>
      </c>
    </row>
    <row r="14" spans="1:23" x14ac:dyDescent="0.2">
      <c r="A14" s="214"/>
      <c r="B14" s="167">
        <v>4</v>
      </c>
      <c r="C14" s="173" t="s">
        <v>71</v>
      </c>
      <c r="D14" s="173">
        <v>0.98020599999999991</v>
      </c>
      <c r="E14" s="173">
        <v>0.98871180000000003</v>
      </c>
      <c r="F14" s="170">
        <v>0.3267333</v>
      </c>
      <c r="G14" s="170">
        <v>0.6732667</v>
      </c>
      <c r="H14" s="170">
        <v>0</v>
      </c>
      <c r="I14" s="170" t="s">
        <v>71</v>
      </c>
      <c r="J14" s="170">
        <v>0.97876956666666659</v>
      </c>
      <c r="K14" s="170">
        <v>0.9878876333333334</v>
      </c>
      <c r="L14" s="176">
        <v>0.161</v>
      </c>
      <c r="M14" s="176">
        <v>0.83899999999999997</v>
      </c>
      <c r="N14" s="176">
        <v>0</v>
      </c>
      <c r="O14" s="176" t="s">
        <v>71</v>
      </c>
      <c r="P14" s="176">
        <v>0.97964693333333341</v>
      </c>
      <c r="Q14" s="176">
        <v>0.98745973333333337</v>
      </c>
      <c r="R14" s="176">
        <v>0.15616669999999999</v>
      </c>
      <c r="S14" s="176">
        <v>0.84383330000000001</v>
      </c>
      <c r="T14" s="176">
        <v>0</v>
      </c>
    </row>
    <row r="15" spans="1:23" x14ac:dyDescent="0.2">
      <c r="A15" s="214"/>
      <c r="B15" s="167">
        <v>5</v>
      </c>
      <c r="C15" s="173" t="s">
        <v>71</v>
      </c>
      <c r="D15" s="173">
        <v>0.98020599999999991</v>
      </c>
      <c r="E15" s="173">
        <v>0.99157420000000007</v>
      </c>
      <c r="F15" s="170">
        <v>0.51200000000000001</v>
      </c>
      <c r="G15" s="170">
        <v>0.48799999999999999</v>
      </c>
      <c r="H15" s="170">
        <v>0</v>
      </c>
      <c r="I15" s="170" t="s">
        <v>71</v>
      </c>
      <c r="J15" s="170">
        <v>0.97876956666666659</v>
      </c>
      <c r="K15" s="170">
        <v>0.98885033333333328</v>
      </c>
      <c r="L15" s="176">
        <v>0.32640000000000002</v>
      </c>
      <c r="M15" s="176">
        <v>0.67359999999999998</v>
      </c>
      <c r="N15" s="176">
        <v>0</v>
      </c>
      <c r="O15" s="176" t="s">
        <v>71</v>
      </c>
      <c r="P15" s="176">
        <v>0.97964693333333341</v>
      </c>
      <c r="Q15" s="176">
        <v>0.98907306666666661</v>
      </c>
      <c r="R15" s="176">
        <v>0.3244667</v>
      </c>
      <c r="S15" s="176">
        <v>0.6755333</v>
      </c>
      <c r="T15" s="176">
        <v>0</v>
      </c>
    </row>
    <row r="16" spans="1:23" ht="17" thickBot="1" x14ac:dyDescent="0.25">
      <c r="A16" s="138"/>
      <c r="B16" s="115"/>
      <c r="C16" s="175"/>
      <c r="D16" s="175"/>
      <c r="E16" s="17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</row>
    <row r="17" spans="1:20" x14ac:dyDescent="0.2">
      <c r="A17" s="214" t="s">
        <v>75</v>
      </c>
      <c r="B17" s="167">
        <v>1</v>
      </c>
      <c r="C17" s="173" t="s">
        <v>71</v>
      </c>
      <c r="D17" s="173">
        <v>0.97956736666666666</v>
      </c>
      <c r="E17" s="173">
        <v>0.99941363333333333</v>
      </c>
      <c r="F17" s="176">
        <v>0.90753329999999999</v>
      </c>
      <c r="G17" s="176">
        <v>9.2466670000000001E-2</v>
      </c>
      <c r="H17" s="176">
        <v>0</v>
      </c>
      <c r="I17" s="176" t="e">
        <f t="shared" ref="I17:I19" si="6">L17/N17</f>
        <v>#DIV/0!</v>
      </c>
      <c r="J17" s="176">
        <v>0.97677423333333324</v>
      </c>
      <c r="K17" s="176">
        <v>0.99843286666666664</v>
      </c>
      <c r="L17" s="177">
        <v>0.96153330000000004</v>
      </c>
      <c r="M17" s="176">
        <v>3.8466670000000001E-2</v>
      </c>
      <c r="N17" s="176">
        <v>0</v>
      </c>
      <c r="O17" s="176" t="e">
        <f t="shared" ref="O17:O19" si="7">R17/T17</f>
        <v>#DIV/0!</v>
      </c>
      <c r="P17" s="176">
        <v>0.97916840000000016</v>
      </c>
      <c r="Q17" s="176">
        <v>0.99426176666666677</v>
      </c>
      <c r="R17" s="176">
        <v>0.83809999999999996</v>
      </c>
      <c r="S17" s="176">
        <v>0.16189999999999999</v>
      </c>
      <c r="T17" s="176">
        <v>0</v>
      </c>
    </row>
    <row r="18" spans="1:20" x14ac:dyDescent="0.2">
      <c r="A18" s="214"/>
      <c r="B18" s="167">
        <v>2</v>
      </c>
      <c r="C18" s="173" t="s">
        <v>71</v>
      </c>
      <c r="D18" s="173">
        <v>0.97956736666666666</v>
      </c>
      <c r="E18" s="173">
        <v>0.98503770000000002</v>
      </c>
      <c r="F18" s="176">
        <v>0</v>
      </c>
      <c r="G18" s="177">
        <v>1</v>
      </c>
      <c r="H18" s="176">
        <v>0</v>
      </c>
      <c r="I18" s="176" t="e">
        <f t="shared" si="6"/>
        <v>#DIV/0!</v>
      </c>
      <c r="J18" s="176">
        <v>0.97677423333333324</v>
      </c>
      <c r="K18" s="176">
        <v>0.98373139999999992</v>
      </c>
      <c r="L18" s="176">
        <v>4.58E-2</v>
      </c>
      <c r="M18" s="177">
        <v>0.95420000000000005</v>
      </c>
      <c r="N18" s="176">
        <v>0</v>
      </c>
      <c r="O18" s="176" t="e">
        <f t="shared" si="7"/>
        <v>#DIV/0!</v>
      </c>
      <c r="P18" s="176">
        <v>0.97916840000000016</v>
      </c>
      <c r="Q18" s="176">
        <v>0.98168606666666669</v>
      </c>
      <c r="R18" s="176">
        <v>0</v>
      </c>
      <c r="S18" s="177">
        <v>1</v>
      </c>
      <c r="T18" s="176">
        <v>0</v>
      </c>
    </row>
    <row r="19" spans="1:20" x14ac:dyDescent="0.2">
      <c r="A19" s="214"/>
      <c r="B19" s="167">
        <v>3</v>
      </c>
      <c r="C19" s="173">
        <f t="shared" ref="C19" si="8">F19/H19</f>
        <v>0</v>
      </c>
      <c r="D19" s="173">
        <v>0.97956736666666666</v>
      </c>
      <c r="E19" s="173">
        <v>0.91090166666666672</v>
      </c>
      <c r="F19" s="176">
        <v>0</v>
      </c>
      <c r="G19" s="176">
        <v>9.0333329999999993E-3</v>
      </c>
      <c r="H19" s="177">
        <v>0.99096669999999998</v>
      </c>
      <c r="I19" s="176">
        <f t="shared" si="6"/>
        <v>0</v>
      </c>
      <c r="J19" s="176">
        <v>0.97677423333333324</v>
      </c>
      <c r="K19" s="176">
        <v>0.91999940000000002</v>
      </c>
      <c r="L19" s="176">
        <v>0</v>
      </c>
      <c r="M19" s="176">
        <v>8.9999999999999993E-3</v>
      </c>
      <c r="N19" s="177">
        <v>0.99099999999999999</v>
      </c>
      <c r="O19" s="176">
        <f t="shared" si="7"/>
        <v>0</v>
      </c>
      <c r="P19" s="176">
        <v>0.97916840000000016</v>
      </c>
      <c r="Q19" s="176">
        <v>0.94104540000000003</v>
      </c>
      <c r="R19" s="176">
        <v>0</v>
      </c>
      <c r="S19" s="176">
        <v>8.9999999999999993E-3</v>
      </c>
      <c r="T19" s="177">
        <v>0.99099999999999999</v>
      </c>
    </row>
    <row r="20" spans="1:20" x14ac:dyDescent="0.2">
      <c r="A20" s="214"/>
      <c r="B20" s="167">
        <v>4</v>
      </c>
      <c r="C20" s="173" t="s">
        <v>71</v>
      </c>
      <c r="D20" s="173">
        <v>0.97956736666666666</v>
      </c>
      <c r="E20" s="173">
        <v>0.98203589999999996</v>
      </c>
      <c r="F20" s="170">
        <v>0</v>
      </c>
      <c r="G20" s="169">
        <v>1</v>
      </c>
      <c r="H20" s="170">
        <v>0</v>
      </c>
      <c r="I20" s="170">
        <f>L20/N20</f>
        <v>0</v>
      </c>
      <c r="J20" s="170">
        <v>0.97677423333333324</v>
      </c>
      <c r="K20" s="170">
        <v>0.95826076666666671</v>
      </c>
      <c r="L20" s="176">
        <v>0</v>
      </c>
      <c r="M20" s="176">
        <v>9.0266669999999993E-2</v>
      </c>
      <c r="N20" s="177">
        <v>0.90973329999999997</v>
      </c>
      <c r="O20" s="176">
        <f>R20/T20</f>
        <v>0</v>
      </c>
      <c r="P20" s="176">
        <v>0.97916840000000016</v>
      </c>
      <c r="Q20" s="176">
        <v>0.93669776666666671</v>
      </c>
      <c r="R20" s="176">
        <v>0</v>
      </c>
      <c r="S20" s="176">
        <v>9.1666669999999999E-3</v>
      </c>
      <c r="T20" s="177">
        <v>0.99083330000000003</v>
      </c>
    </row>
    <row r="21" spans="1:20" x14ac:dyDescent="0.2">
      <c r="A21" s="214"/>
      <c r="B21" s="167">
        <v>5</v>
      </c>
      <c r="C21" s="173" t="s">
        <v>24</v>
      </c>
      <c r="D21" s="173">
        <v>0.97956736666666666</v>
      </c>
      <c r="E21" s="173" t="s">
        <v>24</v>
      </c>
      <c r="F21" s="170" t="s">
        <v>24</v>
      </c>
      <c r="G21" s="170" t="s">
        <v>24</v>
      </c>
      <c r="H21" s="170" t="s">
        <v>24</v>
      </c>
      <c r="I21" s="170" t="s">
        <v>24</v>
      </c>
      <c r="J21" s="170">
        <v>0.97677423333333324</v>
      </c>
      <c r="K21" s="170">
        <v>1</v>
      </c>
      <c r="L21" s="176" t="s">
        <v>24</v>
      </c>
      <c r="M21" s="176" t="s">
        <v>24</v>
      </c>
      <c r="N21" s="176" t="s">
        <v>24</v>
      </c>
      <c r="O21" s="176">
        <f>R21/T21</f>
        <v>223.39460547458549</v>
      </c>
      <c r="P21" s="176">
        <v>0.97916840000000016</v>
      </c>
      <c r="Q21" s="176">
        <v>0.99366283333333338</v>
      </c>
      <c r="R21" s="176">
        <v>0.90965010000000002</v>
      </c>
      <c r="S21" s="176">
        <v>8.6277999999999994E-2</v>
      </c>
      <c r="T21" s="176">
        <v>4.0719429999999997E-3</v>
      </c>
    </row>
    <row r="22" spans="1:20" x14ac:dyDescent="0.2">
      <c r="A22" s="130"/>
      <c r="B22" s="167"/>
      <c r="C22" s="173"/>
      <c r="D22" s="173"/>
      <c r="E22" s="173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</row>
    <row r="23" spans="1:20" x14ac:dyDescent="0.2">
      <c r="A23" s="214" t="s">
        <v>76</v>
      </c>
      <c r="B23" s="167">
        <v>1</v>
      </c>
      <c r="C23" s="173" t="s">
        <v>71</v>
      </c>
      <c r="D23" s="173">
        <v>0.97956736666666666</v>
      </c>
      <c r="E23" s="173">
        <v>0.98871179999999992</v>
      </c>
      <c r="F23" s="176">
        <v>0.1550667</v>
      </c>
      <c r="G23" s="176">
        <v>0.8449333</v>
      </c>
      <c r="H23" s="176">
        <v>0</v>
      </c>
      <c r="I23" s="176" t="s">
        <v>71</v>
      </c>
      <c r="J23" s="176">
        <v>0.97677423333333324</v>
      </c>
      <c r="K23" s="176">
        <v>0.98803543333333332</v>
      </c>
      <c r="L23" s="176">
        <v>0.1569333</v>
      </c>
      <c r="M23" s="176">
        <v>0.84306669999999995</v>
      </c>
      <c r="N23" s="176">
        <v>0</v>
      </c>
      <c r="O23" s="176" t="s">
        <v>71</v>
      </c>
      <c r="P23" s="176">
        <v>0.97916840000000016</v>
      </c>
      <c r="Q23" s="176">
        <v>0.98810609999999999</v>
      </c>
      <c r="R23" s="176">
        <v>0.1588667</v>
      </c>
      <c r="S23" s="176">
        <v>0.84113329999999997</v>
      </c>
      <c r="T23" s="176">
        <v>0</v>
      </c>
    </row>
    <row r="24" spans="1:20" x14ac:dyDescent="0.2">
      <c r="A24" s="214"/>
      <c r="B24" s="167">
        <v>2</v>
      </c>
      <c r="C24" s="173" t="s">
        <v>71</v>
      </c>
      <c r="D24" s="173">
        <v>0.97956736666666666</v>
      </c>
      <c r="E24" s="173">
        <v>0.97832463333333342</v>
      </c>
      <c r="F24" s="176">
        <v>0</v>
      </c>
      <c r="G24" s="177">
        <v>1</v>
      </c>
      <c r="H24" s="176">
        <v>0</v>
      </c>
      <c r="I24" s="176" t="s">
        <v>71</v>
      </c>
      <c r="J24" s="176">
        <v>0.97677423333333324</v>
      </c>
      <c r="K24" s="176">
        <v>0.98002400000000012</v>
      </c>
      <c r="L24" s="176">
        <v>0</v>
      </c>
      <c r="M24" s="177">
        <v>1</v>
      </c>
      <c r="N24" s="176">
        <v>0</v>
      </c>
      <c r="O24" s="176" t="s">
        <v>71</v>
      </c>
      <c r="P24" s="176">
        <v>0.97916840000000016</v>
      </c>
      <c r="Q24" s="176">
        <v>0.97992050000000008</v>
      </c>
      <c r="R24" s="176">
        <v>0</v>
      </c>
      <c r="S24" s="177">
        <v>1</v>
      </c>
      <c r="T24" s="176">
        <v>0</v>
      </c>
    </row>
    <row r="25" spans="1:20" x14ac:dyDescent="0.2">
      <c r="A25" s="214"/>
      <c r="B25" s="167">
        <v>3</v>
      </c>
      <c r="C25" s="173" t="s">
        <v>71</v>
      </c>
      <c r="D25" s="173">
        <v>0.97956736666666666</v>
      </c>
      <c r="E25" s="173">
        <v>0.98613096666666655</v>
      </c>
      <c r="F25" s="176">
        <v>0</v>
      </c>
      <c r="G25" s="177">
        <v>1</v>
      </c>
      <c r="H25" s="176">
        <v>0</v>
      </c>
      <c r="I25" s="176" t="s">
        <v>71</v>
      </c>
      <c r="J25" s="176">
        <v>0.97677423333333324</v>
      </c>
      <c r="K25" s="176">
        <v>0.98501113333333334</v>
      </c>
      <c r="L25" s="176">
        <v>0</v>
      </c>
      <c r="M25" s="177">
        <v>1</v>
      </c>
      <c r="N25" s="176">
        <v>0</v>
      </c>
      <c r="O25" s="176" t="s">
        <v>71</v>
      </c>
      <c r="P25" s="176">
        <v>0.97916840000000016</v>
      </c>
      <c r="Q25" s="176">
        <v>0.98364946666666675</v>
      </c>
      <c r="R25" s="176">
        <v>0</v>
      </c>
      <c r="S25" s="177">
        <v>1</v>
      </c>
      <c r="T25" s="176">
        <v>0</v>
      </c>
    </row>
    <row r="26" spans="1:20" x14ac:dyDescent="0.2">
      <c r="A26" s="214"/>
      <c r="B26" s="167">
        <v>4</v>
      </c>
      <c r="C26" s="173" t="s">
        <v>71</v>
      </c>
      <c r="D26" s="173">
        <v>0.97956736666666666</v>
      </c>
      <c r="E26" s="173">
        <v>0.98920980000000014</v>
      </c>
      <c r="F26" s="176">
        <v>0.32819999999999999</v>
      </c>
      <c r="G26" s="176">
        <v>0.67179999999999995</v>
      </c>
      <c r="H26" s="176">
        <v>0</v>
      </c>
      <c r="I26" s="176" t="s">
        <v>71</v>
      </c>
      <c r="J26" s="176">
        <v>0.97677423333333324</v>
      </c>
      <c r="K26" s="176">
        <v>0.98862633333333338</v>
      </c>
      <c r="L26" s="176">
        <v>0.33090000000000003</v>
      </c>
      <c r="M26" s="176">
        <v>0.66910000000000003</v>
      </c>
      <c r="N26" s="176">
        <v>0</v>
      </c>
      <c r="O26" s="176" t="s">
        <v>71</v>
      </c>
      <c r="P26" s="176">
        <v>0.97916840000000016</v>
      </c>
      <c r="Q26" s="176">
        <v>0.98810600000000004</v>
      </c>
      <c r="R26" s="176">
        <v>0.15796669999999999</v>
      </c>
      <c r="S26" s="176">
        <v>0.84203329999999998</v>
      </c>
      <c r="T26" s="176">
        <v>0</v>
      </c>
    </row>
    <row r="27" spans="1:20" x14ac:dyDescent="0.2">
      <c r="A27" s="214"/>
      <c r="B27" s="167">
        <v>5</v>
      </c>
      <c r="C27" s="173" t="s">
        <v>71</v>
      </c>
      <c r="D27" s="173">
        <v>0.97956736666666666</v>
      </c>
      <c r="E27" s="173">
        <v>0.99089050000000001</v>
      </c>
      <c r="F27" s="170">
        <v>0.51046670000000005</v>
      </c>
      <c r="G27" s="170">
        <v>0.4895333</v>
      </c>
      <c r="H27" s="170">
        <v>0</v>
      </c>
      <c r="I27" s="170" t="s">
        <v>71</v>
      </c>
      <c r="J27" s="170">
        <v>0.97677423333333324</v>
      </c>
      <c r="K27" s="170">
        <v>0.98923503333333329</v>
      </c>
      <c r="L27" s="176">
        <v>0.32786670000000001</v>
      </c>
      <c r="M27" s="176">
        <v>0.67213330000000004</v>
      </c>
      <c r="N27" s="176">
        <v>0</v>
      </c>
      <c r="O27" s="176" t="s">
        <v>71</v>
      </c>
      <c r="P27" s="176">
        <v>0.97916840000000016</v>
      </c>
      <c r="Q27" s="176">
        <v>0.98923353333333319</v>
      </c>
      <c r="R27" s="176">
        <v>0.3206</v>
      </c>
      <c r="S27" s="176">
        <v>0.6794</v>
      </c>
      <c r="T27" s="176">
        <v>0</v>
      </c>
    </row>
    <row r="28" spans="1:20" ht="17" thickBot="1" x14ac:dyDescent="0.25">
      <c r="A28" s="138"/>
      <c r="B28" s="115"/>
      <c r="C28" s="175"/>
      <c r="D28" s="175"/>
      <c r="E28" s="17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</row>
    <row r="29" spans="1:20" x14ac:dyDescent="0.2">
      <c r="A29" s="214" t="s">
        <v>77</v>
      </c>
      <c r="B29" s="167">
        <v>1</v>
      </c>
      <c r="C29" s="173" t="s">
        <v>71</v>
      </c>
      <c r="D29" s="173">
        <v>0.98060506666666658</v>
      </c>
      <c r="E29" s="173">
        <v>0.99941360000000001</v>
      </c>
      <c r="F29" s="176">
        <v>0.83293329999999999</v>
      </c>
      <c r="G29" s="176">
        <v>0.16706670000000001</v>
      </c>
      <c r="H29" s="176">
        <v>0</v>
      </c>
      <c r="I29" s="177" t="s">
        <v>71</v>
      </c>
      <c r="J29" s="177">
        <v>0.97852986666666675</v>
      </c>
      <c r="K29" s="177">
        <v>0.99843286666666664</v>
      </c>
      <c r="L29" s="177">
        <v>0.96419999999999995</v>
      </c>
      <c r="M29" s="176">
        <v>3.5799999999999998E-2</v>
      </c>
      <c r="N29" s="176">
        <v>0</v>
      </c>
      <c r="O29" s="176" t="s">
        <v>71</v>
      </c>
      <c r="P29" s="176">
        <v>0.97988673333333332</v>
      </c>
      <c r="Q29" s="176">
        <v>0.99432623333333325</v>
      </c>
      <c r="R29" s="176">
        <v>0.8348333</v>
      </c>
      <c r="S29" s="176">
        <v>0.1651667</v>
      </c>
      <c r="T29" s="176">
        <v>0</v>
      </c>
    </row>
    <row r="30" spans="1:20" x14ac:dyDescent="0.2">
      <c r="A30" s="214"/>
      <c r="B30" s="167">
        <v>2</v>
      </c>
      <c r="C30" s="173" t="s">
        <v>71</v>
      </c>
      <c r="D30" s="173">
        <v>0.98060506666666658</v>
      </c>
      <c r="E30" s="173">
        <v>0.98509863333333325</v>
      </c>
      <c r="F30" s="176">
        <v>0</v>
      </c>
      <c r="G30" s="177">
        <v>1</v>
      </c>
      <c r="H30" s="176">
        <v>0</v>
      </c>
      <c r="I30" s="176" t="s">
        <v>71</v>
      </c>
      <c r="J30" s="176">
        <v>0.97852986666666675</v>
      </c>
      <c r="K30" s="176">
        <v>0.98379246666666675</v>
      </c>
      <c r="L30" s="176">
        <v>0</v>
      </c>
      <c r="M30" s="177">
        <v>1</v>
      </c>
      <c r="N30" s="176">
        <v>0</v>
      </c>
      <c r="O30" s="176" t="s">
        <v>71</v>
      </c>
      <c r="P30" s="176">
        <v>0.97988673333333332</v>
      </c>
      <c r="Q30" s="176">
        <v>0.98228660000000001</v>
      </c>
      <c r="R30" s="176">
        <v>0</v>
      </c>
      <c r="S30" s="177">
        <v>1</v>
      </c>
      <c r="T30" s="176">
        <v>0</v>
      </c>
    </row>
    <row r="31" spans="1:20" x14ac:dyDescent="0.2">
      <c r="A31" s="214"/>
      <c r="B31" s="167">
        <v>3</v>
      </c>
      <c r="C31" s="173">
        <f t="shared" ref="C31" si="9">F31/H31</f>
        <v>0</v>
      </c>
      <c r="D31" s="173">
        <v>0.98060506666666658</v>
      </c>
      <c r="E31" s="173">
        <v>0.89618870000000006</v>
      </c>
      <c r="F31" s="176">
        <v>0</v>
      </c>
      <c r="G31" s="176">
        <v>8.0333330000000001E-3</v>
      </c>
      <c r="H31" s="177">
        <v>0.99196669999999998</v>
      </c>
      <c r="I31" s="176">
        <f t="shared" ref="I31:I33" si="10">L31/N31</f>
        <v>0</v>
      </c>
      <c r="J31" s="176">
        <v>0.97852986666666675</v>
      </c>
      <c r="K31" s="176">
        <v>0.91193800000000003</v>
      </c>
      <c r="L31" s="176">
        <v>0</v>
      </c>
      <c r="M31" s="176">
        <v>9.3666670000000004E-3</v>
      </c>
      <c r="N31" s="177">
        <v>0.99063330000000005</v>
      </c>
      <c r="O31" s="176">
        <f t="shared" ref="O31:O32" si="11">R31/T31</f>
        <v>0</v>
      </c>
      <c r="P31" s="176">
        <v>0.97988673333333332</v>
      </c>
      <c r="Q31" s="176">
        <v>0.9384511333333333</v>
      </c>
      <c r="R31" s="176">
        <v>0</v>
      </c>
      <c r="S31" s="176">
        <v>9.2666669999999993E-3</v>
      </c>
      <c r="T31" s="177">
        <v>0.99073330000000004</v>
      </c>
    </row>
    <row r="32" spans="1:20" x14ac:dyDescent="0.2">
      <c r="A32" s="214"/>
      <c r="B32" s="167">
        <v>4</v>
      </c>
      <c r="C32" s="173" t="s">
        <v>71</v>
      </c>
      <c r="D32" s="173">
        <v>0.98060506666666658</v>
      </c>
      <c r="E32" s="173">
        <v>0.98203589999999996</v>
      </c>
      <c r="F32" s="170">
        <v>0</v>
      </c>
      <c r="G32" s="169">
        <v>1</v>
      </c>
      <c r="H32" s="170">
        <v>0</v>
      </c>
      <c r="I32" s="170">
        <f t="shared" si="10"/>
        <v>0</v>
      </c>
      <c r="J32" s="170">
        <v>0.97852986666666675</v>
      </c>
      <c r="K32" s="170">
        <v>0.96000143333333332</v>
      </c>
      <c r="L32" s="176">
        <v>0</v>
      </c>
      <c r="M32" s="176">
        <v>0.1686667</v>
      </c>
      <c r="N32" s="177">
        <v>0.83133330000000005</v>
      </c>
      <c r="O32" s="176">
        <f t="shared" si="11"/>
        <v>0</v>
      </c>
      <c r="P32" s="176">
        <v>0.97988673333333332</v>
      </c>
      <c r="Q32" s="176">
        <v>0.93812376666666664</v>
      </c>
      <c r="R32" s="176">
        <v>0</v>
      </c>
      <c r="S32" s="176">
        <v>9.0666670000000005E-3</v>
      </c>
      <c r="T32" s="177">
        <v>0.99093330000000002</v>
      </c>
    </row>
    <row r="33" spans="1:20" x14ac:dyDescent="0.2">
      <c r="A33" s="214"/>
      <c r="B33" s="167">
        <v>5</v>
      </c>
      <c r="C33" s="173" t="s">
        <v>24</v>
      </c>
      <c r="D33" s="173">
        <v>0.98060506666666658</v>
      </c>
      <c r="E33" s="173" t="s">
        <v>24</v>
      </c>
      <c r="F33" s="170" t="s">
        <v>24</v>
      </c>
      <c r="G33" s="170" t="s">
        <v>24</v>
      </c>
      <c r="H33" s="170" t="s">
        <v>24</v>
      </c>
      <c r="I33" s="170">
        <f t="shared" si="10"/>
        <v>1.2043756720430105</v>
      </c>
      <c r="J33" s="170">
        <v>0.97852986666666675</v>
      </c>
      <c r="K33" s="170">
        <v>0.66823899366666673</v>
      </c>
      <c r="L33" s="176">
        <v>0.53763329999999998</v>
      </c>
      <c r="M33" s="176">
        <v>1.5966669999999999E-2</v>
      </c>
      <c r="N33" s="176">
        <v>0.44640000000000002</v>
      </c>
      <c r="O33" s="176" t="s">
        <v>71</v>
      </c>
      <c r="P33" s="176">
        <v>0.97988673333333332</v>
      </c>
      <c r="Q33" s="176">
        <v>0.9936676000000001</v>
      </c>
      <c r="R33" s="176">
        <v>0.83213329999999996</v>
      </c>
      <c r="S33" s="176">
        <v>0.16786670000000001</v>
      </c>
      <c r="T33" s="176">
        <v>0</v>
      </c>
    </row>
    <row r="34" spans="1:20" x14ac:dyDescent="0.2">
      <c r="A34" s="130"/>
      <c r="B34" s="167"/>
      <c r="C34" s="173"/>
      <c r="D34" s="173"/>
      <c r="E34" s="173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</row>
    <row r="35" spans="1:20" x14ac:dyDescent="0.2">
      <c r="A35" s="214" t="s">
        <v>78</v>
      </c>
      <c r="B35" s="167">
        <v>1</v>
      </c>
      <c r="C35" s="173">
        <f t="shared" ref="C35" si="12">F35/H35</f>
        <v>0</v>
      </c>
      <c r="D35" s="173">
        <v>0.98060506666666658</v>
      </c>
      <c r="E35" s="173">
        <v>0.96654450000000003</v>
      </c>
      <c r="F35" s="176">
        <v>0</v>
      </c>
      <c r="G35" s="176">
        <v>0.16546669999999999</v>
      </c>
      <c r="H35" s="176">
        <v>0.83453330000000003</v>
      </c>
      <c r="I35" s="176">
        <f t="shared" ref="I35" si="13">L35/N35</f>
        <v>0</v>
      </c>
      <c r="J35" s="176">
        <v>0.97852986666666675</v>
      </c>
      <c r="K35" s="176">
        <v>0.96712286666666669</v>
      </c>
      <c r="L35" s="176">
        <v>0</v>
      </c>
      <c r="M35" s="176">
        <v>0.48896669999999998</v>
      </c>
      <c r="N35" s="176">
        <v>0.51103330000000002</v>
      </c>
      <c r="O35" s="176">
        <f t="shared" ref="O35" si="14">R35/T35</f>
        <v>0</v>
      </c>
      <c r="P35" s="176">
        <v>0.97988673333333332</v>
      </c>
      <c r="Q35" s="176">
        <v>0.96898633333333339</v>
      </c>
      <c r="R35" s="176">
        <v>0</v>
      </c>
      <c r="S35" s="176">
        <v>0.48799999999999999</v>
      </c>
      <c r="T35" s="176">
        <v>0.51200000000000001</v>
      </c>
    </row>
    <row r="36" spans="1:20" x14ac:dyDescent="0.2">
      <c r="A36" s="214"/>
      <c r="B36" s="167">
        <v>2</v>
      </c>
      <c r="C36" s="173" t="s">
        <v>71</v>
      </c>
      <c r="D36" s="173">
        <v>0.98060506666666658</v>
      </c>
      <c r="E36" s="173">
        <v>0.98506403333333326</v>
      </c>
      <c r="F36" s="176">
        <v>0</v>
      </c>
      <c r="G36" s="177">
        <v>1</v>
      </c>
      <c r="H36" s="176">
        <v>0</v>
      </c>
      <c r="I36" s="176" t="s">
        <v>71</v>
      </c>
      <c r="J36" s="176">
        <v>0.97852986666666675</v>
      </c>
      <c r="K36" s="176">
        <v>0.98564220000000002</v>
      </c>
      <c r="L36" s="176">
        <v>0</v>
      </c>
      <c r="M36" s="177">
        <v>1</v>
      </c>
      <c r="N36" s="176">
        <v>0</v>
      </c>
      <c r="O36" s="176" t="s">
        <v>71</v>
      </c>
      <c r="P36" s="176">
        <v>0.97988673333333332</v>
      </c>
      <c r="Q36" s="176">
        <v>0.98351203333333326</v>
      </c>
      <c r="R36" s="176">
        <v>0</v>
      </c>
      <c r="S36" s="177">
        <v>1</v>
      </c>
      <c r="T36" s="176">
        <v>0</v>
      </c>
    </row>
    <row r="37" spans="1:20" x14ac:dyDescent="0.2">
      <c r="A37" s="214"/>
      <c r="B37" s="167">
        <v>3</v>
      </c>
      <c r="C37" s="173" t="s">
        <v>71</v>
      </c>
      <c r="D37" s="173">
        <v>0.98060506666666658</v>
      </c>
      <c r="E37" s="173">
        <v>0.98524179999999995</v>
      </c>
      <c r="F37" s="176">
        <v>0</v>
      </c>
      <c r="G37" s="177">
        <v>1</v>
      </c>
      <c r="H37" s="176">
        <v>0</v>
      </c>
      <c r="I37" s="176" t="s">
        <v>71</v>
      </c>
      <c r="J37" s="176">
        <v>0.97852986666666675</v>
      </c>
      <c r="K37" s="176">
        <v>0.98548436666666672</v>
      </c>
      <c r="L37" s="176">
        <v>0</v>
      </c>
      <c r="M37" s="177">
        <v>1</v>
      </c>
      <c r="N37" s="176">
        <v>0</v>
      </c>
      <c r="O37" s="176" t="s">
        <v>71</v>
      </c>
      <c r="P37" s="176">
        <v>0.97988673333333332</v>
      </c>
      <c r="Q37" s="176">
        <v>0.98406159999999998</v>
      </c>
      <c r="R37" s="176">
        <v>0</v>
      </c>
      <c r="S37" s="177">
        <v>1</v>
      </c>
      <c r="T37" s="176">
        <v>0</v>
      </c>
    </row>
    <row r="38" spans="1:20" x14ac:dyDescent="0.2">
      <c r="A38" s="214"/>
      <c r="B38" s="167">
        <v>4</v>
      </c>
      <c r="C38" s="173" t="s">
        <v>71</v>
      </c>
      <c r="D38" s="173">
        <v>0.98060506666666658</v>
      </c>
      <c r="E38" s="173">
        <v>0.98871180000000003</v>
      </c>
      <c r="F38" s="176">
        <v>0</v>
      </c>
      <c r="G38" s="177">
        <v>1</v>
      </c>
      <c r="H38" s="176">
        <v>0</v>
      </c>
      <c r="I38" s="176" t="s">
        <v>71</v>
      </c>
      <c r="J38" s="176">
        <v>0.97852986666666675</v>
      </c>
      <c r="K38" s="176">
        <v>0.98803543333333332</v>
      </c>
      <c r="L38" s="176">
        <v>0.15746669999999999</v>
      </c>
      <c r="M38" s="176">
        <v>0.84253330000000004</v>
      </c>
      <c r="N38" s="176">
        <v>0</v>
      </c>
      <c r="O38" s="176" t="s">
        <v>71</v>
      </c>
      <c r="P38" s="176">
        <v>0.97988673333333332</v>
      </c>
      <c r="Q38" s="176">
        <v>0.98810603333333324</v>
      </c>
      <c r="R38" s="176">
        <v>0</v>
      </c>
      <c r="S38" s="177">
        <v>1</v>
      </c>
      <c r="T38" s="176">
        <v>0</v>
      </c>
    </row>
    <row r="39" spans="1:20" x14ac:dyDescent="0.2">
      <c r="A39" s="214"/>
      <c r="B39" s="167">
        <v>5</v>
      </c>
      <c r="C39" s="173" t="s">
        <v>71</v>
      </c>
      <c r="D39" s="173">
        <v>0.98060506666666658</v>
      </c>
      <c r="E39" s="173">
        <v>0.99089063333333327</v>
      </c>
      <c r="F39" s="170">
        <v>0.69593329999999998</v>
      </c>
      <c r="G39" s="170">
        <v>0.30406670000000002</v>
      </c>
      <c r="H39" s="170">
        <v>0</v>
      </c>
      <c r="I39" s="170" t="s">
        <v>71</v>
      </c>
      <c r="J39" s="170">
        <v>0.97852986666666675</v>
      </c>
      <c r="K39" s="170">
        <v>0.98923493333333334</v>
      </c>
      <c r="L39" s="176">
        <v>0.69813329999999996</v>
      </c>
      <c r="M39" s="176">
        <v>0.30186669999999999</v>
      </c>
      <c r="N39" s="176">
        <v>0</v>
      </c>
      <c r="O39" s="176" t="s">
        <v>71</v>
      </c>
      <c r="P39" s="176">
        <v>0.97988673333333332</v>
      </c>
      <c r="Q39" s="176">
        <v>0.98907293333333335</v>
      </c>
      <c r="R39" s="176">
        <v>0</v>
      </c>
      <c r="S39" s="177">
        <v>1</v>
      </c>
      <c r="T39" s="176">
        <v>0</v>
      </c>
    </row>
    <row r="40" spans="1:20" ht="17" thickBot="1" x14ac:dyDescent="0.25">
      <c r="A40" s="138"/>
      <c r="B40" s="115"/>
      <c r="C40" s="175"/>
      <c r="D40" s="175"/>
      <c r="E40" s="17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</row>
    <row r="41" spans="1:20" x14ac:dyDescent="0.2">
      <c r="A41" s="214" t="s">
        <v>79</v>
      </c>
      <c r="B41" s="167">
        <v>1</v>
      </c>
      <c r="C41" s="173" t="s">
        <v>71</v>
      </c>
      <c r="D41" s="173">
        <v>0.97972713333333328</v>
      </c>
      <c r="E41" s="173">
        <v>0.99941363333333333</v>
      </c>
      <c r="F41" s="176">
        <v>0.90826669999999998</v>
      </c>
      <c r="G41" s="176">
        <v>9.1733330000000002E-2</v>
      </c>
      <c r="H41" s="176">
        <v>0</v>
      </c>
      <c r="I41" s="177" t="e">
        <f t="shared" ref="I41:I45" si="15">L41/N41</f>
        <v>#DIV/0!</v>
      </c>
      <c r="J41" s="177">
        <v>0.97749226666666666</v>
      </c>
      <c r="K41" s="177">
        <v>0.99843286666666664</v>
      </c>
      <c r="L41" s="177">
        <v>0.96303329999999998</v>
      </c>
      <c r="M41" s="176">
        <v>3.696667E-2</v>
      </c>
      <c r="N41" s="176">
        <v>0</v>
      </c>
      <c r="O41" s="176" t="e">
        <f t="shared" ref="O41:O44" si="16">R41/T41</f>
        <v>#DIV/0!</v>
      </c>
      <c r="P41" s="176">
        <v>0.97932803333333329</v>
      </c>
      <c r="Q41" s="176">
        <v>0.99432623333333325</v>
      </c>
      <c r="R41" s="176">
        <v>0.83166669999999998</v>
      </c>
      <c r="S41" s="176">
        <v>0.16833329999999999</v>
      </c>
      <c r="T41" s="176">
        <v>0</v>
      </c>
    </row>
    <row r="42" spans="1:20" x14ac:dyDescent="0.2">
      <c r="A42" s="214"/>
      <c r="B42" s="167">
        <v>2</v>
      </c>
      <c r="C42" s="173" t="s">
        <v>71</v>
      </c>
      <c r="D42" s="173">
        <v>0.97972713333333328</v>
      </c>
      <c r="E42" s="173">
        <v>0.98448133333333343</v>
      </c>
      <c r="F42" s="176">
        <v>0</v>
      </c>
      <c r="G42" s="177">
        <v>1</v>
      </c>
      <c r="H42" s="176">
        <v>0</v>
      </c>
      <c r="I42" s="176" t="e">
        <f t="shared" si="15"/>
        <v>#DIV/0!</v>
      </c>
      <c r="J42" s="176">
        <v>0.97749226666666666</v>
      </c>
      <c r="K42" s="176">
        <v>0.98330479999999998</v>
      </c>
      <c r="L42" s="176">
        <v>0</v>
      </c>
      <c r="M42" s="177">
        <v>1</v>
      </c>
      <c r="N42" s="176">
        <v>0</v>
      </c>
      <c r="O42" s="176" t="e">
        <f t="shared" si="16"/>
        <v>#DIV/0!</v>
      </c>
      <c r="P42" s="176">
        <v>0.97932803333333329</v>
      </c>
      <c r="Q42" s="176">
        <v>0.98090549999999999</v>
      </c>
      <c r="R42" s="176">
        <v>0</v>
      </c>
      <c r="S42" s="177">
        <v>1</v>
      </c>
      <c r="T42" s="176">
        <v>0</v>
      </c>
    </row>
    <row r="43" spans="1:20" x14ac:dyDescent="0.2">
      <c r="A43" s="214"/>
      <c r="B43" s="167">
        <v>3</v>
      </c>
      <c r="C43" s="173" t="s">
        <v>71</v>
      </c>
      <c r="D43" s="173">
        <v>0.97972713333333328</v>
      </c>
      <c r="E43" s="173">
        <v>0.8767204999999999</v>
      </c>
      <c r="F43" s="176">
        <v>0</v>
      </c>
      <c r="G43" s="177">
        <v>1</v>
      </c>
      <c r="H43" s="176">
        <v>0</v>
      </c>
      <c r="I43" s="176" t="e">
        <f t="shared" si="15"/>
        <v>#DIV/0!</v>
      </c>
      <c r="J43" s="176">
        <v>0.97749226666666666</v>
      </c>
      <c r="K43" s="176">
        <v>0.89953653333333339</v>
      </c>
      <c r="L43" s="176">
        <v>0</v>
      </c>
      <c r="M43" s="177">
        <v>1</v>
      </c>
      <c r="N43" s="176">
        <v>0</v>
      </c>
      <c r="O43" s="176" t="e">
        <f t="shared" si="16"/>
        <v>#DIV/0!</v>
      </c>
      <c r="P43" s="176">
        <v>0.97932803333333329</v>
      </c>
      <c r="Q43" s="176">
        <v>0.93344443333333338</v>
      </c>
      <c r="R43" s="176">
        <v>0</v>
      </c>
      <c r="S43" s="177">
        <v>1</v>
      </c>
      <c r="T43" s="176">
        <v>0</v>
      </c>
    </row>
    <row r="44" spans="1:20" x14ac:dyDescent="0.2">
      <c r="A44" s="214"/>
      <c r="B44" s="167">
        <v>4</v>
      </c>
      <c r="C44" s="173" t="s">
        <v>71</v>
      </c>
      <c r="D44" s="173">
        <v>0.97972713333333328</v>
      </c>
      <c r="E44" s="173">
        <v>0.98303393333333322</v>
      </c>
      <c r="F44" s="170">
        <v>0</v>
      </c>
      <c r="G44" s="169">
        <v>1</v>
      </c>
      <c r="H44" s="170">
        <v>0</v>
      </c>
      <c r="I44" s="170">
        <f t="shared" si="15"/>
        <v>0</v>
      </c>
      <c r="J44" s="170">
        <v>0.97749226666666666</v>
      </c>
      <c r="K44" s="170">
        <v>0.95999690000000004</v>
      </c>
      <c r="L44" s="176">
        <v>0</v>
      </c>
      <c r="M44" s="176">
        <v>0.16456670000000001</v>
      </c>
      <c r="N44" s="176">
        <v>0.83543330000000005</v>
      </c>
      <c r="O44" s="176">
        <f t="shared" si="16"/>
        <v>0</v>
      </c>
      <c r="P44" s="176">
        <v>0.97932803333333329</v>
      </c>
      <c r="Q44" s="176">
        <v>0.94522960000000011</v>
      </c>
      <c r="R44" s="176">
        <v>0</v>
      </c>
      <c r="S44" s="176">
        <v>7.7333330000000002E-3</v>
      </c>
      <c r="T44" s="177">
        <v>0.99226669999999995</v>
      </c>
    </row>
    <row r="45" spans="1:20" x14ac:dyDescent="0.2">
      <c r="A45" s="214"/>
      <c r="B45" s="167">
        <v>5</v>
      </c>
      <c r="C45" s="173" t="s">
        <v>24</v>
      </c>
      <c r="D45" s="173">
        <v>0.97972713333333328</v>
      </c>
      <c r="E45" s="173" t="s">
        <v>24</v>
      </c>
      <c r="F45" s="170" t="s">
        <v>24</v>
      </c>
      <c r="G45" s="170" t="s">
        <v>24</v>
      </c>
      <c r="H45" s="170" t="s">
        <v>24</v>
      </c>
      <c r="I45" s="170">
        <f t="shared" si="15"/>
        <v>0.99539685574676007</v>
      </c>
      <c r="J45" s="170">
        <v>0.97749226666666666</v>
      </c>
      <c r="K45" s="170">
        <v>0.66665921500000003</v>
      </c>
      <c r="L45" s="176">
        <v>0.46853329999999999</v>
      </c>
      <c r="M45" s="176">
        <v>6.0766670000000002E-2</v>
      </c>
      <c r="N45" s="176">
        <v>0.47070000000000001</v>
      </c>
      <c r="O45" s="176"/>
      <c r="P45" s="176">
        <v>0.97932803333333329</v>
      </c>
      <c r="Q45" s="176">
        <v>0.99240500000000009</v>
      </c>
      <c r="R45" s="176">
        <v>0.6984667</v>
      </c>
      <c r="S45" s="176">
        <v>0.3015333</v>
      </c>
      <c r="T45" s="176">
        <v>0</v>
      </c>
    </row>
    <row r="46" spans="1:20" x14ac:dyDescent="0.2">
      <c r="A46" s="130"/>
      <c r="B46" s="167"/>
      <c r="C46" s="173"/>
      <c r="D46" s="173"/>
      <c r="E46" s="173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</row>
    <row r="47" spans="1:20" x14ac:dyDescent="0.2">
      <c r="A47" s="214" t="s">
        <v>80</v>
      </c>
      <c r="B47" s="167">
        <v>1</v>
      </c>
      <c r="C47" s="173">
        <f>F47/H47</f>
        <v>0</v>
      </c>
      <c r="D47" s="173">
        <v>0.97972713333333328</v>
      </c>
      <c r="E47" s="173">
        <v>0.96321689999999993</v>
      </c>
      <c r="F47" s="176">
        <v>0</v>
      </c>
      <c r="G47" s="176">
        <v>9.0033329999999995E-2</v>
      </c>
      <c r="H47" s="176">
        <v>0.90996670000000002</v>
      </c>
      <c r="I47" s="176">
        <f>L47/N47</f>
        <v>0</v>
      </c>
      <c r="J47" s="176">
        <v>0.97749226666666666</v>
      </c>
      <c r="K47" s="176">
        <v>0.96429133333333328</v>
      </c>
      <c r="L47" s="176">
        <v>0</v>
      </c>
      <c r="M47" s="176">
        <v>0.48793330000000001</v>
      </c>
      <c r="N47" s="176">
        <v>0.51206669999999999</v>
      </c>
      <c r="O47" s="176">
        <f>R47/T47</f>
        <v>0</v>
      </c>
      <c r="P47" s="176">
        <v>0.97932803333333329</v>
      </c>
      <c r="Q47" s="176">
        <v>0.96650519999999995</v>
      </c>
      <c r="R47" s="176">
        <v>0</v>
      </c>
      <c r="S47" s="176">
        <v>0.16520000000000001</v>
      </c>
      <c r="T47" s="176">
        <v>0.83479999999999999</v>
      </c>
    </row>
    <row r="48" spans="1:20" x14ac:dyDescent="0.2">
      <c r="A48" s="214"/>
      <c r="B48" s="167">
        <v>2</v>
      </c>
      <c r="C48" s="173" t="s">
        <v>71</v>
      </c>
      <c r="D48" s="173">
        <v>0.97972713333333328</v>
      </c>
      <c r="E48" s="173">
        <v>0.97949640000000004</v>
      </c>
      <c r="F48" s="176">
        <v>0</v>
      </c>
      <c r="G48" s="177">
        <v>1</v>
      </c>
      <c r="H48" s="176">
        <v>0</v>
      </c>
      <c r="I48" s="176" t="s">
        <v>71</v>
      </c>
      <c r="J48" s="176">
        <v>0.97749226666666666</v>
      </c>
      <c r="K48" s="176">
        <v>0.98002383333333343</v>
      </c>
      <c r="L48" s="176">
        <v>0</v>
      </c>
      <c r="M48" s="177">
        <v>1</v>
      </c>
      <c r="N48" s="176">
        <v>0</v>
      </c>
      <c r="O48" s="176" t="s">
        <v>71</v>
      </c>
      <c r="P48" s="176">
        <v>0.97932803333333329</v>
      </c>
      <c r="Q48" s="176">
        <v>0.98006803333333326</v>
      </c>
      <c r="R48" s="176">
        <v>0</v>
      </c>
      <c r="S48" s="177">
        <v>1</v>
      </c>
      <c r="T48" s="176">
        <v>0</v>
      </c>
    </row>
    <row r="49" spans="1:20" x14ac:dyDescent="0.2">
      <c r="A49" s="214"/>
      <c r="B49" s="167">
        <v>3</v>
      </c>
      <c r="C49" s="173" t="s">
        <v>71</v>
      </c>
      <c r="D49" s="173">
        <v>0.97972713333333328</v>
      </c>
      <c r="E49" s="173">
        <v>0.98613086666666661</v>
      </c>
      <c r="F49" s="176">
        <v>0</v>
      </c>
      <c r="G49" s="177">
        <v>1</v>
      </c>
      <c r="H49" s="176">
        <v>0</v>
      </c>
      <c r="I49" s="176" t="s">
        <v>71</v>
      </c>
      <c r="J49" s="176">
        <v>0.97749226666666666</v>
      </c>
      <c r="K49" s="176">
        <v>0.98627349999999991</v>
      </c>
      <c r="L49" s="176">
        <v>0</v>
      </c>
      <c r="M49" s="177">
        <v>1</v>
      </c>
      <c r="N49" s="176">
        <v>0</v>
      </c>
      <c r="O49" s="176" t="s">
        <v>71</v>
      </c>
      <c r="P49" s="176">
        <v>0.97932803333333329</v>
      </c>
      <c r="Q49" s="176">
        <v>0.98419916666666662</v>
      </c>
      <c r="R49" s="176">
        <v>0</v>
      </c>
      <c r="S49" s="177">
        <v>1</v>
      </c>
      <c r="T49" s="176">
        <v>0</v>
      </c>
    </row>
    <row r="50" spans="1:20" x14ac:dyDescent="0.2">
      <c r="A50" s="214"/>
      <c r="B50" s="167">
        <v>4</v>
      </c>
      <c r="C50" s="173" t="s">
        <v>71</v>
      </c>
      <c r="D50" s="173">
        <v>0.97972713333333328</v>
      </c>
      <c r="E50" s="173">
        <v>0.98904380000000003</v>
      </c>
      <c r="F50" s="176">
        <v>4.6300000000000001E-2</v>
      </c>
      <c r="G50" s="177">
        <v>0.95369999999999999</v>
      </c>
      <c r="H50" s="176">
        <v>0</v>
      </c>
      <c r="I50" s="176" t="s">
        <v>71</v>
      </c>
      <c r="J50" s="176">
        <v>0.97749226666666666</v>
      </c>
      <c r="K50" s="176">
        <v>0.98847849999999993</v>
      </c>
      <c r="L50" s="176">
        <v>0.69683329999999999</v>
      </c>
      <c r="M50" s="176">
        <v>0.30316670000000001</v>
      </c>
      <c r="N50" s="176">
        <v>0</v>
      </c>
      <c r="O50" s="176" t="s">
        <v>71</v>
      </c>
      <c r="P50" s="176">
        <v>0.97932803333333329</v>
      </c>
      <c r="Q50" s="176">
        <v>0.98849393333333335</v>
      </c>
      <c r="R50" s="176">
        <v>0.15679999999999999</v>
      </c>
      <c r="S50" s="176">
        <v>0.84319999999999995</v>
      </c>
      <c r="T50" s="176">
        <v>0</v>
      </c>
    </row>
    <row r="51" spans="1:20" x14ac:dyDescent="0.2">
      <c r="A51" s="214"/>
      <c r="B51" s="167">
        <v>5</v>
      </c>
      <c r="C51" s="173" t="s">
        <v>71</v>
      </c>
      <c r="D51" s="173">
        <v>0.97972713333333328</v>
      </c>
      <c r="E51" s="173">
        <v>0.99020743333333339</v>
      </c>
      <c r="F51" s="170">
        <v>0.51593330000000004</v>
      </c>
      <c r="G51" s="170">
        <v>0.48406670000000002</v>
      </c>
      <c r="H51" s="170">
        <v>0</v>
      </c>
      <c r="I51" s="170" t="s">
        <v>71</v>
      </c>
      <c r="J51" s="170">
        <v>0.97749226666666666</v>
      </c>
      <c r="K51" s="170">
        <v>0.98904270000000005</v>
      </c>
      <c r="L51" s="176">
        <v>0.69540000000000002</v>
      </c>
      <c r="M51" s="176">
        <v>0.30459999999999998</v>
      </c>
      <c r="N51" s="176">
        <v>0</v>
      </c>
      <c r="O51" s="176" t="s">
        <v>71</v>
      </c>
      <c r="P51" s="176">
        <v>0.97932803333333329</v>
      </c>
      <c r="Q51" s="176">
        <v>0.98923360000000005</v>
      </c>
      <c r="R51" s="176">
        <v>0.15616669999999999</v>
      </c>
      <c r="S51" s="176">
        <v>0.84383330000000001</v>
      </c>
      <c r="T51" s="176">
        <v>0</v>
      </c>
    </row>
    <row r="52" spans="1:20" ht="17" thickBot="1" x14ac:dyDescent="0.25">
      <c r="A52" s="138"/>
      <c r="B52" s="115"/>
      <c r="C52" s="175"/>
      <c r="D52" s="175"/>
      <c r="E52" s="17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</row>
    <row r="53" spans="1:20" x14ac:dyDescent="0.2">
      <c r="A53" s="214" t="s">
        <v>81</v>
      </c>
      <c r="B53" s="167">
        <v>1</v>
      </c>
      <c r="C53" s="173" t="s">
        <v>71</v>
      </c>
      <c r="D53" s="173">
        <v>0.96208779999999994</v>
      </c>
      <c r="E53" s="173">
        <v>0.97361109999999995</v>
      </c>
      <c r="F53" s="176">
        <v>0.41676669999999999</v>
      </c>
      <c r="G53" s="176">
        <v>0.58323329999999995</v>
      </c>
      <c r="H53" s="176">
        <v>0</v>
      </c>
      <c r="I53" s="176" t="s">
        <v>71</v>
      </c>
      <c r="J53" s="176">
        <v>0.95929410000000004</v>
      </c>
      <c r="K53" s="176">
        <v>0.97848639999999998</v>
      </c>
      <c r="L53" s="176">
        <v>0.70330000000000004</v>
      </c>
      <c r="M53" s="176">
        <v>0.29670000000000002</v>
      </c>
      <c r="N53" s="176">
        <v>0</v>
      </c>
      <c r="O53" s="177" t="s">
        <v>71</v>
      </c>
      <c r="P53" s="177">
        <v>0.9627262333333334</v>
      </c>
      <c r="Q53" s="177">
        <v>0.99000643333333338</v>
      </c>
      <c r="R53" s="177">
        <v>0.9909</v>
      </c>
      <c r="S53" s="176">
        <v>9.1000000000000004E-3</v>
      </c>
      <c r="T53" s="176">
        <v>0</v>
      </c>
    </row>
    <row r="54" spans="1:20" x14ac:dyDescent="0.2">
      <c r="A54" s="214"/>
      <c r="B54" s="167">
        <v>2</v>
      </c>
      <c r="C54" s="173">
        <f t="shared" ref="C54:C62" si="17">F54/H54</f>
        <v>0</v>
      </c>
      <c r="D54" s="173">
        <v>0.96208779999999994</v>
      </c>
      <c r="E54" s="173">
        <v>0.95406203333333328</v>
      </c>
      <c r="F54" s="170">
        <v>0</v>
      </c>
      <c r="G54" s="169">
        <v>0.95479999999999998</v>
      </c>
      <c r="H54" s="170">
        <v>4.5199999999999997E-2</v>
      </c>
      <c r="I54" s="170" t="s">
        <v>71</v>
      </c>
      <c r="J54" s="170">
        <v>0.95929410000000004</v>
      </c>
      <c r="K54" s="170">
        <v>0.95338763333333321</v>
      </c>
      <c r="L54" s="176">
        <v>0</v>
      </c>
      <c r="M54" s="177">
        <v>1</v>
      </c>
      <c r="N54" s="176">
        <v>0</v>
      </c>
      <c r="O54" s="176" t="s">
        <v>71</v>
      </c>
      <c r="P54" s="176">
        <v>0.9627262333333334</v>
      </c>
      <c r="Q54" s="176">
        <v>0.95430539999999997</v>
      </c>
      <c r="R54" s="176">
        <v>0</v>
      </c>
      <c r="S54" s="177">
        <v>1</v>
      </c>
      <c r="T54" s="176">
        <v>0</v>
      </c>
    </row>
    <row r="55" spans="1:20" x14ac:dyDescent="0.2">
      <c r="A55" s="214"/>
      <c r="B55" s="167">
        <v>3</v>
      </c>
      <c r="C55" s="173">
        <f t="shared" si="17"/>
        <v>0</v>
      </c>
      <c r="D55" s="173">
        <v>0.96208779999999994</v>
      </c>
      <c r="E55" s="173">
        <v>0.77940606666666667</v>
      </c>
      <c r="F55" s="176">
        <v>0</v>
      </c>
      <c r="G55" s="176">
        <v>8.8000000000000005E-3</v>
      </c>
      <c r="H55" s="177">
        <v>0.99119999999999997</v>
      </c>
      <c r="I55" s="176">
        <f t="shared" ref="I55:I56" si="18">L55/N55</f>
        <v>0</v>
      </c>
      <c r="J55" s="176">
        <v>0.95929410000000004</v>
      </c>
      <c r="K55" s="176">
        <v>0.86697673333333336</v>
      </c>
      <c r="L55" s="176">
        <v>0</v>
      </c>
      <c r="M55" s="176">
        <v>8.9333329999999999E-3</v>
      </c>
      <c r="N55" s="177">
        <v>0.99106669999999997</v>
      </c>
      <c r="O55" s="176">
        <f t="shared" ref="O55:O56" si="19">R55/T55</f>
        <v>0</v>
      </c>
      <c r="P55" s="176">
        <v>0.9627262333333334</v>
      </c>
      <c r="Q55" s="176">
        <v>0.92361883333333328</v>
      </c>
      <c r="R55" s="176">
        <v>0</v>
      </c>
      <c r="S55" s="176">
        <v>8.3333330000000001E-3</v>
      </c>
      <c r="T55" s="177">
        <v>0.99166670000000001</v>
      </c>
    </row>
    <row r="56" spans="1:20" x14ac:dyDescent="0.2">
      <c r="A56" s="214"/>
      <c r="B56" s="167">
        <v>4</v>
      </c>
      <c r="C56" s="173">
        <f t="shared" si="17"/>
        <v>0</v>
      </c>
      <c r="D56" s="173">
        <v>0.96208779999999994</v>
      </c>
      <c r="E56" s="173">
        <v>0.91017963333333329</v>
      </c>
      <c r="F56" s="170">
        <v>0</v>
      </c>
      <c r="G56" s="170">
        <v>9.0666670000000005E-3</v>
      </c>
      <c r="H56" s="169">
        <v>0.99093330000000002</v>
      </c>
      <c r="I56" s="170">
        <f t="shared" si="18"/>
        <v>0</v>
      </c>
      <c r="J56" s="170">
        <v>0.95929410000000004</v>
      </c>
      <c r="K56" s="170">
        <v>0.89392950000000004</v>
      </c>
      <c r="L56" s="176">
        <v>0</v>
      </c>
      <c r="M56" s="176">
        <v>8.7666670000000006E-3</v>
      </c>
      <c r="N56" s="177">
        <v>0.99123329999999998</v>
      </c>
      <c r="O56" s="176">
        <f t="shared" si="19"/>
        <v>0</v>
      </c>
      <c r="P56" s="176">
        <v>0.9627262333333334</v>
      </c>
      <c r="Q56" s="176">
        <v>0.9032690333333333</v>
      </c>
      <c r="R56" s="176">
        <v>0</v>
      </c>
      <c r="S56" s="176">
        <v>8.0333330000000001E-3</v>
      </c>
      <c r="T56" s="177">
        <v>0.99196669999999998</v>
      </c>
    </row>
    <row r="57" spans="1:20" x14ac:dyDescent="0.2">
      <c r="A57" s="214"/>
      <c r="B57" s="167">
        <v>5</v>
      </c>
      <c r="C57" s="173" t="s">
        <v>24</v>
      </c>
      <c r="D57" s="173">
        <v>0.96208779999999994</v>
      </c>
      <c r="E57" s="173" t="s">
        <v>24</v>
      </c>
      <c r="F57" s="170" t="s">
        <v>24</v>
      </c>
      <c r="G57" s="170" t="s">
        <v>24</v>
      </c>
      <c r="H57" s="170" t="s">
        <v>24</v>
      </c>
      <c r="I57" s="170" t="s">
        <v>71</v>
      </c>
      <c r="J57" s="170">
        <v>0.95929410000000004</v>
      </c>
      <c r="K57" s="170" t="s">
        <v>24</v>
      </c>
      <c r="L57" s="176" t="s">
        <v>24</v>
      </c>
      <c r="M57" s="176" t="s">
        <v>24</v>
      </c>
      <c r="N57" s="176" t="s">
        <v>24</v>
      </c>
      <c r="O57" s="176" t="s">
        <v>71</v>
      </c>
      <c r="P57" s="176">
        <v>0.9627262333333334</v>
      </c>
      <c r="Q57" s="176" t="s">
        <v>24</v>
      </c>
      <c r="R57" s="176" t="s">
        <v>24</v>
      </c>
      <c r="S57" s="176" t="s">
        <v>24</v>
      </c>
      <c r="T57" s="176" t="s">
        <v>24</v>
      </c>
    </row>
    <row r="58" spans="1:20" x14ac:dyDescent="0.2">
      <c r="A58" s="130"/>
      <c r="B58" s="167"/>
      <c r="C58" s="173"/>
      <c r="D58" s="173"/>
      <c r="E58" s="173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</row>
    <row r="59" spans="1:20" x14ac:dyDescent="0.2">
      <c r="A59" s="214" t="s">
        <v>82</v>
      </c>
      <c r="B59" s="167">
        <v>1</v>
      </c>
      <c r="C59" s="173">
        <f t="shared" si="17"/>
        <v>0</v>
      </c>
      <c r="D59" s="173">
        <v>0.96208779999999994</v>
      </c>
      <c r="E59" s="173">
        <v>0.9488527000000001</v>
      </c>
      <c r="F59" s="176">
        <v>0</v>
      </c>
      <c r="G59" s="176">
        <v>0.30706670000000003</v>
      </c>
      <c r="H59" s="176">
        <v>0.69293329999999997</v>
      </c>
      <c r="I59" s="176">
        <f t="shared" ref="I59:I62" si="20">L59/N59</f>
        <v>0</v>
      </c>
      <c r="J59" s="176">
        <v>0.95929410000000004</v>
      </c>
      <c r="K59" s="176">
        <v>0.94903253333333326</v>
      </c>
      <c r="L59" s="176">
        <v>0</v>
      </c>
      <c r="M59" s="176">
        <v>0.67069999999999996</v>
      </c>
      <c r="N59" s="176">
        <v>0.32929999999999998</v>
      </c>
      <c r="O59" s="176">
        <f t="shared" ref="O59:O62" si="21">R59/T59</f>
        <v>0</v>
      </c>
      <c r="P59" s="176">
        <v>0.9627262333333334</v>
      </c>
      <c r="Q59" s="176">
        <v>0.9524463666666666</v>
      </c>
      <c r="R59" s="176">
        <v>0</v>
      </c>
      <c r="S59" s="176">
        <v>0.67589999999999995</v>
      </c>
      <c r="T59" s="176">
        <v>0.3241</v>
      </c>
    </row>
    <row r="60" spans="1:20" x14ac:dyDescent="0.2">
      <c r="A60" s="214"/>
      <c r="B60" s="167">
        <v>2</v>
      </c>
      <c r="C60" s="173">
        <f t="shared" si="17"/>
        <v>0</v>
      </c>
      <c r="D60" s="173">
        <v>0.96208779999999994</v>
      </c>
      <c r="E60" s="173">
        <v>0.9385</v>
      </c>
      <c r="F60" s="170">
        <v>0</v>
      </c>
      <c r="G60" s="169">
        <v>0.95266669999999998</v>
      </c>
      <c r="H60" s="170">
        <v>4.733333E-2</v>
      </c>
      <c r="I60" s="170" t="s">
        <v>71</v>
      </c>
      <c r="J60" s="170">
        <v>0.95929410000000004</v>
      </c>
      <c r="K60" s="170">
        <v>0.95381410000000011</v>
      </c>
      <c r="L60" s="176">
        <v>0</v>
      </c>
      <c r="M60" s="177">
        <v>1</v>
      </c>
      <c r="N60" s="176">
        <v>0</v>
      </c>
      <c r="O60" s="176">
        <f t="shared" si="21"/>
        <v>0</v>
      </c>
      <c r="P60" s="176">
        <v>0.9627262333333334</v>
      </c>
      <c r="Q60" s="176">
        <v>0.9536446999999999</v>
      </c>
      <c r="R60" s="176">
        <v>0</v>
      </c>
      <c r="S60" s="177">
        <v>0.95256669999999999</v>
      </c>
      <c r="T60" s="176">
        <v>4.7433330000000003E-2</v>
      </c>
    </row>
    <row r="61" spans="1:20" x14ac:dyDescent="0.2">
      <c r="A61" s="214"/>
      <c r="B61" s="167">
        <v>3</v>
      </c>
      <c r="C61" s="173">
        <f t="shared" si="17"/>
        <v>0</v>
      </c>
      <c r="D61" s="173">
        <v>0.96208779999999994</v>
      </c>
      <c r="E61" s="173">
        <v>0.78200346666666665</v>
      </c>
      <c r="F61" s="176">
        <v>0</v>
      </c>
      <c r="G61" s="176">
        <v>8.6999999999999994E-3</v>
      </c>
      <c r="H61" s="177">
        <v>0.99129999999999996</v>
      </c>
      <c r="I61" s="176">
        <f t="shared" si="20"/>
        <v>0</v>
      </c>
      <c r="J61" s="176">
        <v>0.95929410000000004</v>
      </c>
      <c r="K61" s="176">
        <v>0.86790696666666667</v>
      </c>
      <c r="L61" s="176">
        <v>0</v>
      </c>
      <c r="M61" s="176">
        <v>8.7333329999999994E-3</v>
      </c>
      <c r="N61" s="177">
        <v>0.99126669999999995</v>
      </c>
      <c r="O61" s="176">
        <f t="shared" si="21"/>
        <v>0</v>
      </c>
      <c r="P61" s="176">
        <v>0.9627262333333334</v>
      </c>
      <c r="Q61" s="176">
        <v>0.92343343333333328</v>
      </c>
      <c r="R61" s="176">
        <v>0</v>
      </c>
      <c r="S61" s="176">
        <v>8.9333329999999999E-3</v>
      </c>
      <c r="T61" s="177">
        <v>0.99106669999999997</v>
      </c>
    </row>
    <row r="62" spans="1:20" x14ac:dyDescent="0.2">
      <c r="A62" s="214"/>
      <c r="B62" s="167">
        <v>4</v>
      </c>
      <c r="C62" s="173">
        <f t="shared" si="17"/>
        <v>0</v>
      </c>
      <c r="D62" s="173">
        <v>0.96208779999999994</v>
      </c>
      <c r="E62" s="173">
        <v>0.9161676666666666</v>
      </c>
      <c r="F62" s="176">
        <v>0</v>
      </c>
      <c r="G62" s="176">
        <v>8.2666670000000001E-3</v>
      </c>
      <c r="H62" s="177">
        <v>0.99173330000000004</v>
      </c>
      <c r="I62" s="176">
        <f t="shared" si="20"/>
        <v>0</v>
      </c>
      <c r="J62" s="176">
        <v>0.95929410000000004</v>
      </c>
      <c r="K62" s="176">
        <v>0.89652010000000004</v>
      </c>
      <c r="L62" s="176">
        <v>0</v>
      </c>
      <c r="M62" s="176">
        <v>9.4333330000000003E-3</v>
      </c>
      <c r="N62" s="177">
        <v>0.99056670000000002</v>
      </c>
      <c r="O62" s="176">
        <f t="shared" si="21"/>
        <v>0</v>
      </c>
      <c r="P62" s="176">
        <v>0.9627262333333334</v>
      </c>
      <c r="Q62" s="176">
        <v>0.90541040000000006</v>
      </c>
      <c r="R62" s="176">
        <v>0</v>
      </c>
      <c r="S62" s="176">
        <v>9.9000000000000008E-3</v>
      </c>
      <c r="T62" s="177">
        <v>0.99009999999999998</v>
      </c>
    </row>
    <row r="63" spans="1:20" ht="17" thickBot="1" x14ac:dyDescent="0.25">
      <c r="A63" s="213"/>
      <c r="B63" s="115">
        <v>5</v>
      </c>
      <c r="C63" s="175" t="s">
        <v>24</v>
      </c>
      <c r="D63" s="175">
        <v>0.96208779999999994</v>
      </c>
      <c r="E63" s="175" t="s">
        <v>24</v>
      </c>
      <c r="F63" s="164" t="s">
        <v>24</v>
      </c>
      <c r="G63" s="164" t="s">
        <v>24</v>
      </c>
      <c r="H63" s="164" t="s">
        <v>24</v>
      </c>
      <c r="I63" s="164" t="s">
        <v>24</v>
      </c>
      <c r="J63" s="164">
        <v>0.95929410000000004</v>
      </c>
      <c r="K63" s="164" t="s">
        <v>24</v>
      </c>
      <c r="L63" s="164" t="s">
        <v>24</v>
      </c>
      <c r="M63" s="164" t="s">
        <v>24</v>
      </c>
      <c r="N63" s="164" t="s">
        <v>24</v>
      </c>
      <c r="O63" s="164" t="s">
        <v>24</v>
      </c>
      <c r="P63" s="164">
        <v>0.9627262333333334</v>
      </c>
      <c r="Q63" s="164" t="s">
        <v>24</v>
      </c>
      <c r="R63" s="165" t="s">
        <v>24</v>
      </c>
      <c r="S63" s="165" t="s">
        <v>24</v>
      </c>
      <c r="T63" s="165" t="s">
        <v>24</v>
      </c>
    </row>
  </sheetData>
  <mergeCells count="15">
    <mergeCell ref="A53:A57"/>
    <mergeCell ref="A59:A63"/>
    <mergeCell ref="A1:T1"/>
    <mergeCell ref="I3:N3"/>
    <mergeCell ref="O3:T3"/>
    <mergeCell ref="C3:H3"/>
    <mergeCell ref="A17:A21"/>
    <mergeCell ref="A23:A27"/>
    <mergeCell ref="A29:A33"/>
    <mergeCell ref="A35:A39"/>
    <mergeCell ref="A41:A45"/>
    <mergeCell ref="A47:A51"/>
    <mergeCell ref="A5:A9"/>
    <mergeCell ref="A11:A15"/>
    <mergeCell ref="C2:T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DAE4-0DB5-5745-8838-6B4CF636CED7}">
  <dimension ref="A1:U63"/>
  <sheetViews>
    <sheetView showGridLines="0" topLeftCell="A40" zoomScale="101" workbookViewId="0">
      <selection activeCell="V63" sqref="V63"/>
    </sheetView>
  </sheetViews>
  <sheetFormatPr baseColWidth="10" defaultRowHeight="16" x14ac:dyDescent="0.2"/>
  <cols>
    <col min="1" max="1" width="27.6640625" customWidth="1"/>
  </cols>
  <sheetData>
    <row r="1" spans="1:20" ht="17" thickBot="1" x14ac:dyDescent="0.25">
      <c r="A1" s="211" t="s">
        <v>198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52" thickBot="1" x14ac:dyDescent="0.25">
      <c r="A4" s="138" t="s">
        <v>87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180</v>
      </c>
      <c r="D5" s="172">
        <v>0.97970000000000002</v>
      </c>
      <c r="E5" s="172">
        <v>0.96289999999999998</v>
      </c>
      <c r="F5" s="180"/>
      <c r="G5" s="180"/>
      <c r="H5" s="180"/>
      <c r="I5" s="181" t="s">
        <v>180</v>
      </c>
      <c r="J5" s="181">
        <v>0.9829</v>
      </c>
      <c r="K5" s="181">
        <v>0.97209999999999996</v>
      </c>
      <c r="L5" s="180"/>
      <c r="M5" s="180"/>
      <c r="N5" s="180"/>
      <c r="O5" s="181" t="s">
        <v>180</v>
      </c>
      <c r="P5" s="181">
        <v>0.98029999999999995</v>
      </c>
      <c r="Q5" s="181">
        <v>0.90690000000000004</v>
      </c>
      <c r="R5" s="180"/>
      <c r="S5" s="180"/>
      <c r="T5" s="180"/>
    </row>
    <row r="6" spans="1:20" x14ac:dyDescent="0.2">
      <c r="A6" s="214"/>
      <c r="B6" s="167">
        <v>2</v>
      </c>
      <c r="C6" s="172" t="s">
        <v>180</v>
      </c>
      <c r="D6" s="172">
        <v>0.97970000000000002</v>
      </c>
      <c r="E6" s="172">
        <v>0.91839999999999999</v>
      </c>
      <c r="F6" s="180"/>
      <c r="G6" s="180"/>
      <c r="H6" s="180"/>
      <c r="I6" s="181" t="s">
        <v>180</v>
      </c>
      <c r="J6" s="181">
        <v>0.9829</v>
      </c>
      <c r="K6" s="181">
        <v>0.93500000000000005</v>
      </c>
      <c r="L6" s="180"/>
      <c r="M6" s="180"/>
      <c r="N6" s="180"/>
      <c r="O6" s="181" t="s">
        <v>180</v>
      </c>
      <c r="P6" s="181">
        <v>0.98029999999999995</v>
      </c>
      <c r="Q6" s="181">
        <v>0.94379999999999997</v>
      </c>
      <c r="R6" s="180"/>
      <c r="S6" s="180"/>
      <c r="T6" s="180"/>
    </row>
    <row r="7" spans="1:20" x14ac:dyDescent="0.2">
      <c r="A7" s="214"/>
      <c r="B7" s="167">
        <v>3</v>
      </c>
      <c r="C7" s="172" t="s">
        <v>180</v>
      </c>
      <c r="D7" s="172">
        <v>0.97970000000000002</v>
      </c>
      <c r="E7" s="172">
        <v>0.19819999999999999</v>
      </c>
      <c r="F7" s="180"/>
      <c r="G7" s="180"/>
      <c r="H7" s="180"/>
      <c r="I7" s="181" t="s">
        <v>180</v>
      </c>
      <c r="J7" s="181">
        <v>0.9829</v>
      </c>
      <c r="K7" s="181">
        <v>0.29110000000000003</v>
      </c>
      <c r="L7" s="180"/>
      <c r="M7" s="180"/>
      <c r="N7" s="180"/>
      <c r="O7" s="181" t="s">
        <v>180</v>
      </c>
      <c r="P7" s="181">
        <v>0.98029999999999995</v>
      </c>
      <c r="Q7" s="181">
        <v>0.51870000000000005</v>
      </c>
      <c r="R7" s="180"/>
      <c r="S7" s="180"/>
      <c r="T7" s="180"/>
    </row>
    <row r="8" spans="1:20" x14ac:dyDescent="0.2">
      <c r="A8" s="214"/>
      <c r="B8" s="167">
        <v>4</v>
      </c>
      <c r="C8" s="172" t="s">
        <v>180</v>
      </c>
      <c r="D8" s="172">
        <v>0.97970000000000002</v>
      </c>
      <c r="E8" s="172">
        <v>0.1082</v>
      </c>
      <c r="F8" s="180"/>
      <c r="G8" s="180"/>
      <c r="H8" s="180"/>
      <c r="I8" s="181" t="s">
        <v>180</v>
      </c>
      <c r="J8" s="181">
        <v>0.9829</v>
      </c>
      <c r="K8" s="181">
        <v>9.74E-2</v>
      </c>
      <c r="L8" s="180"/>
      <c r="M8" s="180"/>
      <c r="N8" s="180"/>
      <c r="O8" s="181" t="s">
        <v>180</v>
      </c>
      <c r="P8" s="181">
        <v>0.98029999999999995</v>
      </c>
      <c r="Q8" s="181">
        <v>0.1265</v>
      </c>
      <c r="R8" s="180"/>
      <c r="S8" s="180"/>
      <c r="T8" s="180"/>
    </row>
    <row r="9" spans="1:20" x14ac:dyDescent="0.2">
      <c r="A9" s="214"/>
      <c r="B9" s="167">
        <v>5</v>
      </c>
      <c r="C9" s="172" t="s">
        <v>24</v>
      </c>
      <c r="D9" s="172">
        <v>0.97970000000000002</v>
      </c>
      <c r="E9" s="172" t="s">
        <v>24</v>
      </c>
      <c r="F9" s="182"/>
      <c r="G9" s="182"/>
      <c r="H9" s="182"/>
      <c r="I9" s="171" t="s">
        <v>180</v>
      </c>
      <c r="J9" s="171">
        <v>0.9829</v>
      </c>
      <c r="K9" s="171">
        <v>9.0499999999999997E-2</v>
      </c>
      <c r="L9" s="180"/>
      <c r="M9" s="180"/>
      <c r="N9" s="180"/>
      <c r="O9" s="181" t="s">
        <v>180</v>
      </c>
      <c r="P9" s="181">
        <v>0.98029999999999995</v>
      </c>
      <c r="Q9" s="181">
        <v>0.1004</v>
      </c>
      <c r="R9" s="180"/>
      <c r="S9" s="180"/>
      <c r="T9" s="180"/>
    </row>
    <row r="10" spans="1:20" x14ac:dyDescent="0.2">
      <c r="A10" s="130"/>
      <c r="B10" s="167"/>
      <c r="C10" s="172"/>
      <c r="D10" s="172"/>
      <c r="E10" s="172"/>
      <c r="F10" s="180"/>
      <c r="G10" s="180"/>
      <c r="H10" s="180"/>
      <c r="I10" s="180"/>
      <c r="J10" s="180"/>
      <c r="K10" s="180"/>
      <c r="L10" s="180"/>
      <c r="M10" s="180"/>
      <c r="N10" s="180"/>
      <c r="O10" s="181"/>
      <c r="P10" s="181"/>
      <c r="Q10" s="181"/>
      <c r="R10" s="180"/>
      <c r="S10" s="180"/>
      <c r="T10" s="180"/>
    </row>
    <row r="11" spans="1:20" x14ac:dyDescent="0.2">
      <c r="A11" s="214" t="s">
        <v>74</v>
      </c>
      <c r="B11" s="167">
        <v>1</v>
      </c>
      <c r="C11" s="172" t="s">
        <v>181</v>
      </c>
      <c r="D11" s="172">
        <v>0.97970000000000002</v>
      </c>
      <c r="E11" s="172">
        <v>0.9909</v>
      </c>
      <c r="F11" s="180"/>
      <c r="G11" s="180"/>
      <c r="H11" s="180"/>
      <c r="I11" s="180" t="s">
        <v>181</v>
      </c>
      <c r="J11" s="180">
        <v>0.9829</v>
      </c>
      <c r="K11" s="180">
        <v>0.99350000000000005</v>
      </c>
      <c r="L11" s="180"/>
      <c r="M11" s="180"/>
      <c r="N11" s="180"/>
      <c r="O11" s="181" t="s">
        <v>181</v>
      </c>
      <c r="P11" s="181">
        <v>0.98029999999999995</v>
      </c>
      <c r="Q11" s="181">
        <v>0.99139999999999995</v>
      </c>
      <c r="R11" s="180"/>
      <c r="S11" s="180"/>
      <c r="T11" s="180"/>
    </row>
    <row r="12" spans="1:20" x14ac:dyDescent="0.2">
      <c r="A12" s="214"/>
      <c r="B12" s="167">
        <v>2</v>
      </c>
      <c r="C12" s="172" t="s">
        <v>180</v>
      </c>
      <c r="D12" s="172">
        <v>0.97970000000000002</v>
      </c>
      <c r="E12" s="172">
        <v>0.93479999999999996</v>
      </c>
      <c r="F12" s="180"/>
      <c r="G12" s="180"/>
      <c r="H12" s="180"/>
      <c r="I12" s="181" t="s">
        <v>180</v>
      </c>
      <c r="J12" s="181">
        <v>0.9829</v>
      </c>
      <c r="K12" s="181">
        <v>0.92210000000000003</v>
      </c>
      <c r="L12" s="180"/>
      <c r="M12" s="183"/>
      <c r="N12" s="180"/>
      <c r="O12" s="181" t="s">
        <v>180</v>
      </c>
      <c r="P12" s="181">
        <v>0.98029999999999995</v>
      </c>
      <c r="Q12" s="181">
        <v>0.91790000000000005</v>
      </c>
      <c r="R12" s="180"/>
      <c r="S12" s="180"/>
      <c r="T12" s="180"/>
    </row>
    <row r="13" spans="1:20" x14ac:dyDescent="0.2">
      <c r="A13" s="214"/>
      <c r="B13" s="167">
        <v>3</v>
      </c>
      <c r="C13" s="172" t="s">
        <v>180</v>
      </c>
      <c r="D13" s="172">
        <v>0.97970000000000002</v>
      </c>
      <c r="E13" s="172">
        <v>0.97170000000000001</v>
      </c>
      <c r="F13" s="180"/>
      <c r="G13" s="180"/>
      <c r="H13" s="180"/>
      <c r="I13" s="181" t="s">
        <v>180</v>
      </c>
      <c r="J13" s="181">
        <v>0.9829</v>
      </c>
      <c r="K13" s="181">
        <v>0.97619999999999996</v>
      </c>
      <c r="L13" s="180"/>
      <c r="M13" s="183" t="s">
        <v>86</v>
      </c>
      <c r="N13" s="180"/>
      <c r="O13" s="181" t="s">
        <v>180</v>
      </c>
      <c r="P13" s="181">
        <v>0.98029999999999995</v>
      </c>
      <c r="Q13" s="181">
        <v>0.84730000000000005</v>
      </c>
      <c r="R13" s="180"/>
      <c r="S13" s="180"/>
      <c r="T13" s="180"/>
    </row>
    <row r="14" spans="1:20" x14ac:dyDescent="0.2">
      <c r="A14" s="214"/>
      <c r="B14" s="167">
        <v>4</v>
      </c>
      <c r="C14" s="172" t="s">
        <v>180</v>
      </c>
      <c r="D14" s="172">
        <v>0.97970000000000002</v>
      </c>
      <c r="E14" s="172">
        <v>0.96089999999999998</v>
      </c>
      <c r="F14" s="182"/>
      <c r="G14" s="182"/>
      <c r="H14" s="182"/>
      <c r="I14" s="171" t="s">
        <v>180</v>
      </c>
      <c r="J14" s="171">
        <v>0.9829</v>
      </c>
      <c r="K14" s="171">
        <v>0.90759999999999996</v>
      </c>
      <c r="L14" s="180"/>
      <c r="M14" s="180"/>
      <c r="N14" s="180"/>
      <c r="O14" s="181" t="s">
        <v>180</v>
      </c>
      <c r="P14" s="181">
        <v>0.98029999999999995</v>
      </c>
      <c r="Q14" s="181">
        <v>0.94750000000000001</v>
      </c>
      <c r="R14" s="180"/>
      <c r="S14" s="180"/>
      <c r="T14" s="180"/>
    </row>
    <row r="15" spans="1:20" x14ac:dyDescent="0.2">
      <c r="A15" s="214"/>
      <c r="B15" s="167">
        <v>5</v>
      </c>
      <c r="C15" s="172" t="s">
        <v>180</v>
      </c>
      <c r="D15" s="172">
        <v>0.97970000000000002</v>
      </c>
      <c r="E15" s="172">
        <v>0.92959999999999998</v>
      </c>
      <c r="F15" s="182"/>
      <c r="G15" s="182"/>
      <c r="H15" s="182"/>
      <c r="I15" s="171" t="s">
        <v>180</v>
      </c>
      <c r="J15" s="171">
        <v>0.9829</v>
      </c>
      <c r="K15" s="171">
        <v>0.97150000000000003</v>
      </c>
      <c r="L15" s="180"/>
      <c r="M15" s="180"/>
      <c r="N15" s="180"/>
      <c r="O15" s="181" t="s">
        <v>180</v>
      </c>
      <c r="P15" s="181">
        <v>0.98029999999999995</v>
      </c>
      <c r="Q15" s="181">
        <v>0.95679999999999998</v>
      </c>
      <c r="R15" s="180"/>
      <c r="S15" s="180"/>
      <c r="T15" s="180"/>
    </row>
    <row r="16" spans="1:20" ht="17" thickBot="1" x14ac:dyDescent="0.25">
      <c r="A16" s="138"/>
      <c r="B16" s="115"/>
      <c r="C16" s="114"/>
      <c r="D16" s="114"/>
      <c r="E16" s="114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1:21" x14ac:dyDescent="0.2">
      <c r="A17" s="214" t="s">
        <v>75</v>
      </c>
      <c r="B17" s="167">
        <v>1</v>
      </c>
      <c r="C17" s="172" t="s">
        <v>180</v>
      </c>
      <c r="D17" s="172">
        <v>0.97689999999999999</v>
      </c>
      <c r="E17" s="172">
        <v>0.89829999999999999</v>
      </c>
      <c r="F17" s="180"/>
      <c r="G17" s="180"/>
      <c r="H17" s="180"/>
      <c r="I17" s="181" t="s">
        <v>180</v>
      </c>
      <c r="J17" s="181">
        <v>0.98250000000000004</v>
      </c>
      <c r="K17" s="181">
        <v>0.91039999999999999</v>
      </c>
      <c r="L17" s="180"/>
      <c r="M17" s="180"/>
      <c r="N17" s="180"/>
      <c r="O17" s="181" t="s">
        <v>180</v>
      </c>
      <c r="P17" s="181">
        <v>0.9778</v>
      </c>
      <c r="Q17" s="181">
        <v>0.90149999999999997</v>
      </c>
      <c r="R17" s="180"/>
      <c r="S17" s="180"/>
      <c r="T17" s="180"/>
    </row>
    <row r="18" spans="1:21" x14ac:dyDescent="0.2">
      <c r="A18" s="214"/>
      <c r="B18" s="167">
        <v>2</v>
      </c>
      <c r="C18" s="172" t="s">
        <v>180</v>
      </c>
      <c r="D18" s="172">
        <v>0.97689999999999999</v>
      </c>
      <c r="E18" s="172">
        <v>0.90449999999999997</v>
      </c>
      <c r="F18" s="180"/>
      <c r="G18" s="180"/>
      <c r="H18" s="180"/>
      <c r="I18" s="181" t="s">
        <v>180</v>
      </c>
      <c r="J18" s="181">
        <v>0.98250000000000004</v>
      </c>
      <c r="K18" s="181">
        <v>0.92179999999999995</v>
      </c>
      <c r="L18" s="180"/>
      <c r="M18" s="180"/>
      <c r="N18" s="180"/>
      <c r="O18" s="181" t="s">
        <v>180</v>
      </c>
      <c r="P18" s="181">
        <v>0.9778</v>
      </c>
      <c r="Q18" s="181">
        <v>0.92490000000000006</v>
      </c>
      <c r="R18" s="180"/>
      <c r="S18" s="180"/>
      <c r="T18" s="180"/>
    </row>
    <row r="19" spans="1:21" x14ac:dyDescent="0.2">
      <c r="A19" s="214"/>
      <c r="B19" s="167">
        <v>3</v>
      </c>
      <c r="C19" s="172" t="s">
        <v>180</v>
      </c>
      <c r="D19" s="172">
        <v>0.97689999999999999</v>
      </c>
      <c r="E19" s="172">
        <v>0.33839999999999998</v>
      </c>
      <c r="F19" s="180"/>
      <c r="G19" s="180"/>
      <c r="H19" s="180"/>
      <c r="I19" s="181" t="s">
        <v>180</v>
      </c>
      <c r="J19" s="181">
        <v>0.98250000000000004</v>
      </c>
      <c r="K19" s="181">
        <v>0.3014</v>
      </c>
      <c r="L19" s="180"/>
      <c r="M19" s="180"/>
      <c r="N19" s="180"/>
      <c r="O19" s="181" t="s">
        <v>180</v>
      </c>
      <c r="P19" s="181">
        <v>0.9778</v>
      </c>
      <c r="Q19" s="181">
        <v>0.48039999999999999</v>
      </c>
      <c r="R19" s="180"/>
      <c r="S19" s="180"/>
      <c r="T19" s="180"/>
    </row>
    <row r="20" spans="1:21" x14ac:dyDescent="0.2">
      <c r="A20" s="214"/>
      <c r="B20" s="167">
        <v>4</v>
      </c>
      <c r="C20" s="172" t="s">
        <v>180</v>
      </c>
      <c r="D20" s="172">
        <v>0.97689999999999999</v>
      </c>
      <c r="E20" s="172">
        <v>0.1017</v>
      </c>
      <c r="F20" s="182"/>
      <c r="G20" s="182"/>
      <c r="H20" s="182"/>
      <c r="I20" s="171" t="s">
        <v>180</v>
      </c>
      <c r="J20" s="171">
        <v>0.98250000000000004</v>
      </c>
      <c r="K20" s="171">
        <v>0.09</v>
      </c>
      <c r="L20" s="180"/>
      <c r="M20" s="180"/>
      <c r="N20" s="180"/>
      <c r="O20" s="181" t="s">
        <v>180</v>
      </c>
      <c r="P20" s="181">
        <v>0.9778</v>
      </c>
      <c r="Q20" s="181">
        <v>0.1222</v>
      </c>
      <c r="R20" s="180"/>
      <c r="S20" s="180"/>
      <c r="T20" s="180"/>
    </row>
    <row r="21" spans="1:21" x14ac:dyDescent="0.2">
      <c r="A21" s="214"/>
      <c r="B21" s="167">
        <v>5</v>
      </c>
      <c r="C21" s="172" t="s">
        <v>24</v>
      </c>
      <c r="D21" s="172">
        <v>0.97689999999999999</v>
      </c>
      <c r="E21" s="172" t="s">
        <v>24</v>
      </c>
      <c r="F21" s="182"/>
      <c r="G21" s="182"/>
      <c r="H21" s="182"/>
      <c r="I21" s="171" t="s">
        <v>180</v>
      </c>
      <c r="J21" s="171">
        <v>0.98250000000000004</v>
      </c>
      <c r="K21" s="171">
        <v>8.9599999999999999E-2</v>
      </c>
      <c r="L21" s="183"/>
      <c r="M21" s="180"/>
      <c r="N21" s="180"/>
      <c r="O21" s="180" t="s">
        <v>180</v>
      </c>
      <c r="P21" s="180">
        <v>0.9778</v>
      </c>
      <c r="Q21" s="180">
        <v>9.8500000000000004E-2</v>
      </c>
      <c r="R21" s="180"/>
      <c r="S21" s="180"/>
      <c r="T21" s="180"/>
    </row>
    <row r="22" spans="1:21" x14ac:dyDescent="0.2">
      <c r="A22" s="130"/>
      <c r="B22" s="167"/>
      <c r="C22" s="172"/>
      <c r="D22" s="172"/>
      <c r="E22" s="172"/>
      <c r="F22" s="180"/>
      <c r="G22" s="180"/>
      <c r="H22" s="180"/>
      <c r="I22" s="180"/>
      <c r="J22" s="180"/>
      <c r="K22" s="180"/>
      <c r="L22" s="180"/>
      <c r="M22" s="180"/>
      <c r="N22" s="180"/>
      <c r="O22" s="181"/>
      <c r="P22" s="181"/>
      <c r="Q22" s="181"/>
      <c r="R22" s="180"/>
      <c r="S22" s="180"/>
      <c r="T22" s="180"/>
      <c r="U22" t="s">
        <v>507</v>
      </c>
    </row>
    <row r="23" spans="1:21" x14ac:dyDescent="0.2">
      <c r="A23" s="214" t="s">
        <v>76</v>
      </c>
      <c r="B23" s="167">
        <v>1</v>
      </c>
      <c r="C23" s="172" t="s">
        <v>180</v>
      </c>
      <c r="D23" s="172">
        <v>0.97689999999999999</v>
      </c>
      <c r="E23" s="172">
        <v>0.8992</v>
      </c>
      <c r="F23" s="180"/>
      <c r="G23" s="180"/>
      <c r="H23" s="180"/>
      <c r="I23" s="181" t="s">
        <v>180</v>
      </c>
      <c r="J23" s="181">
        <v>0.98250000000000004</v>
      </c>
      <c r="K23" s="181">
        <v>0.91039999999999999</v>
      </c>
      <c r="L23" s="180"/>
      <c r="M23" s="180"/>
      <c r="N23" s="180"/>
      <c r="O23" s="181" t="s">
        <v>180</v>
      </c>
      <c r="P23" s="181">
        <v>0.9778</v>
      </c>
      <c r="Q23" s="181">
        <v>0.90300000000000002</v>
      </c>
      <c r="R23" s="180"/>
      <c r="S23" s="180"/>
      <c r="T23" s="180"/>
    </row>
    <row r="24" spans="1:21" x14ac:dyDescent="0.2">
      <c r="A24" s="214"/>
      <c r="B24" s="167">
        <v>2</v>
      </c>
      <c r="C24" s="172" t="s">
        <v>180</v>
      </c>
      <c r="D24" s="172">
        <v>0.97689999999999999</v>
      </c>
      <c r="E24" s="172">
        <v>0.9022</v>
      </c>
      <c r="F24" s="180"/>
      <c r="G24" s="180"/>
      <c r="H24" s="180"/>
      <c r="I24" s="181" t="s">
        <v>180</v>
      </c>
      <c r="J24" s="181">
        <v>0.98250000000000004</v>
      </c>
      <c r="K24" s="181">
        <v>0.91320000000000001</v>
      </c>
      <c r="L24" s="180"/>
      <c r="M24" s="180"/>
      <c r="N24" s="180"/>
      <c r="O24" s="181" t="s">
        <v>180</v>
      </c>
      <c r="P24" s="181">
        <v>0.9778</v>
      </c>
      <c r="Q24" s="181">
        <v>0.90820000000000001</v>
      </c>
      <c r="R24" s="180"/>
      <c r="S24" s="180"/>
      <c r="T24" s="180"/>
    </row>
    <row r="25" spans="1:21" x14ac:dyDescent="0.2">
      <c r="A25" s="214"/>
      <c r="B25" s="167">
        <v>3</v>
      </c>
      <c r="C25" s="172" t="s">
        <v>180</v>
      </c>
      <c r="D25" s="172">
        <v>0.97689999999999999</v>
      </c>
      <c r="E25" s="172">
        <v>0.89980000000000004</v>
      </c>
      <c r="F25" s="180"/>
      <c r="G25" s="180"/>
      <c r="H25" s="180"/>
      <c r="I25" s="181" t="s">
        <v>180</v>
      </c>
      <c r="J25" s="181">
        <v>0.98250000000000004</v>
      </c>
      <c r="K25" s="181">
        <v>0.91039999999999999</v>
      </c>
      <c r="L25" s="180"/>
      <c r="M25" s="180"/>
      <c r="N25" s="180"/>
      <c r="O25" s="181" t="s">
        <v>180</v>
      </c>
      <c r="P25" s="181">
        <v>0.9778</v>
      </c>
      <c r="Q25" s="181">
        <v>0.90310000000000001</v>
      </c>
      <c r="R25" s="180"/>
      <c r="S25" s="180"/>
      <c r="T25" s="180"/>
    </row>
    <row r="26" spans="1:21" x14ac:dyDescent="0.2">
      <c r="A26" s="214"/>
      <c r="B26" s="167">
        <v>4</v>
      </c>
      <c r="C26" s="172" t="s">
        <v>180</v>
      </c>
      <c r="D26" s="172">
        <v>0.97689999999999999</v>
      </c>
      <c r="E26" s="172">
        <v>0.89939999999999998</v>
      </c>
      <c r="F26" s="180"/>
      <c r="G26" s="180"/>
      <c r="H26" s="180"/>
      <c r="I26" s="181" t="s">
        <v>180</v>
      </c>
      <c r="J26" s="181">
        <v>0.98250000000000004</v>
      </c>
      <c r="K26" s="181">
        <v>0.91190000000000004</v>
      </c>
      <c r="L26" s="180"/>
      <c r="M26" s="180"/>
      <c r="N26" s="180"/>
      <c r="O26" s="181" t="s">
        <v>180</v>
      </c>
      <c r="P26" s="181">
        <v>0.9778</v>
      </c>
      <c r="Q26" s="181">
        <v>0.90259999999999996</v>
      </c>
      <c r="R26" s="180"/>
      <c r="S26" s="180"/>
      <c r="T26" s="180"/>
    </row>
    <row r="27" spans="1:21" x14ac:dyDescent="0.2">
      <c r="A27" s="214"/>
      <c r="B27" s="167">
        <v>5</v>
      </c>
      <c r="C27" s="172" t="s">
        <v>180</v>
      </c>
      <c r="D27" s="172">
        <v>0.97689999999999999</v>
      </c>
      <c r="E27" s="172">
        <v>0.89829999999999999</v>
      </c>
      <c r="F27" s="182"/>
      <c r="G27" s="182"/>
      <c r="H27" s="182"/>
      <c r="I27" s="171" t="s">
        <v>180</v>
      </c>
      <c r="J27" s="171">
        <v>0.98250000000000004</v>
      </c>
      <c r="K27" s="171">
        <v>0.91039999999999999</v>
      </c>
      <c r="L27" s="180"/>
      <c r="M27" s="180"/>
      <c r="N27" s="180"/>
      <c r="O27" s="180" t="s">
        <v>180</v>
      </c>
      <c r="P27" s="180">
        <v>0.9778</v>
      </c>
      <c r="Q27" s="180">
        <v>0.90259999999999996</v>
      </c>
      <c r="R27" s="180"/>
      <c r="S27" s="180"/>
      <c r="T27" s="180"/>
    </row>
    <row r="28" spans="1:21" ht="17" thickBot="1" x14ac:dyDescent="0.25">
      <c r="A28" s="138"/>
      <c r="B28" s="115"/>
      <c r="C28" s="114"/>
      <c r="D28" s="114"/>
      <c r="E28" s="114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1:21" x14ac:dyDescent="0.2">
      <c r="A29" s="214" t="s">
        <v>77</v>
      </c>
      <c r="B29" s="167">
        <v>1</v>
      </c>
      <c r="C29" s="172" t="s">
        <v>180</v>
      </c>
      <c r="D29" s="172">
        <v>0.97989999999999999</v>
      </c>
      <c r="E29" s="172">
        <v>0.89829999999999999</v>
      </c>
      <c r="F29" s="183"/>
      <c r="G29" s="180"/>
      <c r="H29" s="180"/>
      <c r="I29" s="6" t="s">
        <v>180</v>
      </c>
      <c r="J29" s="6">
        <v>0.9829</v>
      </c>
      <c r="K29" s="6">
        <v>0.91039999999999999</v>
      </c>
      <c r="L29" s="183"/>
      <c r="M29" s="180"/>
      <c r="N29" s="180"/>
      <c r="O29" s="181" t="s">
        <v>180</v>
      </c>
      <c r="P29" s="181">
        <v>0.98119999999999996</v>
      </c>
      <c r="Q29" s="181">
        <v>0.90149999999999997</v>
      </c>
      <c r="R29" s="183"/>
      <c r="S29" s="180"/>
      <c r="T29" s="180"/>
    </row>
    <row r="30" spans="1:21" x14ac:dyDescent="0.2">
      <c r="A30" s="214"/>
      <c r="B30" s="167">
        <v>2</v>
      </c>
      <c r="C30" s="172" t="s">
        <v>180</v>
      </c>
      <c r="D30" s="172">
        <v>0.97989999999999999</v>
      </c>
      <c r="E30" s="172">
        <v>0.95230000000000004</v>
      </c>
      <c r="F30" s="180"/>
      <c r="G30" s="180"/>
      <c r="H30" s="180"/>
      <c r="I30" s="181" t="s">
        <v>180</v>
      </c>
      <c r="J30" s="181">
        <v>0.9829</v>
      </c>
      <c r="K30" s="181">
        <v>0.92620000000000002</v>
      </c>
      <c r="L30" s="180"/>
      <c r="M30" s="180"/>
      <c r="N30" s="180"/>
      <c r="O30" s="181" t="s">
        <v>180</v>
      </c>
      <c r="P30" s="181">
        <v>0.98119999999999996</v>
      </c>
      <c r="Q30" s="181">
        <v>0.93030000000000002</v>
      </c>
      <c r="R30" s="180"/>
      <c r="S30" s="180"/>
      <c r="T30" s="180"/>
    </row>
    <row r="31" spans="1:21" x14ac:dyDescent="0.2">
      <c r="A31" s="214"/>
      <c r="B31" s="167">
        <v>3</v>
      </c>
      <c r="C31" s="172" t="s">
        <v>180</v>
      </c>
      <c r="D31" s="172">
        <v>0.97989999999999999</v>
      </c>
      <c r="E31" s="172">
        <v>0.37530000000000002</v>
      </c>
      <c r="F31" s="180"/>
      <c r="G31" s="180"/>
      <c r="H31" s="180"/>
      <c r="I31" s="181" t="s">
        <v>180</v>
      </c>
      <c r="J31" s="181">
        <v>0.9829</v>
      </c>
      <c r="K31" s="181">
        <v>0.86480000000000001</v>
      </c>
      <c r="L31" s="180"/>
      <c r="M31" s="180"/>
      <c r="N31" s="180"/>
      <c r="O31" s="181" t="s">
        <v>180</v>
      </c>
      <c r="P31" s="181">
        <v>0.98119999999999996</v>
      </c>
      <c r="Q31" s="181">
        <v>0.97470000000000001</v>
      </c>
      <c r="R31" s="180"/>
      <c r="S31" s="180"/>
      <c r="T31" s="180"/>
    </row>
    <row r="32" spans="1:21" x14ac:dyDescent="0.2">
      <c r="A32" s="214"/>
      <c r="B32" s="167">
        <v>4</v>
      </c>
      <c r="C32" s="172" t="s">
        <v>180</v>
      </c>
      <c r="D32" s="172">
        <v>0.97989999999999999</v>
      </c>
      <c r="E32" s="172">
        <v>0.1017</v>
      </c>
      <c r="F32" s="182"/>
      <c r="G32" s="182"/>
      <c r="H32" s="182"/>
      <c r="I32" s="171" t="s">
        <v>180</v>
      </c>
      <c r="J32" s="171">
        <v>0.9829</v>
      </c>
      <c r="K32" s="171">
        <v>8.9599999999999999E-2</v>
      </c>
      <c r="L32" s="180"/>
      <c r="M32" s="180"/>
      <c r="N32" s="180"/>
      <c r="O32" s="181" t="s">
        <v>180</v>
      </c>
      <c r="P32" s="181">
        <v>0.98119999999999996</v>
      </c>
      <c r="Q32" s="181">
        <v>0.11899999999999999</v>
      </c>
      <c r="R32" s="180"/>
      <c r="S32" s="180"/>
      <c r="T32" s="180"/>
    </row>
    <row r="33" spans="1:20" x14ac:dyDescent="0.2">
      <c r="A33" s="214"/>
      <c r="B33" s="167">
        <v>5</v>
      </c>
      <c r="C33" s="172" t="s">
        <v>24</v>
      </c>
      <c r="D33" s="172">
        <v>0.97989999999999999</v>
      </c>
      <c r="E33" s="172" t="s">
        <v>24</v>
      </c>
      <c r="F33" s="182"/>
      <c r="G33" s="182"/>
      <c r="H33" s="182"/>
      <c r="I33" s="171" t="s">
        <v>180</v>
      </c>
      <c r="J33" s="171">
        <v>0.9829</v>
      </c>
      <c r="K33" s="171">
        <v>8.9599999999999999E-2</v>
      </c>
      <c r="L33" s="180"/>
      <c r="M33" s="180"/>
      <c r="N33" s="180"/>
      <c r="O33" s="181" t="s">
        <v>180</v>
      </c>
      <c r="P33" s="181">
        <v>0.98119999999999996</v>
      </c>
      <c r="Q33" s="181">
        <v>9.8500000000000004E-2</v>
      </c>
      <c r="R33" s="180"/>
      <c r="S33" s="180"/>
      <c r="T33" s="180"/>
    </row>
    <row r="34" spans="1:20" x14ac:dyDescent="0.2">
      <c r="A34" s="130"/>
      <c r="B34" s="167"/>
      <c r="C34" s="172"/>
      <c r="D34" s="172"/>
      <c r="E34" s="172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</row>
    <row r="35" spans="1:20" x14ac:dyDescent="0.2">
      <c r="A35" s="214" t="s">
        <v>78</v>
      </c>
      <c r="B35" s="167">
        <v>1</v>
      </c>
      <c r="C35" s="172" t="s">
        <v>180</v>
      </c>
      <c r="D35" s="172">
        <v>0.97989999999999999</v>
      </c>
      <c r="E35" s="172">
        <v>0.98080000000000001</v>
      </c>
      <c r="F35" s="180"/>
      <c r="G35" s="180"/>
      <c r="H35" s="180"/>
      <c r="I35" s="181" t="s">
        <v>180</v>
      </c>
      <c r="J35" s="181">
        <v>0.9829</v>
      </c>
      <c r="K35" s="181">
        <v>0.98360000000000003</v>
      </c>
      <c r="L35" s="180"/>
      <c r="M35" s="183" t="s">
        <v>86</v>
      </c>
      <c r="N35" s="180"/>
      <c r="O35" s="181" t="s">
        <v>180</v>
      </c>
      <c r="P35" s="181">
        <v>0.98119999999999996</v>
      </c>
      <c r="Q35" s="181">
        <v>0.98080000000000001</v>
      </c>
      <c r="R35" s="180"/>
      <c r="S35" s="180"/>
      <c r="T35" s="180"/>
    </row>
    <row r="36" spans="1:20" x14ac:dyDescent="0.2">
      <c r="A36" s="214"/>
      <c r="B36" s="167">
        <v>2</v>
      </c>
      <c r="C36" s="172" t="s">
        <v>180</v>
      </c>
      <c r="D36" s="172">
        <v>0.97989999999999999</v>
      </c>
      <c r="E36" s="172">
        <v>0.93089999999999995</v>
      </c>
      <c r="F36" s="180"/>
      <c r="G36" s="180"/>
      <c r="H36" s="180"/>
      <c r="I36" s="181" t="s">
        <v>180</v>
      </c>
      <c r="J36" s="181">
        <v>0.9829</v>
      </c>
      <c r="K36" s="181">
        <v>0.98140000000000005</v>
      </c>
      <c r="L36" s="180"/>
      <c r="M36" s="183" t="s">
        <v>86</v>
      </c>
      <c r="N36" s="180"/>
      <c r="O36" s="181" t="s">
        <v>180</v>
      </c>
      <c r="P36" s="184">
        <v>0.98119999999999996</v>
      </c>
      <c r="Q36" s="184">
        <v>0.9778</v>
      </c>
      <c r="R36" s="180"/>
      <c r="S36" s="183" t="s">
        <v>86</v>
      </c>
      <c r="T36" s="180"/>
    </row>
    <row r="37" spans="1:20" x14ac:dyDescent="0.2">
      <c r="A37" s="214"/>
      <c r="B37" s="167">
        <v>3</v>
      </c>
      <c r="C37" s="172" t="s">
        <v>180</v>
      </c>
      <c r="D37" s="172">
        <v>0.97989999999999999</v>
      </c>
      <c r="E37" s="172">
        <v>0.95699999999999996</v>
      </c>
      <c r="F37" s="180"/>
      <c r="G37" s="180"/>
      <c r="H37" s="180"/>
      <c r="I37" s="181" t="s">
        <v>180</v>
      </c>
      <c r="J37" s="181">
        <v>0.9829</v>
      </c>
      <c r="K37" s="181">
        <v>0.98140000000000005</v>
      </c>
      <c r="L37" s="180"/>
      <c r="M37" s="183" t="s">
        <v>86</v>
      </c>
      <c r="N37" s="180"/>
      <c r="O37" s="181" t="s">
        <v>180</v>
      </c>
      <c r="P37" s="184">
        <v>0.98119999999999996</v>
      </c>
      <c r="Q37" s="184">
        <v>0.97750000000000004</v>
      </c>
      <c r="R37" s="180"/>
      <c r="S37" s="183" t="s">
        <v>86</v>
      </c>
      <c r="T37" s="180"/>
    </row>
    <row r="38" spans="1:20" x14ac:dyDescent="0.2">
      <c r="A38" s="214"/>
      <c r="B38" s="167">
        <v>4</v>
      </c>
      <c r="C38" s="172" t="s">
        <v>180</v>
      </c>
      <c r="D38" s="172">
        <v>0.97989999999999999</v>
      </c>
      <c r="E38" s="172">
        <v>0.95699999999999996</v>
      </c>
      <c r="F38" s="180"/>
      <c r="G38" s="180"/>
      <c r="H38" s="180"/>
      <c r="I38" s="181" t="s">
        <v>180</v>
      </c>
      <c r="J38" s="181">
        <v>0.9829</v>
      </c>
      <c r="K38" s="181">
        <v>0.91039999999999999</v>
      </c>
      <c r="L38" s="180"/>
      <c r="M38" s="180"/>
      <c r="N38" s="180"/>
      <c r="O38" s="181" t="s">
        <v>180</v>
      </c>
      <c r="P38" s="184">
        <v>0.98119999999999996</v>
      </c>
      <c r="Q38" s="184">
        <v>0.97450000000000003</v>
      </c>
      <c r="R38" s="180"/>
      <c r="S38" s="183" t="s">
        <v>86</v>
      </c>
      <c r="T38" s="180"/>
    </row>
    <row r="39" spans="1:20" x14ac:dyDescent="0.2">
      <c r="A39" s="214"/>
      <c r="B39" s="167">
        <v>5</v>
      </c>
      <c r="C39" s="172" t="s">
        <v>180</v>
      </c>
      <c r="D39" s="172">
        <v>0.97989999999999999</v>
      </c>
      <c r="E39" s="172">
        <v>0.89829999999999999</v>
      </c>
      <c r="F39" s="185"/>
      <c r="G39" s="182"/>
      <c r="H39" s="182"/>
      <c r="I39" s="171" t="s">
        <v>180</v>
      </c>
      <c r="J39" s="171">
        <v>0.9829</v>
      </c>
      <c r="K39" s="171">
        <v>0.96</v>
      </c>
      <c r="L39" s="183"/>
      <c r="M39" s="180"/>
      <c r="N39" s="180"/>
      <c r="O39" s="181" t="s">
        <v>180</v>
      </c>
      <c r="P39" s="181">
        <v>0.98119999999999996</v>
      </c>
      <c r="Q39" s="181">
        <v>0.90149999999999997</v>
      </c>
      <c r="R39" s="180"/>
      <c r="S39" s="183" t="s">
        <v>86</v>
      </c>
      <c r="T39" s="180"/>
    </row>
    <row r="40" spans="1:20" ht="17" thickBot="1" x14ac:dyDescent="0.25">
      <c r="A40" s="138"/>
      <c r="B40" s="115"/>
      <c r="C40" s="114"/>
      <c r="D40" s="114"/>
      <c r="E40" s="114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1:20" x14ac:dyDescent="0.2">
      <c r="A41" s="214" t="s">
        <v>79</v>
      </c>
      <c r="B41" s="167">
        <v>1</v>
      </c>
      <c r="C41" s="172" t="s">
        <v>180</v>
      </c>
      <c r="D41" s="172">
        <v>0.9778</v>
      </c>
      <c r="E41" s="172">
        <v>0.89849999999999997</v>
      </c>
      <c r="F41" s="180"/>
      <c r="G41" s="180"/>
      <c r="H41" s="180"/>
      <c r="I41" s="181" t="s">
        <v>180</v>
      </c>
      <c r="J41" s="181">
        <v>0.9829</v>
      </c>
      <c r="K41" s="181">
        <v>0.91120000000000001</v>
      </c>
      <c r="L41" s="180"/>
      <c r="M41" s="180"/>
      <c r="N41" s="180"/>
      <c r="O41" s="181" t="s">
        <v>180</v>
      </c>
      <c r="P41" s="181">
        <v>0.98080000000000001</v>
      </c>
      <c r="Q41" s="181">
        <v>0.90329999999999999</v>
      </c>
      <c r="R41" s="180"/>
      <c r="S41" s="180"/>
      <c r="T41" s="180"/>
    </row>
    <row r="42" spans="1:20" x14ac:dyDescent="0.2">
      <c r="A42" s="214"/>
      <c r="B42" s="167">
        <v>2</v>
      </c>
      <c r="C42" s="172" t="s">
        <v>180</v>
      </c>
      <c r="D42" s="172">
        <v>0.9778</v>
      </c>
      <c r="E42" s="172">
        <v>0.94450000000000001</v>
      </c>
      <c r="F42" s="180"/>
      <c r="G42" s="180"/>
      <c r="H42" s="180"/>
      <c r="I42" s="181" t="s">
        <v>180</v>
      </c>
      <c r="J42" s="181">
        <v>0.9829</v>
      </c>
      <c r="K42" s="181">
        <v>0.96199999999999997</v>
      </c>
      <c r="L42" s="180"/>
      <c r="M42" s="180"/>
      <c r="N42" s="180"/>
      <c r="O42" s="181" t="s">
        <v>180</v>
      </c>
      <c r="P42" s="181">
        <v>0.98080000000000001</v>
      </c>
      <c r="Q42" s="181">
        <v>0.97240000000000004</v>
      </c>
      <c r="R42" s="180"/>
      <c r="S42" s="183" t="s">
        <v>86</v>
      </c>
      <c r="T42" s="180"/>
    </row>
    <row r="43" spans="1:20" x14ac:dyDescent="0.2">
      <c r="A43" s="214"/>
      <c r="B43" s="167">
        <v>3</v>
      </c>
      <c r="C43" s="172" t="s">
        <v>180</v>
      </c>
      <c r="D43" s="172">
        <v>0.9778</v>
      </c>
      <c r="E43" s="172">
        <v>0.7772</v>
      </c>
      <c r="F43" s="180"/>
      <c r="G43" s="180"/>
      <c r="H43" s="180"/>
      <c r="I43" s="181" t="s">
        <v>180</v>
      </c>
      <c r="J43" s="181">
        <v>0.9829</v>
      </c>
      <c r="K43" s="181">
        <v>0.89680000000000004</v>
      </c>
      <c r="L43" s="180"/>
      <c r="M43" s="180"/>
      <c r="N43" s="180"/>
      <c r="O43" s="181" t="s">
        <v>180</v>
      </c>
      <c r="P43" s="181">
        <v>0.98080000000000001</v>
      </c>
      <c r="Q43" s="181">
        <v>0.97040000000000004</v>
      </c>
      <c r="R43" s="180"/>
      <c r="S43" s="183" t="s">
        <v>86</v>
      </c>
      <c r="T43" s="180"/>
    </row>
    <row r="44" spans="1:20" x14ac:dyDescent="0.2">
      <c r="A44" s="214"/>
      <c r="B44" s="167">
        <v>4</v>
      </c>
      <c r="C44" s="172" t="s">
        <v>180</v>
      </c>
      <c r="D44" s="172">
        <v>0.9778</v>
      </c>
      <c r="E44" s="172">
        <v>0.1026</v>
      </c>
      <c r="F44" s="182"/>
      <c r="G44" s="182"/>
      <c r="H44" s="182"/>
      <c r="I44" s="171" t="s">
        <v>180</v>
      </c>
      <c r="J44" s="171">
        <v>0.9829</v>
      </c>
      <c r="K44" s="171">
        <v>0.57089999999999996</v>
      </c>
      <c r="L44" s="180"/>
      <c r="M44" s="180"/>
      <c r="N44" s="180"/>
      <c r="O44" s="181" t="s">
        <v>180</v>
      </c>
      <c r="P44" s="181">
        <v>0.98080000000000001</v>
      </c>
      <c r="Q44" s="181">
        <v>0.35239999999999999</v>
      </c>
      <c r="R44" s="180"/>
      <c r="S44" s="180"/>
      <c r="T44" s="180"/>
    </row>
    <row r="45" spans="1:20" x14ac:dyDescent="0.2">
      <c r="A45" s="214"/>
      <c r="B45" s="167">
        <v>5</v>
      </c>
      <c r="C45" s="172" t="s">
        <v>24</v>
      </c>
      <c r="D45" s="172">
        <v>0.9778</v>
      </c>
      <c r="E45" s="172" t="s">
        <v>24</v>
      </c>
      <c r="F45" s="182"/>
      <c r="G45" s="182"/>
      <c r="H45" s="182"/>
      <c r="I45" s="171" t="s">
        <v>180</v>
      </c>
      <c r="J45" s="171">
        <v>0.9829</v>
      </c>
      <c r="K45" s="171">
        <v>8.9800000000000005E-2</v>
      </c>
      <c r="L45" s="180"/>
      <c r="M45" s="180"/>
      <c r="N45" s="180"/>
      <c r="O45" s="180"/>
      <c r="P45" s="180">
        <v>0.98080000000000001</v>
      </c>
      <c r="Q45" s="180">
        <v>9.8199999999999996E-2</v>
      </c>
      <c r="R45" s="180"/>
      <c r="S45" s="180"/>
      <c r="T45" s="180"/>
    </row>
    <row r="46" spans="1:20" x14ac:dyDescent="0.2">
      <c r="A46" s="130"/>
      <c r="B46" s="167"/>
      <c r="C46" s="172"/>
      <c r="D46" s="172"/>
      <c r="E46" s="172"/>
      <c r="F46" s="180"/>
      <c r="G46" s="180"/>
      <c r="H46" s="180"/>
      <c r="I46" s="180"/>
      <c r="J46" s="180"/>
      <c r="K46" s="180"/>
      <c r="L46" s="180"/>
      <c r="M46" s="180"/>
      <c r="N46" s="180"/>
      <c r="O46" s="181"/>
      <c r="P46" s="181"/>
      <c r="Q46" s="181"/>
      <c r="R46" s="180"/>
      <c r="S46" s="180"/>
      <c r="T46" s="180"/>
    </row>
    <row r="47" spans="1:20" x14ac:dyDescent="0.2">
      <c r="A47" s="214" t="s">
        <v>80</v>
      </c>
      <c r="B47" s="167">
        <v>1</v>
      </c>
      <c r="C47" s="172" t="s">
        <v>180</v>
      </c>
      <c r="D47" s="172">
        <v>0.9778</v>
      </c>
      <c r="E47" s="172">
        <v>0.97860000000000003</v>
      </c>
      <c r="F47" s="180"/>
      <c r="G47" s="183" t="s">
        <v>86</v>
      </c>
      <c r="H47" s="180"/>
      <c r="I47" s="180" t="s">
        <v>180</v>
      </c>
      <c r="J47" s="180">
        <v>0.9829</v>
      </c>
      <c r="K47" s="180">
        <v>0.98319999999999996</v>
      </c>
      <c r="L47" s="180"/>
      <c r="M47" s="183" t="s">
        <v>86</v>
      </c>
      <c r="N47" s="180"/>
      <c r="O47" s="181" t="s">
        <v>180</v>
      </c>
      <c r="P47" s="181">
        <v>0.98080000000000001</v>
      </c>
      <c r="Q47" s="181">
        <v>0.97950000000000004</v>
      </c>
      <c r="R47" s="180"/>
      <c r="S47" s="183" t="s">
        <v>86</v>
      </c>
      <c r="T47" s="180"/>
    </row>
    <row r="48" spans="1:20" x14ac:dyDescent="0.2">
      <c r="A48" s="214"/>
      <c r="B48" s="167">
        <v>2</v>
      </c>
      <c r="C48" s="172" t="s">
        <v>180</v>
      </c>
      <c r="D48" s="172">
        <v>0.9778</v>
      </c>
      <c r="E48" s="172">
        <v>0.9788</v>
      </c>
      <c r="F48" s="180"/>
      <c r="G48" s="183" t="s">
        <v>86</v>
      </c>
      <c r="H48" s="180"/>
      <c r="I48" s="181" t="s">
        <v>180</v>
      </c>
      <c r="J48" s="181">
        <v>0.9829</v>
      </c>
      <c r="K48" s="181">
        <v>0.98099999999999998</v>
      </c>
      <c r="L48" s="180"/>
      <c r="M48" s="183" t="s">
        <v>86</v>
      </c>
      <c r="N48" s="180"/>
      <c r="O48" s="181" t="s">
        <v>180</v>
      </c>
      <c r="P48" s="181">
        <v>0.98080000000000001</v>
      </c>
      <c r="Q48" s="181">
        <v>0.97909999999999997</v>
      </c>
      <c r="R48" s="180"/>
      <c r="S48" s="183" t="s">
        <v>86</v>
      </c>
      <c r="T48" s="180"/>
    </row>
    <row r="49" spans="1:20" x14ac:dyDescent="0.2">
      <c r="A49" s="214"/>
      <c r="B49" s="167">
        <v>3</v>
      </c>
      <c r="C49" s="172" t="s">
        <v>180</v>
      </c>
      <c r="D49" s="172">
        <v>0.9778</v>
      </c>
      <c r="E49" s="172">
        <v>0.97170000000000001</v>
      </c>
      <c r="F49" s="180"/>
      <c r="G49" s="183" t="s">
        <v>86</v>
      </c>
      <c r="H49" s="180"/>
      <c r="I49" s="181" t="s">
        <v>180</v>
      </c>
      <c r="J49" s="181">
        <v>0.9829</v>
      </c>
      <c r="K49" s="181">
        <v>0.97670000000000001</v>
      </c>
      <c r="L49" s="180"/>
      <c r="M49" s="183" t="s">
        <v>86</v>
      </c>
      <c r="N49" s="180"/>
      <c r="O49" s="181" t="s">
        <v>180</v>
      </c>
      <c r="P49" s="181">
        <v>0.98080000000000001</v>
      </c>
      <c r="Q49" s="181">
        <v>0.97430000000000005</v>
      </c>
      <c r="R49" s="180"/>
      <c r="S49" s="183" t="s">
        <v>86</v>
      </c>
      <c r="T49" s="180"/>
    </row>
    <row r="50" spans="1:20" x14ac:dyDescent="0.2">
      <c r="A50" s="214"/>
      <c r="B50" s="167">
        <v>4</v>
      </c>
      <c r="C50" s="172" t="s">
        <v>180</v>
      </c>
      <c r="D50" s="172">
        <v>0.9778</v>
      </c>
      <c r="E50" s="172">
        <v>0.96589999999999998</v>
      </c>
      <c r="F50" s="180"/>
      <c r="G50" s="180"/>
      <c r="H50" s="180"/>
      <c r="I50" s="181" t="s">
        <v>180</v>
      </c>
      <c r="J50" s="181">
        <v>0.9829</v>
      </c>
      <c r="K50" s="181">
        <v>0.97489999999999999</v>
      </c>
      <c r="L50" s="180"/>
      <c r="M50" s="180"/>
      <c r="N50" s="180"/>
      <c r="O50" s="181" t="s">
        <v>180</v>
      </c>
      <c r="P50" s="181">
        <v>0.98080000000000001</v>
      </c>
      <c r="Q50" s="181">
        <v>0.96850000000000003</v>
      </c>
      <c r="R50" s="180"/>
      <c r="S50" s="183" t="s">
        <v>86</v>
      </c>
      <c r="T50" s="180"/>
    </row>
    <row r="51" spans="1:20" x14ac:dyDescent="0.2">
      <c r="A51" s="214"/>
      <c r="B51" s="167">
        <v>5</v>
      </c>
      <c r="C51" s="172" t="s">
        <v>180</v>
      </c>
      <c r="D51" s="172">
        <v>0.9778</v>
      </c>
      <c r="E51" s="172">
        <v>0.93330000000000002</v>
      </c>
      <c r="F51" s="182"/>
      <c r="G51" s="182"/>
      <c r="H51" s="182"/>
      <c r="I51" s="171" t="s">
        <v>180</v>
      </c>
      <c r="J51" s="171">
        <v>0.9829</v>
      </c>
      <c r="K51" s="171">
        <v>0.95920000000000005</v>
      </c>
      <c r="L51" s="180"/>
      <c r="M51" s="180"/>
      <c r="N51" s="180"/>
      <c r="O51" s="180" t="s">
        <v>180</v>
      </c>
      <c r="P51" s="180">
        <v>0.98080000000000001</v>
      </c>
      <c r="Q51" s="180">
        <v>0.96289999999999998</v>
      </c>
      <c r="R51" s="180"/>
      <c r="S51" s="180"/>
      <c r="T51" s="180"/>
    </row>
    <row r="52" spans="1:20" ht="17" thickBot="1" x14ac:dyDescent="0.25">
      <c r="A52" s="138"/>
      <c r="B52" s="115"/>
      <c r="C52" s="114"/>
      <c r="D52" s="114"/>
      <c r="E52" s="114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1:20" x14ac:dyDescent="0.2">
      <c r="A53" s="214" t="s">
        <v>81</v>
      </c>
      <c r="B53" s="167">
        <v>1</v>
      </c>
      <c r="C53" s="172" t="s">
        <v>180</v>
      </c>
      <c r="D53" s="172">
        <v>0.96179999999999999</v>
      </c>
      <c r="E53" s="172">
        <v>0.89419999999999999</v>
      </c>
      <c r="F53" s="180"/>
      <c r="G53" s="180"/>
      <c r="H53" s="180"/>
      <c r="I53" s="181" t="s">
        <v>180</v>
      </c>
      <c r="J53" s="181">
        <v>0.97060000000000002</v>
      </c>
      <c r="K53" s="181">
        <v>0.92679999999999996</v>
      </c>
      <c r="L53" s="180"/>
      <c r="M53" s="180"/>
      <c r="N53" s="180"/>
      <c r="O53" s="181" t="s">
        <v>180</v>
      </c>
      <c r="P53" s="181">
        <v>0.9667</v>
      </c>
      <c r="Q53" s="181">
        <v>0.92900000000000005</v>
      </c>
      <c r="R53" s="180"/>
      <c r="S53" s="180"/>
      <c r="T53" s="180"/>
    </row>
    <row r="54" spans="1:20" x14ac:dyDescent="0.2">
      <c r="A54" s="214"/>
      <c r="B54" s="167">
        <v>2</v>
      </c>
      <c r="C54" s="172" t="s">
        <v>180</v>
      </c>
      <c r="D54" s="172">
        <v>0.96179999999999999</v>
      </c>
      <c r="E54" s="172">
        <v>0.9385</v>
      </c>
      <c r="F54" s="182"/>
      <c r="G54" s="182"/>
      <c r="H54" s="182"/>
      <c r="I54" s="171" t="s">
        <v>180</v>
      </c>
      <c r="J54" s="171">
        <v>0.97060000000000002</v>
      </c>
      <c r="K54" s="171">
        <v>0.95569999999999999</v>
      </c>
      <c r="L54" s="180"/>
      <c r="M54" s="180"/>
      <c r="N54" s="180"/>
      <c r="O54" s="181" t="s">
        <v>180</v>
      </c>
      <c r="P54" s="181">
        <v>0.9667</v>
      </c>
      <c r="Q54" s="181">
        <v>0.95550000000000002</v>
      </c>
      <c r="R54" s="180"/>
      <c r="S54" s="180"/>
      <c r="T54" s="180"/>
    </row>
    <row r="55" spans="1:20" x14ac:dyDescent="0.2">
      <c r="A55" s="214"/>
      <c r="B55" s="167">
        <v>3</v>
      </c>
      <c r="C55" s="172" t="s">
        <v>24</v>
      </c>
      <c r="D55" s="172">
        <v>0.96179999999999999</v>
      </c>
      <c r="E55" s="172">
        <v>0.47720000000000001</v>
      </c>
      <c r="F55" s="180"/>
      <c r="G55" s="180"/>
      <c r="H55" s="180"/>
      <c r="I55" s="181" t="s">
        <v>24</v>
      </c>
      <c r="J55" s="181">
        <v>0.97060000000000002</v>
      </c>
      <c r="K55" s="181">
        <v>0.90110000000000001</v>
      </c>
      <c r="L55" s="180"/>
      <c r="M55" s="180"/>
      <c r="N55" s="180"/>
      <c r="O55" s="181" t="s">
        <v>24</v>
      </c>
      <c r="P55" s="181">
        <v>0.9667</v>
      </c>
      <c r="Q55" s="181">
        <v>0.9637</v>
      </c>
      <c r="R55" s="180"/>
      <c r="S55" s="180"/>
      <c r="T55" s="180"/>
    </row>
    <row r="56" spans="1:20" x14ac:dyDescent="0.2">
      <c r="A56" s="214"/>
      <c r="B56" s="167">
        <v>4</v>
      </c>
      <c r="C56" s="172" t="s">
        <v>180</v>
      </c>
      <c r="D56" s="172">
        <v>0.96179999999999999</v>
      </c>
      <c r="E56" s="172">
        <v>0.69289999999999996</v>
      </c>
      <c r="F56" s="182"/>
      <c r="G56" s="182"/>
      <c r="H56" s="182"/>
      <c r="I56" s="171" t="s">
        <v>180</v>
      </c>
      <c r="J56" s="171">
        <v>0.97060000000000002</v>
      </c>
      <c r="K56" s="171">
        <v>0.75</v>
      </c>
      <c r="L56" s="180"/>
      <c r="M56" s="180"/>
      <c r="N56" s="180"/>
      <c r="O56" s="181" t="s">
        <v>180</v>
      </c>
      <c r="P56" s="181">
        <v>0.9667</v>
      </c>
      <c r="Q56" s="181">
        <v>0.71560000000000001</v>
      </c>
      <c r="R56" s="180"/>
      <c r="S56" s="180"/>
      <c r="T56" s="180"/>
    </row>
    <row r="57" spans="1:20" x14ac:dyDescent="0.2">
      <c r="A57" s="214"/>
      <c r="B57" s="167">
        <v>5</v>
      </c>
      <c r="C57" s="172" t="s">
        <v>24</v>
      </c>
      <c r="D57" s="172">
        <v>0.96179999999999999</v>
      </c>
      <c r="E57" s="172" t="s">
        <v>24</v>
      </c>
      <c r="F57" s="182"/>
      <c r="G57" s="182"/>
      <c r="H57" s="182"/>
      <c r="I57" s="171" t="s">
        <v>24</v>
      </c>
      <c r="J57" s="171">
        <v>0.97060000000000002</v>
      </c>
      <c r="K57" s="171" t="s">
        <v>24</v>
      </c>
      <c r="L57" s="180"/>
      <c r="M57" s="180"/>
      <c r="N57" s="180"/>
      <c r="O57" s="181" t="s">
        <v>24</v>
      </c>
      <c r="P57" s="181">
        <v>0.9667</v>
      </c>
      <c r="Q57" s="181" t="s">
        <v>24</v>
      </c>
      <c r="R57" s="180"/>
      <c r="S57" s="180"/>
      <c r="T57" s="180"/>
    </row>
    <row r="58" spans="1:20" x14ac:dyDescent="0.2">
      <c r="A58" s="130"/>
      <c r="B58" s="167"/>
      <c r="C58" s="172"/>
      <c r="D58" s="172"/>
      <c r="E58" s="172"/>
      <c r="F58" s="180"/>
      <c r="G58" s="180"/>
      <c r="H58" s="180"/>
      <c r="I58" s="181"/>
      <c r="J58" s="181"/>
      <c r="K58" s="181"/>
      <c r="L58" s="180"/>
      <c r="M58" s="180"/>
      <c r="N58" s="180"/>
      <c r="O58" s="181"/>
      <c r="P58" s="181"/>
      <c r="Q58" s="181"/>
      <c r="R58" s="180"/>
      <c r="S58" s="180"/>
      <c r="T58" s="180"/>
    </row>
    <row r="59" spans="1:20" x14ac:dyDescent="0.2">
      <c r="A59" s="214" t="s">
        <v>82</v>
      </c>
      <c r="B59" s="167">
        <v>1</v>
      </c>
      <c r="C59" s="172" t="s">
        <v>180</v>
      </c>
      <c r="D59" s="172">
        <v>0.96179999999999999</v>
      </c>
      <c r="E59" s="172">
        <v>0.96950000000000003</v>
      </c>
      <c r="F59" s="180"/>
      <c r="G59" s="183" t="s">
        <v>86</v>
      </c>
      <c r="H59" s="180"/>
      <c r="I59" s="181" t="s">
        <v>180</v>
      </c>
      <c r="J59" s="181">
        <v>0.97060000000000002</v>
      </c>
      <c r="K59" s="181">
        <v>0.97499999999999998</v>
      </c>
      <c r="L59" s="180"/>
      <c r="M59" s="183" t="s">
        <v>86</v>
      </c>
      <c r="N59" s="180"/>
      <c r="O59" s="181" t="s">
        <v>180</v>
      </c>
      <c r="P59" s="181">
        <v>0.9667</v>
      </c>
      <c r="Q59" s="181">
        <v>0.97109999999999996</v>
      </c>
      <c r="R59" s="180"/>
      <c r="S59" s="183" t="s">
        <v>86</v>
      </c>
      <c r="T59" s="180"/>
    </row>
    <row r="60" spans="1:20" x14ac:dyDescent="0.2">
      <c r="A60" s="214"/>
      <c r="B60" s="167">
        <v>2</v>
      </c>
      <c r="C60" s="172" t="s">
        <v>180</v>
      </c>
      <c r="D60" s="172">
        <v>0.96179999999999999</v>
      </c>
      <c r="E60" s="172">
        <v>0.9385</v>
      </c>
      <c r="F60" s="182"/>
      <c r="G60" s="182"/>
      <c r="H60" s="185"/>
      <c r="I60" s="171" t="s">
        <v>180</v>
      </c>
      <c r="J60" s="171">
        <v>0.97060000000000002</v>
      </c>
      <c r="K60" s="171">
        <v>0.95569999999999999</v>
      </c>
      <c r="L60" s="180"/>
      <c r="M60" s="180"/>
      <c r="N60" s="180"/>
      <c r="O60" s="181" t="s">
        <v>180</v>
      </c>
      <c r="P60" s="181">
        <v>0.9667</v>
      </c>
      <c r="Q60" s="181">
        <v>0.95550000000000002</v>
      </c>
      <c r="R60" s="180"/>
      <c r="S60" s="183"/>
      <c r="T60" s="180"/>
    </row>
    <row r="61" spans="1:20" x14ac:dyDescent="0.2">
      <c r="A61" s="214"/>
      <c r="B61" s="167">
        <v>3</v>
      </c>
      <c r="C61" s="172" t="s">
        <v>180</v>
      </c>
      <c r="D61" s="172">
        <v>0.96179999999999999</v>
      </c>
      <c r="E61" s="172">
        <v>0.47720000000000001</v>
      </c>
      <c r="F61" s="180"/>
      <c r="G61" s="180"/>
      <c r="H61" s="180"/>
      <c r="I61" s="181" t="s">
        <v>180</v>
      </c>
      <c r="J61" s="181">
        <v>0.97060000000000002</v>
      </c>
      <c r="K61" s="181">
        <v>0.90110000000000001</v>
      </c>
      <c r="L61" s="180"/>
      <c r="M61" s="180"/>
      <c r="N61" s="180"/>
      <c r="O61" s="181" t="s">
        <v>180</v>
      </c>
      <c r="P61" s="181">
        <v>0.9667</v>
      </c>
      <c r="Q61" s="181">
        <v>0.9637</v>
      </c>
      <c r="R61" s="180"/>
      <c r="S61" s="183" t="s">
        <v>86</v>
      </c>
      <c r="T61" s="180"/>
    </row>
    <row r="62" spans="1:20" x14ac:dyDescent="0.2">
      <c r="A62" s="214"/>
      <c r="B62" s="167">
        <v>4</v>
      </c>
      <c r="C62" s="172" t="s">
        <v>180</v>
      </c>
      <c r="D62" s="172">
        <v>0.96179999999999999</v>
      </c>
      <c r="E62" s="172">
        <v>0.69289999999999996</v>
      </c>
      <c r="F62" s="180"/>
      <c r="G62" s="180"/>
      <c r="H62" s="180"/>
      <c r="I62" s="181" t="s">
        <v>180</v>
      </c>
      <c r="J62" s="181">
        <v>0.97060000000000002</v>
      </c>
      <c r="K62" s="181">
        <v>0.75</v>
      </c>
      <c r="L62" s="180"/>
      <c r="M62" s="180"/>
      <c r="N62" s="180"/>
      <c r="O62" s="181" t="s">
        <v>180</v>
      </c>
      <c r="P62" s="181">
        <v>0.9667</v>
      </c>
      <c r="Q62" s="181">
        <v>0.71560000000000001</v>
      </c>
      <c r="R62" s="180"/>
      <c r="S62" s="180"/>
      <c r="T62" s="180"/>
    </row>
    <row r="63" spans="1:20" ht="17" thickBot="1" x14ac:dyDescent="0.25">
      <c r="A63" s="213"/>
      <c r="B63" s="115">
        <v>5</v>
      </c>
      <c r="C63" s="115" t="s">
        <v>24</v>
      </c>
      <c r="D63" s="114">
        <v>0.96179999999999999</v>
      </c>
      <c r="E63" s="114" t="s">
        <v>24</v>
      </c>
      <c r="F63" s="150"/>
      <c r="G63" s="146"/>
      <c r="H63" s="146"/>
      <c r="I63" s="150" t="s">
        <v>24</v>
      </c>
      <c r="J63" s="150">
        <v>0.97060000000000002</v>
      </c>
      <c r="K63" s="189" t="s">
        <v>24</v>
      </c>
      <c r="L63" s="150"/>
      <c r="M63" s="148"/>
      <c r="N63" s="148"/>
      <c r="O63" s="150" t="s">
        <v>24</v>
      </c>
      <c r="P63" s="150">
        <v>0.9667</v>
      </c>
      <c r="Q63" s="150" t="s">
        <v>24</v>
      </c>
      <c r="R63" s="147"/>
      <c r="S63" s="147"/>
      <c r="T63" s="147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4BFE-D4FB-7540-8718-E7BC58F6B2A9}">
  <dimension ref="A1:W64"/>
  <sheetViews>
    <sheetView showGridLines="0" workbookViewId="0">
      <selection activeCell="H43" sqref="H4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198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73">
        <f>F5/H5</f>
        <v>0</v>
      </c>
      <c r="D5" s="173">
        <v>0.97970000000000002</v>
      </c>
      <c r="E5" s="173">
        <v>0.96289999999999998</v>
      </c>
      <c r="F5" s="190">
        <v>0</v>
      </c>
      <c r="G5" s="190">
        <v>0.45703329999999998</v>
      </c>
      <c r="H5" s="190">
        <v>0.54296670000000002</v>
      </c>
      <c r="I5" s="190">
        <f>L5/N5</f>
        <v>0</v>
      </c>
      <c r="J5" s="190">
        <v>0.9829</v>
      </c>
      <c r="K5" s="190">
        <v>0.97209999999999996</v>
      </c>
      <c r="L5" s="190">
        <v>0</v>
      </c>
      <c r="M5" s="190">
        <v>0.45579999999999998</v>
      </c>
      <c r="N5" s="190">
        <v>0.54420000000000002</v>
      </c>
      <c r="O5" s="190">
        <f>R5/T5</f>
        <v>0</v>
      </c>
      <c r="P5" s="190">
        <v>0.98029999999999995</v>
      </c>
      <c r="Q5" s="190">
        <v>0.90690000000000004</v>
      </c>
      <c r="R5" s="190">
        <v>0</v>
      </c>
      <c r="S5" s="190">
        <v>0.15709999999999999</v>
      </c>
      <c r="T5" s="190">
        <v>0.84289999999999998</v>
      </c>
    </row>
    <row r="6" spans="1:23" x14ac:dyDescent="0.2">
      <c r="A6" s="214"/>
      <c r="B6" s="167">
        <v>2</v>
      </c>
      <c r="C6" s="173">
        <f t="shared" ref="C6:C8" si="0">F6/H6</f>
        <v>0</v>
      </c>
      <c r="D6" s="173">
        <v>0.97970000000000002</v>
      </c>
      <c r="E6" s="173">
        <v>0.91839999999999999</v>
      </c>
      <c r="F6" s="190">
        <v>0</v>
      </c>
      <c r="G6" s="190">
        <v>0.15896669999999999</v>
      </c>
      <c r="H6" s="190">
        <v>0.84103329999999998</v>
      </c>
      <c r="I6" s="190">
        <f t="shared" ref="I6:I9" si="1">L6/N6</f>
        <v>0</v>
      </c>
      <c r="J6" s="190">
        <v>0.9829</v>
      </c>
      <c r="K6" s="190">
        <v>0.93500000000000005</v>
      </c>
      <c r="L6" s="190">
        <v>0</v>
      </c>
      <c r="M6" s="190">
        <v>0.15876670000000001</v>
      </c>
      <c r="N6" s="190">
        <v>0.84123329999999996</v>
      </c>
      <c r="O6" s="190">
        <f t="shared" ref="O6:O9" si="2">R6/T6</f>
        <v>0</v>
      </c>
      <c r="P6" s="190">
        <v>0.98029999999999995</v>
      </c>
      <c r="Q6" s="190">
        <v>0.94379999999999997</v>
      </c>
      <c r="R6" s="190">
        <v>0</v>
      </c>
      <c r="S6" s="190">
        <v>0.16096669999999999</v>
      </c>
      <c r="T6" s="190">
        <v>0.83903329999999998</v>
      </c>
    </row>
    <row r="7" spans="1:23" x14ac:dyDescent="0.2">
      <c r="A7" s="214"/>
      <c r="B7" s="167">
        <v>3</v>
      </c>
      <c r="C7" s="173">
        <f t="shared" si="0"/>
        <v>0</v>
      </c>
      <c r="D7" s="173">
        <v>0.97970000000000002</v>
      </c>
      <c r="E7" s="173">
        <v>0.19819999999999999</v>
      </c>
      <c r="F7" s="190">
        <v>0</v>
      </c>
      <c r="G7" s="190">
        <v>0.16076670000000001</v>
      </c>
      <c r="H7" s="190">
        <v>0.83923329999999996</v>
      </c>
      <c r="I7" s="190">
        <f t="shared" si="1"/>
        <v>0</v>
      </c>
      <c r="J7" s="190">
        <v>0.9829</v>
      </c>
      <c r="K7" s="190">
        <v>0.29110000000000003</v>
      </c>
      <c r="L7" s="190">
        <v>0</v>
      </c>
      <c r="M7" s="190">
        <v>0.161</v>
      </c>
      <c r="N7" s="190">
        <v>0.83899999999999997</v>
      </c>
      <c r="O7" s="190">
        <f t="shared" si="2"/>
        <v>0</v>
      </c>
      <c r="P7" s="190">
        <v>0.98029999999999995</v>
      </c>
      <c r="Q7" s="190">
        <v>0.51870000000000005</v>
      </c>
      <c r="R7" s="190">
        <v>0</v>
      </c>
      <c r="S7" s="190">
        <v>0.15873329999999999</v>
      </c>
      <c r="T7" s="190">
        <v>0.84126670000000003</v>
      </c>
    </row>
    <row r="8" spans="1:23" x14ac:dyDescent="0.2">
      <c r="A8" s="214"/>
      <c r="B8" s="167">
        <v>4</v>
      </c>
      <c r="C8" s="173">
        <f t="shared" si="0"/>
        <v>0</v>
      </c>
      <c r="D8" s="173">
        <v>0.97970000000000002</v>
      </c>
      <c r="E8" s="173">
        <v>0.1082</v>
      </c>
      <c r="F8" s="190">
        <v>0</v>
      </c>
      <c r="G8" s="190">
        <v>0.15790000000000001</v>
      </c>
      <c r="H8" s="190">
        <v>0.84209999999999996</v>
      </c>
      <c r="I8" s="190">
        <f t="shared" si="1"/>
        <v>0</v>
      </c>
      <c r="J8" s="190">
        <v>0.9829</v>
      </c>
      <c r="K8" s="190">
        <v>9.74E-2</v>
      </c>
      <c r="L8" s="190">
        <v>0</v>
      </c>
      <c r="M8" s="190">
        <v>0.1583667</v>
      </c>
      <c r="N8" s="190">
        <v>0.84163330000000003</v>
      </c>
      <c r="O8" s="190">
        <f t="shared" si="2"/>
        <v>0</v>
      </c>
      <c r="P8" s="190">
        <v>0.98029999999999995</v>
      </c>
      <c r="Q8" s="190">
        <v>0.1265</v>
      </c>
      <c r="R8" s="173">
        <v>0</v>
      </c>
      <c r="S8" s="190">
        <v>0.1554333</v>
      </c>
      <c r="T8" s="190">
        <v>0.8445667</v>
      </c>
    </row>
    <row r="9" spans="1:23" x14ac:dyDescent="0.2">
      <c r="A9" s="214"/>
      <c r="B9" s="167">
        <v>5</v>
      </c>
      <c r="C9" s="173" t="s">
        <v>24</v>
      </c>
      <c r="D9" s="173">
        <v>0.97970000000000002</v>
      </c>
      <c r="E9" s="173" t="s">
        <v>24</v>
      </c>
      <c r="F9" s="170" t="s">
        <v>24</v>
      </c>
      <c r="G9" s="170" t="s">
        <v>24</v>
      </c>
      <c r="H9" s="170" t="s">
        <v>24</v>
      </c>
      <c r="I9" s="170">
        <f t="shared" si="1"/>
        <v>0</v>
      </c>
      <c r="J9" s="170">
        <v>0.9829</v>
      </c>
      <c r="K9" s="170">
        <v>9.0499999999999997E-2</v>
      </c>
      <c r="L9" s="190">
        <v>0</v>
      </c>
      <c r="M9" s="190">
        <v>0.158</v>
      </c>
      <c r="N9" s="190">
        <v>0.84199999999999997</v>
      </c>
      <c r="O9" s="190">
        <f t="shared" si="2"/>
        <v>0</v>
      </c>
      <c r="P9" s="190">
        <v>0.98029999999999995</v>
      </c>
      <c r="Q9" s="190">
        <v>0.1004</v>
      </c>
      <c r="R9" s="190">
        <v>0</v>
      </c>
      <c r="S9" s="190">
        <v>0.15833330000000001</v>
      </c>
      <c r="T9" s="190">
        <v>0.84166669999999999</v>
      </c>
    </row>
    <row r="10" spans="1:23" x14ac:dyDescent="0.2">
      <c r="A10" s="130"/>
      <c r="B10" s="167"/>
      <c r="C10" s="173"/>
      <c r="D10" s="173"/>
      <c r="E10" s="173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</row>
    <row r="11" spans="1:23" x14ac:dyDescent="0.2">
      <c r="A11" s="214" t="s">
        <v>74</v>
      </c>
      <c r="B11" s="167">
        <v>1</v>
      </c>
      <c r="C11" s="173" t="s">
        <v>71</v>
      </c>
      <c r="D11" s="173">
        <v>0.97970000000000002</v>
      </c>
      <c r="E11" s="173">
        <v>0.9909</v>
      </c>
      <c r="F11" s="190">
        <v>0.54186670000000003</v>
      </c>
      <c r="G11" s="190">
        <v>0.45813330000000002</v>
      </c>
      <c r="H11" s="190">
        <v>0</v>
      </c>
      <c r="I11" s="190" t="s">
        <v>71</v>
      </c>
      <c r="J11" s="190">
        <v>0.9829</v>
      </c>
      <c r="K11" s="190">
        <v>0.99350000000000005</v>
      </c>
      <c r="L11" s="190">
        <v>0.53986670000000003</v>
      </c>
      <c r="M11" s="190">
        <v>0.46013330000000002</v>
      </c>
      <c r="N11" s="190">
        <v>0</v>
      </c>
      <c r="O11" s="190" t="e">
        <f t="shared" ref="O11:O15" si="3">R11/T11</f>
        <v>#DIV/0!</v>
      </c>
      <c r="P11" s="190">
        <v>0.98029999999999995</v>
      </c>
      <c r="Q11" s="190">
        <v>0.99139999999999995</v>
      </c>
      <c r="R11" s="190">
        <v>0.54049999999999998</v>
      </c>
      <c r="S11" s="190">
        <v>0.45950000000000002</v>
      </c>
      <c r="T11" s="190">
        <v>0</v>
      </c>
    </row>
    <row r="12" spans="1:23" x14ac:dyDescent="0.2">
      <c r="A12" s="214"/>
      <c r="B12" s="167">
        <v>2</v>
      </c>
      <c r="C12" s="173">
        <f t="shared" ref="C12:C15" si="4">F12/H12</f>
        <v>0</v>
      </c>
      <c r="D12" s="173">
        <v>0.97970000000000002</v>
      </c>
      <c r="E12" s="173">
        <v>0.93479999999999996</v>
      </c>
      <c r="F12" s="190">
        <v>0</v>
      </c>
      <c r="G12" s="190">
        <v>0.15723329999999999</v>
      </c>
      <c r="H12" s="190">
        <v>0.84276669999999998</v>
      </c>
      <c r="I12" s="190">
        <f t="shared" ref="I12:I15" si="5">L12/N12</f>
        <v>0</v>
      </c>
      <c r="J12" s="190">
        <v>0.9829</v>
      </c>
      <c r="K12" s="190">
        <v>0.92210000000000003</v>
      </c>
      <c r="L12" s="190">
        <v>0</v>
      </c>
      <c r="M12" s="190">
        <v>0.1606667</v>
      </c>
      <c r="N12" s="190">
        <v>0.83933329999999995</v>
      </c>
      <c r="O12" s="190">
        <f t="shared" si="3"/>
        <v>0</v>
      </c>
      <c r="P12" s="190">
        <v>0.98029999999999995</v>
      </c>
      <c r="Q12" s="190">
        <v>0.91790000000000005</v>
      </c>
      <c r="R12" s="190">
        <v>0</v>
      </c>
      <c r="S12" s="190">
        <v>0.1598667</v>
      </c>
      <c r="T12" s="190">
        <v>0.84013329999999997</v>
      </c>
      <c r="W12" t="s">
        <v>178</v>
      </c>
    </row>
    <row r="13" spans="1:23" x14ac:dyDescent="0.2">
      <c r="A13" s="214"/>
      <c r="B13" s="167">
        <v>3</v>
      </c>
      <c r="C13" s="173" t="s">
        <v>71</v>
      </c>
      <c r="D13" s="173">
        <v>0.97970000000000002</v>
      </c>
      <c r="E13" s="173">
        <v>0.97170000000000001</v>
      </c>
      <c r="F13" s="190">
        <v>0</v>
      </c>
      <c r="G13" s="191">
        <v>1</v>
      </c>
      <c r="H13" s="190">
        <v>0</v>
      </c>
      <c r="I13" s="190" t="s">
        <v>71</v>
      </c>
      <c r="J13" s="190">
        <v>0.9829</v>
      </c>
      <c r="K13" s="190">
        <v>0.97619999999999996</v>
      </c>
      <c r="L13" s="190">
        <v>0</v>
      </c>
      <c r="M13" s="191">
        <v>1</v>
      </c>
      <c r="N13" s="190">
        <v>0</v>
      </c>
      <c r="O13" s="190">
        <f t="shared" si="3"/>
        <v>0</v>
      </c>
      <c r="P13" s="190">
        <v>0.98029999999999995</v>
      </c>
      <c r="Q13" s="190">
        <v>0.84730000000000005</v>
      </c>
      <c r="R13" s="190">
        <v>0</v>
      </c>
      <c r="S13" s="190">
        <v>0.16106670000000001</v>
      </c>
      <c r="T13" s="190">
        <v>0.83893329999999999</v>
      </c>
    </row>
    <row r="14" spans="1:23" x14ac:dyDescent="0.2">
      <c r="A14" s="214"/>
      <c r="B14" s="167">
        <v>4</v>
      </c>
      <c r="C14" s="173">
        <f t="shared" si="4"/>
        <v>0</v>
      </c>
      <c r="D14" s="173">
        <v>0.97970000000000002</v>
      </c>
      <c r="E14" s="173">
        <v>0.96089999999999998</v>
      </c>
      <c r="F14" s="170">
        <v>0</v>
      </c>
      <c r="G14" s="170">
        <v>0.45953329999999998</v>
      </c>
      <c r="H14" s="170">
        <v>0.54046669999999997</v>
      </c>
      <c r="I14" s="170">
        <f t="shared" si="5"/>
        <v>0</v>
      </c>
      <c r="J14" s="170">
        <v>0.9829</v>
      </c>
      <c r="K14" s="170">
        <v>0.90759999999999996</v>
      </c>
      <c r="L14" s="190">
        <v>0</v>
      </c>
      <c r="M14" s="190">
        <v>0.15913330000000001</v>
      </c>
      <c r="N14" s="190">
        <v>0.84086669999999997</v>
      </c>
      <c r="O14" s="190">
        <f t="shared" si="3"/>
        <v>0</v>
      </c>
      <c r="P14" s="190">
        <v>0.98029999999999995</v>
      </c>
      <c r="Q14" s="190">
        <v>0.94750000000000001</v>
      </c>
      <c r="R14" s="190">
        <v>0</v>
      </c>
      <c r="S14" s="190">
        <v>0.16309999999999999</v>
      </c>
      <c r="T14" s="190">
        <v>0.83689999999999998</v>
      </c>
    </row>
    <row r="15" spans="1:23" x14ac:dyDescent="0.2">
      <c r="A15" s="214"/>
      <c r="B15" s="167">
        <v>5</v>
      </c>
      <c r="C15" s="173">
        <f t="shared" si="4"/>
        <v>0</v>
      </c>
      <c r="D15" s="173">
        <v>0.97970000000000002</v>
      </c>
      <c r="E15" s="173">
        <v>0.92959999999999998</v>
      </c>
      <c r="F15" s="170">
        <v>0</v>
      </c>
      <c r="G15" s="170">
        <v>0.15816669999999999</v>
      </c>
      <c r="H15" s="170">
        <v>0.84183330000000001</v>
      </c>
      <c r="I15" s="170">
        <f t="shared" si="5"/>
        <v>0</v>
      </c>
      <c r="J15" s="170">
        <v>0.9829</v>
      </c>
      <c r="K15" s="170">
        <v>0.97150000000000003</v>
      </c>
      <c r="L15" s="190">
        <v>0</v>
      </c>
      <c r="M15" s="190">
        <v>0.4605667</v>
      </c>
      <c r="N15" s="190">
        <v>0.5394333</v>
      </c>
      <c r="O15" s="190">
        <f t="shared" si="3"/>
        <v>0</v>
      </c>
      <c r="P15" s="190">
        <v>0.98029999999999995</v>
      </c>
      <c r="Q15" s="190">
        <v>0.95679999999999998</v>
      </c>
      <c r="R15" s="190">
        <v>0</v>
      </c>
      <c r="S15" s="190">
        <v>0.15833330000000001</v>
      </c>
      <c r="T15" s="190">
        <v>0.84166669999999999</v>
      </c>
    </row>
    <row r="16" spans="1:23" ht="17" thickBot="1" x14ac:dyDescent="0.25">
      <c r="A16" s="138"/>
      <c r="B16" s="115"/>
      <c r="C16" s="175"/>
      <c r="D16" s="175"/>
      <c r="E16" s="175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</row>
    <row r="17" spans="1:20" x14ac:dyDescent="0.2">
      <c r="A17" s="214" t="s">
        <v>75</v>
      </c>
      <c r="B17" s="167">
        <v>1</v>
      </c>
      <c r="C17" s="173">
        <f t="shared" ref="C17:C19" si="6">F17/H17</f>
        <v>0</v>
      </c>
      <c r="D17" s="173">
        <v>0.97689999999999999</v>
      </c>
      <c r="E17" s="173">
        <v>0.89829999999999999</v>
      </c>
      <c r="F17" s="190">
        <v>0</v>
      </c>
      <c r="G17" s="190">
        <v>0.16109999999999999</v>
      </c>
      <c r="H17" s="190">
        <v>0.83889999999999998</v>
      </c>
      <c r="I17" s="190">
        <f t="shared" ref="I17:I19" si="7">L17/N17</f>
        <v>0</v>
      </c>
      <c r="J17" s="190">
        <v>0.98250000000000004</v>
      </c>
      <c r="K17" s="190">
        <v>0.91039999999999999</v>
      </c>
      <c r="L17" s="190">
        <v>0</v>
      </c>
      <c r="M17" s="190">
        <v>0.15976670000000001</v>
      </c>
      <c r="N17" s="190">
        <v>0.84023329999999996</v>
      </c>
      <c r="O17" s="190">
        <f t="shared" ref="O17:O19" si="8">R17/T17</f>
        <v>0</v>
      </c>
      <c r="P17" s="190">
        <v>0.9778</v>
      </c>
      <c r="Q17" s="190">
        <v>0.90149999999999997</v>
      </c>
      <c r="R17" s="190">
        <v>0</v>
      </c>
      <c r="S17" s="190">
        <v>0.1593667</v>
      </c>
      <c r="T17" s="173">
        <v>0.84063330000000003</v>
      </c>
    </row>
    <row r="18" spans="1:20" x14ac:dyDescent="0.2">
      <c r="A18" s="214"/>
      <c r="B18" s="167">
        <v>2</v>
      </c>
      <c r="C18" s="173">
        <f t="shared" si="6"/>
        <v>0</v>
      </c>
      <c r="D18" s="173">
        <v>0.97689999999999999</v>
      </c>
      <c r="E18" s="173">
        <v>0.90449999999999997</v>
      </c>
      <c r="F18" s="190">
        <v>0</v>
      </c>
      <c r="G18" s="190">
        <v>0.15846669999999999</v>
      </c>
      <c r="H18" s="190">
        <v>0.84153330000000004</v>
      </c>
      <c r="I18" s="190">
        <f t="shared" si="7"/>
        <v>0</v>
      </c>
      <c r="J18" s="190">
        <v>0.98250000000000004</v>
      </c>
      <c r="K18" s="190">
        <v>0.92179999999999995</v>
      </c>
      <c r="L18" s="190">
        <v>0</v>
      </c>
      <c r="M18" s="190">
        <v>0.15816669999999999</v>
      </c>
      <c r="N18" s="190">
        <v>0.84183330000000001</v>
      </c>
      <c r="O18" s="190">
        <f t="shared" si="8"/>
        <v>0</v>
      </c>
      <c r="P18" s="190">
        <v>0.9778</v>
      </c>
      <c r="Q18" s="190">
        <v>0.92490000000000006</v>
      </c>
      <c r="R18" s="190">
        <v>0</v>
      </c>
      <c r="S18" s="190">
        <v>0.16126670000000001</v>
      </c>
      <c r="T18" s="173">
        <v>0.83873330000000001</v>
      </c>
    </row>
    <row r="19" spans="1:20" x14ac:dyDescent="0.2">
      <c r="A19" s="214"/>
      <c r="B19" s="167">
        <v>3</v>
      </c>
      <c r="C19" s="173">
        <f t="shared" si="6"/>
        <v>0</v>
      </c>
      <c r="D19" s="173">
        <v>0.97689999999999999</v>
      </c>
      <c r="E19" s="173">
        <v>0.33839999999999998</v>
      </c>
      <c r="F19" s="190">
        <v>0</v>
      </c>
      <c r="G19" s="190">
        <v>0.1564333</v>
      </c>
      <c r="H19" s="190">
        <v>0.8435667</v>
      </c>
      <c r="I19" s="190">
        <f t="shared" si="7"/>
        <v>0</v>
      </c>
      <c r="J19" s="190">
        <v>0.98250000000000004</v>
      </c>
      <c r="K19" s="190">
        <v>0.3014</v>
      </c>
      <c r="L19" s="190">
        <v>0</v>
      </c>
      <c r="M19" s="190">
        <v>0.15870000000000001</v>
      </c>
      <c r="N19" s="190">
        <v>0.84130000000000005</v>
      </c>
      <c r="O19" s="190">
        <f t="shared" si="8"/>
        <v>0</v>
      </c>
      <c r="P19" s="190">
        <v>0.9778</v>
      </c>
      <c r="Q19" s="190">
        <v>0.48039999999999999</v>
      </c>
      <c r="R19" s="190">
        <v>0</v>
      </c>
      <c r="S19" s="190">
        <v>0.15703329999999999</v>
      </c>
      <c r="T19" s="190">
        <v>0.84296669999999996</v>
      </c>
    </row>
    <row r="20" spans="1:20" x14ac:dyDescent="0.2">
      <c r="A20" s="214"/>
      <c r="B20" s="167">
        <v>4</v>
      </c>
      <c r="C20" s="173">
        <f>F20/H20</f>
        <v>0</v>
      </c>
      <c r="D20" s="173">
        <v>0.97689999999999999</v>
      </c>
      <c r="E20" s="173">
        <v>0.1017</v>
      </c>
      <c r="F20" s="170">
        <v>0</v>
      </c>
      <c r="G20" s="170">
        <v>0.1578</v>
      </c>
      <c r="H20" s="170">
        <v>0.84219999999999995</v>
      </c>
      <c r="I20" s="170">
        <f>L20/N20</f>
        <v>0</v>
      </c>
      <c r="J20" s="170">
        <v>0.98250000000000004</v>
      </c>
      <c r="K20" s="170">
        <v>0.09</v>
      </c>
      <c r="L20" s="190">
        <v>0</v>
      </c>
      <c r="M20" s="190">
        <v>0.15670000000000001</v>
      </c>
      <c r="N20" s="190">
        <v>0.84330000000000005</v>
      </c>
      <c r="O20" s="190">
        <f>R20/T20</f>
        <v>0</v>
      </c>
      <c r="P20" s="190">
        <v>0.9778</v>
      </c>
      <c r="Q20" s="190">
        <v>0.1222</v>
      </c>
      <c r="R20" s="173">
        <v>0</v>
      </c>
      <c r="S20" s="190">
        <v>0.1575667</v>
      </c>
      <c r="T20" s="190">
        <v>0.84243330000000005</v>
      </c>
    </row>
    <row r="21" spans="1:20" x14ac:dyDescent="0.2">
      <c r="A21" s="214"/>
      <c r="B21" s="167">
        <v>5</v>
      </c>
      <c r="C21" s="173" t="s">
        <v>24</v>
      </c>
      <c r="D21" s="173">
        <v>0.97689999999999999</v>
      </c>
      <c r="E21" s="173" t="s">
        <v>24</v>
      </c>
      <c r="F21" s="170" t="s">
        <v>24</v>
      </c>
      <c r="G21" s="170" t="s">
        <v>24</v>
      </c>
      <c r="H21" s="170" t="s">
        <v>24</v>
      </c>
      <c r="I21" s="170">
        <f>L21/N21</f>
        <v>0</v>
      </c>
      <c r="J21" s="170">
        <v>0.98250000000000004</v>
      </c>
      <c r="K21" s="170">
        <v>8.9599999999999999E-2</v>
      </c>
      <c r="L21" s="190">
        <v>0</v>
      </c>
      <c r="M21" s="190">
        <v>0.1607333</v>
      </c>
      <c r="N21" s="190">
        <v>0.83926670000000003</v>
      </c>
      <c r="O21" s="190">
        <f>R21/T21</f>
        <v>0</v>
      </c>
      <c r="P21" s="190">
        <v>0.9778</v>
      </c>
      <c r="Q21" s="190">
        <v>9.8500000000000004E-2</v>
      </c>
      <c r="R21" s="173">
        <v>0</v>
      </c>
      <c r="S21" s="190">
        <v>0.1564333</v>
      </c>
      <c r="T21" s="190">
        <v>0.8435667</v>
      </c>
    </row>
    <row r="22" spans="1:20" x14ac:dyDescent="0.2">
      <c r="A22" s="130"/>
      <c r="B22" s="167"/>
      <c r="C22" s="173"/>
      <c r="D22" s="173"/>
      <c r="E22" s="173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</row>
    <row r="23" spans="1:20" x14ac:dyDescent="0.2">
      <c r="A23" s="214" t="s">
        <v>76</v>
      </c>
      <c r="B23" s="167">
        <v>1</v>
      </c>
      <c r="C23" s="173">
        <f t="shared" ref="C23:C27" si="9">F23/H23</f>
        <v>0</v>
      </c>
      <c r="D23" s="173">
        <v>0.97689999999999999</v>
      </c>
      <c r="E23" s="173">
        <v>0.8992</v>
      </c>
      <c r="F23" s="190">
        <v>0</v>
      </c>
      <c r="G23" s="190">
        <v>0.15740000000000001</v>
      </c>
      <c r="H23" s="190">
        <v>0.84260000000000002</v>
      </c>
      <c r="I23" s="190">
        <f t="shared" ref="I23:I27" si="10">L23/N23</f>
        <v>0</v>
      </c>
      <c r="J23" s="190">
        <v>0.98250000000000004</v>
      </c>
      <c r="K23" s="190">
        <v>0.91039999999999999</v>
      </c>
      <c r="L23" s="190">
        <v>0</v>
      </c>
      <c r="M23" s="190">
        <v>0.1569333</v>
      </c>
      <c r="N23" s="190">
        <v>0.84306669999999995</v>
      </c>
      <c r="O23" s="190">
        <f t="shared" ref="O23:O27" si="11">R23/T23</f>
        <v>0</v>
      </c>
      <c r="P23" s="190">
        <v>0.9778</v>
      </c>
      <c r="Q23" s="190">
        <v>0.90300000000000002</v>
      </c>
      <c r="R23" s="190">
        <v>0</v>
      </c>
      <c r="S23" s="190">
        <v>0.15783330000000001</v>
      </c>
      <c r="T23" s="190">
        <v>0.84216670000000005</v>
      </c>
    </row>
    <row r="24" spans="1:20" x14ac:dyDescent="0.2">
      <c r="A24" s="214"/>
      <c r="B24" s="167">
        <v>2</v>
      </c>
      <c r="C24" s="173">
        <f t="shared" si="9"/>
        <v>0</v>
      </c>
      <c r="D24" s="173">
        <v>0.97689999999999999</v>
      </c>
      <c r="E24" s="173">
        <v>0.9022</v>
      </c>
      <c r="F24" s="190">
        <v>0</v>
      </c>
      <c r="G24" s="190">
        <v>0.1624333</v>
      </c>
      <c r="H24" s="190">
        <v>0.8375667</v>
      </c>
      <c r="I24" s="190">
        <f t="shared" si="10"/>
        <v>0</v>
      </c>
      <c r="J24" s="190">
        <v>0.98250000000000004</v>
      </c>
      <c r="K24" s="190">
        <v>0.91320000000000001</v>
      </c>
      <c r="L24" s="190">
        <v>0</v>
      </c>
      <c r="M24" s="190">
        <v>0.1601667</v>
      </c>
      <c r="N24" s="190">
        <v>0.8398333</v>
      </c>
      <c r="O24" s="190">
        <f t="shared" si="11"/>
        <v>0</v>
      </c>
      <c r="P24" s="190">
        <v>0.9778</v>
      </c>
      <c r="Q24" s="190">
        <v>0.90820000000000001</v>
      </c>
      <c r="R24" s="190">
        <v>0</v>
      </c>
      <c r="S24" s="190">
        <v>0.1611667</v>
      </c>
      <c r="T24" s="190">
        <v>0.8388333</v>
      </c>
    </row>
    <row r="25" spans="1:20" x14ac:dyDescent="0.2">
      <c r="A25" s="214"/>
      <c r="B25" s="167">
        <v>3</v>
      </c>
      <c r="C25" s="173">
        <f t="shared" si="9"/>
        <v>0</v>
      </c>
      <c r="D25" s="173">
        <v>0.97689999999999999</v>
      </c>
      <c r="E25" s="173">
        <v>0.89980000000000004</v>
      </c>
      <c r="F25" s="190">
        <v>0</v>
      </c>
      <c r="G25" s="190">
        <v>0.15679999999999999</v>
      </c>
      <c r="H25" s="190">
        <v>0.84319999999999995</v>
      </c>
      <c r="I25" s="190">
        <f t="shared" si="10"/>
        <v>0</v>
      </c>
      <c r="J25" s="190">
        <v>0.98250000000000004</v>
      </c>
      <c r="K25" s="190">
        <v>0.91039999999999999</v>
      </c>
      <c r="L25" s="190">
        <v>0</v>
      </c>
      <c r="M25" s="190">
        <v>0.15783330000000001</v>
      </c>
      <c r="N25" s="190">
        <v>0.84216670000000005</v>
      </c>
      <c r="O25" s="190">
        <f t="shared" si="11"/>
        <v>0</v>
      </c>
      <c r="P25" s="190">
        <v>0.9778</v>
      </c>
      <c r="Q25" s="190">
        <v>0.90310000000000001</v>
      </c>
      <c r="R25" s="190">
        <v>0</v>
      </c>
      <c r="S25" s="190">
        <v>8.9999999999999993E-3</v>
      </c>
      <c r="T25" s="190">
        <v>0.99099999999999999</v>
      </c>
    </row>
    <row r="26" spans="1:20" x14ac:dyDescent="0.2">
      <c r="A26" s="214"/>
      <c r="B26" s="167">
        <v>4</v>
      </c>
      <c r="C26" s="173">
        <f t="shared" si="9"/>
        <v>0</v>
      </c>
      <c r="D26" s="173">
        <v>0.97689999999999999</v>
      </c>
      <c r="E26" s="173">
        <v>0.89939999999999998</v>
      </c>
      <c r="F26" s="190">
        <v>0</v>
      </c>
      <c r="G26" s="190">
        <v>0.1608667</v>
      </c>
      <c r="H26" s="190">
        <v>0.83913329999999997</v>
      </c>
      <c r="I26" s="190">
        <f t="shared" si="10"/>
        <v>0</v>
      </c>
      <c r="J26" s="190">
        <v>0.98250000000000004</v>
      </c>
      <c r="K26" s="190">
        <v>0.91190000000000004</v>
      </c>
      <c r="L26" s="190">
        <v>0</v>
      </c>
      <c r="M26" s="190">
        <v>0.15529999999999999</v>
      </c>
      <c r="N26" s="190">
        <v>0.84470000000000001</v>
      </c>
      <c r="O26" s="190">
        <f t="shared" si="11"/>
        <v>0</v>
      </c>
      <c r="P26" s="190">
        <v>0.9778</v>
      </c>
      <c r="Q26" s="190">
        <v>0.90259999999999996</v>
      </c>
      <c r="R26" s="190">
        <v>0</v>
      </c>
      <c r="S26" s="190">
        <v>0.1599333</v>
      </c>
      <c r="T26" s="190">
        <v>0.84006670000000006</v>
      </c>
    </row>
    <row r="27" spans="1:20" x14ac:dyDescent="0.2">
      <c r="A27" s="214"/>
      <c r="B27" s="167">
        <v>5</v>
      </c>
      <c r="C27" s="173">
        <f t="shared" si="9"/>
        <v>0</v>
      </c>
      <c r="D27" s="173">
        <v>0.97689999999999999</v>
      </c>
      <c r="E27" s="173">
        <v>0.89829999999999999</v>
      </c>
      <c r="F27" s="170">
        <v>0</v>
      </c>
      <c r="G27" s="170">
        <v>0.1593667</v>
      </c>
      <c r="H27" s="170">
        <v>0.84063330000000003</v>
      </c>
      <c r="I27" s="170">
        <f t="shared" si="10"/>
        <v>0</v>
      </c>
      <c r="J27" s="170">
        <v>0.98250000000000004</v>
      </c>
      <c r="K27" s="170">
        <v>0.91039999999999999</v>
      </c>
      <c r="L27" s="190">
        <v>0</v>
      </c>
      <c r="M27" s="190">
        <v>0.1599333</v>
      </c>
      <c r="N27" s="190">
        <v>0.84006670000000006</v>
      </c>
      <c r="O27" s="190">
        <f t="shared" si="11"/>
        <v>0</v>
      </c>
      <c r="P27" s="190">
        <v>0.9778</v>
      </c>
      <c r="Q27" s="190">
        <v>0.90259999999999996</v>
      </c>
      <c r="R27" s="190">
        <v>0</v>
      </c>
      <c r="S27" s="190">
        <v>0.15676670000000001</v>
      </c>
      <c r="T27" s="190">
        <v>0.84323329999999996</v>
      </c>
    </row>
    <row r="28" spans="1:20" ht="17" thickBot="1" x14ac:dyDescent="0.25">
      <c r="A28" s="138"/>
      <c r="B28" s="115"/>
      <c r="C28" s="175"/>
      <c r="D28" s="175"/>
      <c r="E28" s="175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</row>
    <row r="29" spans="1:20" x14ac:dyDescent="0.2">
      <c r="A29" s="214" t="s">
        <v>77</v>
      </c>
      <c r="B29" s="167">
        <v>1</v>
      </c>
      <c r="C29" s="173">
        <f t="shared" ref="C29:C32" si="12">F29/H29</f>
        <v>0</v>
      </c>
      <c r="D29" s="173">
        <v>0.97989999999999999</v>
      </c>
      <c r="E29" s="173">
        <v>0.89829999999999999</v>
      </c>
      <c r="F29" s="190">
        <v>0</v>
      </c>
      <c r="G29" s="190">
        <v>0.15906670000000001</v>
      </c>
      <c r="H29" s="190">
        <v>0.84093329999999999</v>
      </c>
      <c r="I29" s="190">
        <f t="shared" ref="I29:I33" si="13">L29/N29</f>
        <v>0</v>
      </c>
      <c r="J29" s="190">
        <v>0.9829</v>
      </c>
      <c r="K29" s="190">
        <v>0.91039999999999999</v>
      </c>
      <c r="L29" s="190">
        <v>0</v>
      </c>
      <c r="M29" s="190">
        <v>0.15746669999999999</v>
      </c>
      <c r="N29" s="190">
        <v>0.84253330000000004</v>
      </c>
      <c r="O29" s="190">
        <f t="shared" ref="O29:O33" si="14">R29/T29</f>
        <v>0</v>
      </c>
      <c r="P29" s="190">
        <v>0.98119999999999996</v>
      </c>
      <c r="Q29" s="190">
        <v>0.90149999999999997</v>
      </c>
      <c r="R29" s="190">
        <v>0</v>
      </c>
      <c r="S29" s="190">
        <v>0.15726670000000001</v>
      </c>
      <c r="T29" s="190">
        <v>0.84273330000000002</v>
      </c>
    </row>
    <row r="30" spans="1:20" x14ac:dyDescent="0.2">
      <c r="A30" s="214"/>
      <c r="B30" s="167">
        <v>2</v>
      </c>
      <c r="C30" s="173">
        <f t="shared" si="12"/>
        <v>0</v>
      </c>
      <c r="D30" s="173">
        <v>0.97989999999999999</v>
      </c>
      <c r="E30" s="173">
        <v>0.95230000000000004</v>
      </c>
      <c r="F30" s="190">
        <v>0</v>
      </c>
      <c r="G30" s="190">
        <v>0.1570667</v>
      </c>
      <c r="H30" s="190">
        <v>0.8429333</v>
      </c>
      <c r="I30" s="190">
        <f t="shared" si="13"/>
        <v>0</v>
      </c>
      <c r="J30" s="190">
        <v>0.9829</v>
      </c>
      <c r="K30" s="190">
        <v>0.92620000000000002</v>
      </c>
      <c r="L30" s="190">
        <v>0</v>
      </c>
      <c r="M30" s="190">
        <v>0.155</v>
      </c>
      <c r="N30" s="190">
        <v>0.84499999999999997</v>
      </c>
      <c r="O30" s="190">
        <f t="shared" si="14"/>
        <v>0</v>
      </c>
      <c r="P30" s="190">
        <v>0.98119999999999996</v>
      </c>
      <c r="Q30" s="190">
        <v>0.93030000000000002</v>
      </c>
      <c r="R30" s="190">
        <v>0</v>
      </c>
      <c r="S30" s="190">
        <v>0.1618667</v>
      </c>
      <c r="T30" s="173">
        <v>0.83813329999999997</v>
      </c>
    </row>
    <row r="31" spans="1:20" x14ac:dyDescent="0.2">
      <c r="A31" s="214"/>
      <c r="B31" s="167">
        <v>3</v>
      </c>
      <c r="C31" s="173">
        <f t="shared" si="12"/>
        <v>0</v>
      </c>
      <c r="D31" s="173">
        <v>0.97989999999999999</v>
      </c>
      <c r="E31" s="173">
        <v>0.37530000000000002</v>
      </c>
      <c r="F31" s="190">
        <v>0</v>
      </c>
      <c r="G31" s="190">
        <v>0.161</v>
      </c>
      <c r="H31" s="190">
        <v>0.83899999999999997</v>
      </c>
      <c r="I31" s="190">
        <f t="shared" si="13"/>
        <v>0</v>
      </c>
      <c r="J31" s="190">
        <v>0.9829</v>
      </c>
      <c r="K31" s="190">
        <v>0.86480000000000001</v>
      </c>
      <c r="L31" s="190">
        <v>0</v>
      </c>
      <c r="M31" s="190">
        <v>0.1579333</v>
      </c>
      <c r="N31" s="190">
        <v>0.84206669999999995</v>
      </c>
      <c r="O31" s="190" t="s">
        <v>71</v>
      </c>
      <c r="P31" s="190">
        <v>0.98119999999999996</v>
      </c>
      <c r="Q31" s="190">
        <v>0.97470000000000001</v>
      </c>
      <c r="R31" s="190">
        <v>0</v>
      </c>
      <c r="S31" s="191">
        <v>1</v>
      </c>
      <c r="T31" s="173">
        <v>0</v>
      </c>
    </row>
    <row r="32" spans="1:20" x14ac:dyDescent="0.2">
      <c r="A32" s="214"/>
      <c r="B32" s="167">
        <v>4</v>
      </c>
      <c r="C32" s="173">
        <f t="shared" si="12"/>
        <v>0</v>
      </c>
      <c r="D32" s="173">
        <v>0.97989999999999999</v>
      </c>
      <c r="E32" s="173">
        <v>0.1017</v>
      </c>
      <c r="F32" s="170">
        <v>0</v>
      </c>
      <c r="G32" s="170">
        <v>0.15913330000000001</v>
      </c>
      <c r="H32" s="170">
        <v>0.84086669999999997</v>
      </c>
      <c r="I32" s="170">
        <f t="shared" si="13"/>
        <v>0</v>
      </c>
      <c r="J32" s="170">
        <v>0.9829</v>
      </c>
      <c r="K32" s="170">
        <v>8.9599999999999999E-2</v>
      </c>
      <c r="L32" s="190">
        <v>0</v>
      </c>
      <c r="M32" s="190">
        <v>0.16006670000000001</v>
      </c>
      <c r="N32" s="190">
        <v>0.83993329999999999</v>
      </c>
      <c r="O32" s="190">
        <f t="shared" si="14"/>
        <v>0</v>
      </c>
      <c r="P32" s="190">
        <v>0.98119999999999996</v>
      </c>
      <c r="Q32" s="190">
        <v>0.11899999999999999</v>
      </c>
      <c r="R32" s="173">
        <v>0</v>
      </c>
      <c r="S32" s="190">
        <v>0.15770000000000001</v>
      </c>
      <c r="T32" s="190">
        <v>0.84230000000000005</v>
      </c>
    </row>
    <row r="33" spans="1:20" x14ac:dyDescent="0.2">
      <c r="A33" s="214"/>
      <c r="B33" s="167">
        <v>5</v>
      </c>
      <c r="C33" s="173" t="s">
        <v>24</v>
      </c>
      <c r="D33" s="173">
        <v>0.97989999999999999</v>
      </c>
      <c r="E33" s="173" t="s">
        <v>24</v>
      </c>
      <c r="F33" s="170" t="s">
        <v>24</v>
      </c>
      <c r="G33" s="169" t="s">
        <v>24</v>
      </c>
      <c r="H33" s="170" t="s">
        <v>24</v>
      </c>
      <c r="I33" s="170">
        <f t="shared" si="13"/>
        <v>0</v>
      </c>
      <c r="J33" s="170">
        <v>0.9829</v>
      </c>
      <c r="K33" s="170">
        <v>8.9599999999999999E-2</v>
      </c>
      <c r="L33" s="190">
        <v>0</v>
      </c>
      <c r="M33" s="190">
        <v>0.16439999999999999</v>
      </c>
      <c r="N33" s="190">
        <v>0.83560000000000001</v>
      </c>
      <c r="O33" s="190">
        <f t="shared" si="14"/>
        <v>0</v>
      </c>
      <c r="P33" s="190">
        <v>0.98119999999999996</v>
      </c>
      <c r="Q33" s="190">
        <v>9.8500000000000004E-2</v>
      </c>
      <c r="R33" s="173">
        <v>0</v>
      </c>
      <c r="S33" s="190">
        <v>0.16276669999999999</v>
      </c>
      <c r="T33" s="190">
        <v>0.83723329999999996</v>
      </c>
    </row>
    <row r="34" spans="1:20" x14ac:dyDescent="0.2">
      <c r="A34" s="130"/>
      <c r="B34" s="167"/>
      <c r="C34" s="173"/>
      <c r="D34" s="173"/>
      <c r="E34" s="173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0" x14ac:dyDescent="0.2">
      <c r="A35" s="214" t="s">
        <v>78</v>
      </c>
      <c r="B35" s="167">
        <v>1</v>
      </c>
      <c r="C35" s="173" t="s">
        <v>71</v>
      </c>
      <c r="D35" s="173">
        <v>0.97989999999999999</v>
      </c>
      <c r="E35" s="173">
        <v>0.98080000000000001</v>
      </c>
      <c r="F35" s="190">
        <v>0</v>
      </c>
      <c r="G35" s="191">
        <v>1</v>
      </c>
      <c r="H35" s="190">
        <v>0</v>
      </c>
      <c r="I35" s="190" t="s">
        <v>71</v>
      </c>
      <c r="J35" s="190">
        <v>0.9829</v>
      </c>
      <c r="K35" s="190">
        <v>0.98360000000000003</v>
      </c>
      <c r="L35" s="190">
        <v>0</v>
      </c>
      <c r="M35" s="191">
        <v>1</v>
      </c>
      <c r="N35" s="190">
        <v>0</v>
      </c>
      <c r="O35" s="190" t="s">
        <v>71</v>
      </c>
      <c r="P35" s="190">
        <v>0.98119999999999996</v>
      </c>
      <c r="Q35" s="190">
        <v>0.98080000000000001</v>
      </c>
      <c r="R35" s="190">
        <v>0</v>
      </c>
      <c r="S35" s="191">
        <v>1</v>
      </c>
      <c r="T35" s="190">
        <v>0</v>
      </c>
    </row>
    <row r="36" spans="1:20" x14ac:dyDescent="0.2">
      <c r="A36" s="214"/>
      <c r="B36" s="167">
        <v>2</v>
      </c>
      <c r="C36" s="173">
        <f t="shared" ref="C36:C39" si="15">F36/H36</f>
        <v>0</v>
      </c>
      <c r="D36" s="173">
        <v>0.97989999999999999</v>
      </c>
      <c r="E36" s="173">
        <v>0.93089999999999995</v>
      </c>
      <c r="F36" s="190">
        <v>0</v>
      </c>
      <c r="G36" s="190">
        <v>0.1604333</v>
      </c>
      <c r="H36" s="190">
        <v>0.8395667</v>
      </c>
      <c r="I36" s="190" t="s">
        <v>71</v>
      </c>
      <c r="J36" s="190">
        <v>0.9829</v>
      </c>
      <c r="K36" s="190">
        <v>0.98140000000000005</v>
      </c>
      <c r="L36" s="190">
        <v>0</v>
      </c>
      <c r="M36" s="191">
        <v>1</v>
      </c>
      <c r="N36" s="190">
        <v>0</v>
      </c>
      <c r="O36" s="190" t="s">
        <v>71</v>
      </c>
      <c r="P36" s="190">
        <v>0.98119999999999996</v>
      </c>
      <c r="Q36" s="190">
        <v>0.9778</v>
      </c>
      <c r="R36" s="190">
        <v>0</v>
      </c>
      <c r="S36" s="191">
        <v>1</v>
      </c>
      <c r="T36" s="190">
        <v>0</v>
      </c>
    </row>
    <row r="37" spans="1:20" x14ac:dyDescent="0.2">
      <c r="A37" s="214"/>
      <c r="B37" s="167">
        <v>3</v>
      </c>
      <c r="C37" s="173">
        <f t="shared" si="15"/>
        <v>0</v>
      </c>
      <c r="D37" s="173">
        <v>0.97989999999999999</v>
      </c>
      <c r="E37" s="173">
        <v>0.95699999999999996</v>
      </c>
      <c r="F37" s="190">
        <v>0</v>
      </c>
      <c r="G37" s="190">
        <v>0.156</v>
      </c>
      <c r="H37" s="190">
        <v>0.84399999999999997</v>
      </c>
      <c r="I37" s="190" t="s">
        <v>71</v>
      </c>
      <c r="J37" s="190">
        <v>0.9829</v>
      </c>
      <c r="K37" s="190">
        <v>0.98140000000000005</v>
      </c>
      <c r="L37" s="190">
        <v>0</v>
      </c>
      <c r="M37" s="191">
        <v>1</v>
      </c>
      <c r="N37" s="190">
        <v>0</v>
      </c>
      <c r="O37" s="190" t="s">
        <v>71</v>
      </c>
      <c r="P37" s="190">
        <v>0.98119999999999996</v>
      </c>
      <c r="Q37" s="190">
        <v>0.97750000000000004</v>
      </c>
      <c r="R37" s="190">
        <v>0</v>
      </c>
      <c r="S37" s="191">
        <v>1</v>
      </c>
      <c r="T37" s="190">
        <v>0</v>
      </c>
    </row>
    <row r="38" spans="1:20" x14ac:dyDescent="0.2">
      <c r="A38" s="214"/>
      <c r="B38" s="167">
        <v>4</v>
      </c>
      <c r="C38" s="173">
        <f t="shared" si="15"/>
        <v>0</v>
      </c>
      <c r="D38" s="173">
        <v>0.97989999999999999</v>
      </c>
      <c r="E38" s="173">
        <v>0.95699999999999996</v>
      </c>
      <c r="F38" s="190">
        <v>0</v>
      </c>
      <c r="G38" s="190">
        <v>0.15733330000000001</v>
      </c>
      <c r="H38" s="190">
        <v>0.84266669999999999</v>
      </c>
      <c r="I38" s="190">
        <f t="shared" ref="I38:I39" si="16">L38/N38</f>
        <v>0</v>
      </c>
      <c r="J38" s="190">
        <v>0.9829</v>
      </c>
      <c r="K38" s="190">
        <v>0.91039999999999999</v>
      </c>
      <c r="L38" s="190">
        <v>0</v>
      </c>
      <c r="M38" s="190">
        <v>0.1575</v>
      </c>
      <c r="N38" s="190">
        <v>0.84250000000000003</v>
      </c>
      <c r="O38" s="190" t="s">
        <v>71</v>
      </c>
      <c r="P38" s="190">
        <v>0.98119999999999996</v>
      </c>
      <c r="Q38" s="190">
        <v>0.97450000000000003</v>
      </c>
      <c r="R38" s="190">
        <v>0</v>
      </c>
      <c r="S38" s="191">
        <v>1</v>
      </c>
      <c r="T38" s="190">
        <v>0</v>
      </c>
    </row>
    <row r="39" spans="1:20" x14ac:dyDescent="0.2">
      <c r="A39" s="214"/>
      <c r="B39" s="167">
        <v>5</v>
      </c>
      <c r="C39" s="173">
        <f t="shared" si="15"/>
        <v>0</v>
      </c>
      <c r="D39" s="173">
        <v>0.97989999999999999</v>
      </c>
      <c r="E39" s="173">
        <v>0.89829999999999999</v>
      </c>
      <c r="F39" s="170">
        <v>0</v>
      </c>
      <c r="G39" s="170">
        <v>0.15703329999999999</v>
      </c>
      <c r="H39" s="170">
        <v>0.84296669999999996</v>
      </c>
      <c r="I39" s="170">
        <f t="shared" si="16"/>
        <v>0</v>
      </c>
      <c r="J39" s="170">
        <v>0.9829</v>
      </c>
      <c r="K39" s="170">
        <v>0.96</v>
      </c>
      <c r="L39" s="190">
        <v>0</v>
      </c>
      <c r="M39" s="190">
        <v>0.1607333</v>
      </c>
      <c r="N39" s="190">
        <v>0.83926670000000003</v>
      </c>
      <c r="O39" s="190" t="s">
        <v>71</v>
      </c>
      <c r="P39" s="190">
        <v>0.98119999999999996</v>
      </c>
      <c r="Q39" s="190">
        <v>0.90149999999999997</v>
      </c>
      <c r="R39" s="190">
        <v>0</v>
      </c>
      <c r="S39" s="191">
        <v>1</v>
      </c>
      <c r="T39" s="190">
        <v>0</v>
      </c>
    </row>
    <row r="40" spans="1:20" ht="17" thickBot="1" x14ac:dyDescent="0.25">
      <c r="A40" s="138"/>
      <c r="B40" s="115"/>
      <c r="C40" s="175"/>
      <c r="D40" s="175"/>
      <c r="E40" s="175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</row>
    <row r="41" spans="1:20" x14ac:dyDescent="0.2">
      <c r="A41" s="214" t="s">
        <v>79</v>
      </c>
      <c r="B41" s="167">
        <v>1</v>
      </c>
      <c r="C41" s="173">
        <f t="shared" ref="C41:C44" si="17">F41/H41</f>
        <v>0</v>
      </c>
      <c r="D41" s="173">
        <v>0.9778</v>
      </c>
      <c r="E41" s="173">
        <v>0.89849999999999997</v>
      </c>
      <c r="F41" s="190">
        <v>0</v>
      </c>
      <c r="G41" s="190">
        <v>0.15620000000000001</v>
      </c>
      <c r="H41" s="190">
        <v>0.84379999999999999</v>
      </c>
      <c r="I41" s="190">
        <f t="shared" ref="I41:I45" si="18">L41/N41</f>
        <v>0</v>
      </c>
      <c r="J41" s="190">
        <v>0.9829</v>
      </c>
      <c r="K41" s="190">
        <v>0.91120000000000001</v>
      </c>
      <c r="L41" s="190">
        <v>0</v>
      </c>
      <c r="M41" s="190">
        <v>0.15579999999999999</v>
      </c>
      <c r="N41" s="190">
        <v>0.84419999999999995</v>
      </c>
      <c r="O41" s="190">
        <f t="shared" ref="O41:O45" si="19">R41/T41</f>
        <v>0</v>
      </c>
      <c r="P41" s="190">
        <v>0.98080000000000001</v>
      </c>
      <c r="Q41" s="190">
        <v>0.90329999999999999</v>
      </c>
      <c r="R41" s="190">
        <v>0</v>
      </c>
      <c r="S41" s="190">
        <v>0.1574333</v>
      </c>
      <c r="T41" s="190">
        <v>0.8425667</v>
      </c>
    </row>
    <row r="42" spans="1:20" x14ac:dyDescent="0.2">
      <c r="A42" s="214"/>
      <c r="B42" s="167">
        <v>2</v>
      </c>
      <c r="C42" s="173" t="s">
        <v>71</v>
      </c>
      <c r="D42" s="173">
        <v>0.9778</v>
      </c>
      <c r="E42" s="173">
        <v>0.94450000000000001</v>
      </c>
      <c r="F42" s="190">
        <v>0</v>
      </c>
      <c r="G42" s="190">
        <v>1</v>
      </c>
      <c r="H42" s="190">
        <v>0</v>
      </c>
      <c r="I42" s="190">
        <f t="shared" si="18"/>
        <v>0</v>
      </c>
      <c r="J42" s="190">
        <v>0.9829</v>
      </c>
      <c r="K42" s="190">
        <v>0.96199999999999997</v>
      </c>
      <c r="L42" s="190">
        <v>0</v>
      </c>
      <c r="M42" s="191">
        <v>0.15946669999999999</v>
      </c>
      <c r="N42" s="190">
        <v>0.84053330000000004</v>
      </c>
      <c r="O42" s="190" t="s">
        <v>71</v>
      </c>
      <c r="P42" s="190">
        <v>0.98080000000000001</v>
      </c>
      <c r="Q42" s="190">
        <v>0.97240000000000004</v>
      </c>
      <c r="R42" s="190">
        <v>0</v>
      </c>
      <c r="S42" s="191">
        <v>1</v>
      </c>
      <c r="T42" s="190">
        <v>0</v>
      </c>
    </row>
    <row r="43" spans="1:20" x14ac:dyDescent="0.2">
      <c r="A43" s="214"/>
      <c r="B43" s="167">
        <v>3</v>
      </c>
      <c r="C43" s="173">
        <f t="shared" si="17"/>
        <v>0</v>
      </c>
      <c r="D43" s="173">
        <v>0.9778</v>
      </c>
      <c r="E43" s="173">
        <v>0.7772</v>
      </c>
      <c r="F43" s="190">
        <v>0</v>
      </c>
      <c r="G43" s="190">
        <v>0.15759999999999999</v>
      </c>
      <c r="H43" s="190">
        <v>0.84240000000000004</v>
      </c>
      <c r="I43" s="190">
        <f t="shared" si="18"/>
        <v>0</v>
      </c>
      <c r="J43" s="190">
        <v>0.9829</v>
      </c>
      <c r="K43" s="190">
        <v>0.89680000000000004</v>
      </c>
      <c r="L43" s="190">
        <v>0</v>
      </c>
      <c r="M43" s="190">
        <v>0.15926670000000001</v>
      </c>
      <c r="N43" s="190">
        <v>0.84073330000000002</v>
      </c>
      <c r="O43" s="190" t="s">
        <v>71</v>
      </c>
      <c r="P43" s="190">
        <v>0.98080000000000001</v>
      </c>
      <c r="Q43" s="190">
        <v>0.97040000000000004</v>
      </c>
      <c r="R43" s="190">
        <v>0</v>
      </c>
      <c r="S43" s="191">
        <v>1</v>
      </c>
      <c r="T43" s="190">
        <v>0</v>
      </c>
    </row>
    <row r="44" spans="1:20" x14ac:dyDescent="0.2">
      <c r="A44" s="214"/>
      <c r="B44" s="167">
        <v>4</v>
      </c>
      <c r="C44" s="173">
        <f t="shared" si="17"/>
        <v>0</v>
      </c>
      <c r="D44" s="173">
        <v>0.9778</v>
      </c>
      <c r="E44" s="173">
        <v>0.1026</v>
      </c>
      <c r="F44" s="170">
        <v>0</v>
      </c>
      <c r="G44" s="170">
        <v>0.15566669999999999</v>
      </c>
      <c r="H44" s="170">
        <v>0.84433329999999995</v>
      </c>
      <c r="I44" s="170">
        <f t="shared" si="18"/>
        <v>0</v>
      </c>
      <c r="J44" s="170">
        <v>0.9829</v>
      </c>
      <c r="K44" s="170">
        <v>0.57089999999999996</v>
      </c>
      <c r="L44" s="190">
        <v>0</v>
      </c>
      <c r="M44" s="190">
        <v>0.1603667</v>
      </c>
      <c r="N44" s="190">
        <v>0.83963330000000003</v>
      </c>
      <c r="O44" s="190" t="s">
        <v>71</v>
      </c>
      <c r="P44" s="190">
        <v>0.98080000000000001</v>
      </c>
      <c r="Q44" s="190">
        <v>0.35239999999999999</v>
      </c>
      <c r="R44" s="190">
        <v>0</v>
      </c>
      <c r="S44" s="190">
        <v>0.156</v>
      </c>
      <c r="T44" s="190">
        <v>0.84399999999999997</v>
      </c>
    </row>
    <row r="45" spans="1:20" x14ac:dyDescent="0.2">
      <c r="A45" s="214"/>
      <c r="B45" s="167">
        <v>5</v>
      </c>
      <c r="C45" s="173" t="s">
        <v>24</v>
      </c>
      <c r="D45" s="173">
        <v>0.9778</v>
      </c>
      <c r="E45" s="170" t="s">
        <v>24</v>
      </c>
      <c r="F45" s="170" t="s">
        <v>24</v>
      </c>
      <c r="G45" s="170" t="s">
        <v>24</v>
      </c>
      <c r="H45" s="170" t="s">
        <v>24</v>
      </c>
      <c r="I45" s="170">
        <f t="shared" si="18"/>
        <v>0</v>
      </c>
      <c r="J45" s="170">
        <v>0.9829</v>
      </c>
      <c r="K45" s="170">
        <v>8.9800000000000005E-2</v>
      </c>
      <c r="L45" s="190">
        <v>0</v>
      </c>
      <c r="M45" s="190">
        <v>0.1602333</v>
      </c>
      <c r="N45" s="190">
        <v>0.83976669999999998</v>
      </c>
      <c r="O45" s="190">
        <f t="shared" si="19"/>
        <v>0</v>
      </c>
      <c r="P45" s="190">
        <v>0.98080000000000001</v>
      </c>
      <c r="Q45" s="190">
        <v>9.8199999999999996E-2</v>
      </c>
      <c r="R45" s="190">
        <v>0</v>
      </c>
      <c r="S45" s="190">
        <v>0.15909999999999999</v>
      </c>
      <c r="T45" s="190">
        <v>0.84089999999999998</v>
      </c>
    </row>
    <row r="46" spans="1:20" x14ac:dyDescent="0.2">
      <c r="A46" s="130"/>
      <c r="B46" s="167"/>
      <c r="C46" s="173"/>
      <c r="D46" s="173"/>
      <c r="E46" s="173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</row>
    <row r="47" spans="1:20" x14ac:dyDescent="0.2">
      <c r="A47" s="214" t="s">
        <v>80</v>
      </c>
      <c r="B47" s="167">
        <v>1</v>
      </c>
      <c r="C47" s="173" t="s">
        <v>71</v>
      </c>
      <c r="D47" s="173">
        <v>0.9778</v>
      </c>
      <c r="E47" s="173">
        <v>0.97860000000000003</v>
      </c>
      <c r="F47" s="190">
        <v>0</v>
      </c>
      <c r="G47" s="191">
        <v>1</v>
      </c>
      <c r="H47" s="190">
        <v>0</v>
      </c>
      <c r="I47" s="190" t="s">
        <v>71</v>
      </c>
      <c r="J47" s="190">
        <v>0.9829</v>
      </c>
      <c r="K47" s="190">
        <v>0.98319999999999996</v>
      </c>
      <c r="L47" s="190">
        <v>0</v>
      </c>
      <c r="M47" s="191">
        <v>1</v>
      </c>
      <c r="N47" s="190">
        <v>0</v>
      </c>
      <c r="O47" s="190" t="s">
        <v>71</v>
      </c>
      <c r="P47" s="190">
        <v>0.98080000000000001</v>
      </c>
      <c r="Q47" s="190">
        <v>0.97950000000000004</v>
      </c>
      <c r="R47" s="190">
        <v>0</v>
      </c>
      <c r="S47" s="191">
        <v>1</v>
      </c>
      <c r="T47" s="190">
        <v>0</v>
      </c>
    </row>
    <row r="48" spans="1:20" x14ac:dyDescent="0.2">
      <c r="A48" s="214"/>
      <c r="B48" s="167">
        <v>2</v>
      </c>
      <c r="C48" s="173" t="s">
        <v>71</v>
      </c>
      <c r="D48" s="173">
        <v>0.9778</v>
      </c>
      <c r="E48" s="173">
        <v>0.9788</v>
      </c>
      <c r="F48" s="190">
        <v>0</v>
      </c>
      <c r="G48" s="191">
        <v>1</v>
      </c>
      <c r="H48" s="190">
        <v>0</v>
      </c>
      <c r="I48" s="190" t="s">
        <v>71</v>
      </c>
      <c r="J48" s="190">
        <v>0.9829</v>
      </c>
      <c r="K48" s="190">
        <v>0.98099999999999998</v>
      </c>
      <c r="L48" s="190">
        <v>0</v>
      </c>
      <c r="M48" s="191">
        <v>1</v>
      </c>
      <c r="N48" s="190">
        <v>0</v>
      </c>
      <c r="O48" s="190" t="s">
        <v>71</v>
      </c>
      <c r="P48" s="190">
        <v>0.98080000000000001</v>
      </c>
      <c r="Q48" s="190">
        <v>0.97909999999999997</v>
      </c>
      <c r="R48" s="190">
        <v>0</v>
      </c>
      <c r="S48" s="191">
        <v>1</v>
      </c>
      <c r="T48" s="190">
        <v>0</v>
      </c>
    </row>
    <row r="49" spans="1:20" x14ac:dyDescent="0.2">
      <c r="A49" s="214"/>
      <c r="B49" s="167">
        <v>3</v>
      </c>
      <c r="C49" s="173" t="s">
        <v>71</v>
      </c>
      <c r="D49" s="173">
        <v>0.9778</v>
      </c>
      <c r="E49" s="173">
        <v>0.97170000000000001</v>
      </c>
      <c r="F49" s="190">
        <v>0</v>
      </c>
      <c r="G49" s="191">
        <v>1</v>
      </c>
      <c r="H49" s="190">
        <v>0</v>
      </c>
      <c r="I49" s="190" t="s">
        <v>71</v>
      </c>
      <c r="J49" s="190">
        <v>0.9829</v>
      </c>
      <c r="K49" s="190">
        <v>0.97670000000000001</v>
      </c>
      <c r="L49" s="190">
        <v>0</v>
      </c>
      <c r="M49" s="191">
        <v>1</v>
      </c>
      <c r="N49" s="190">
        <v>0</v>
      </c>
      <c r="O49" s="190" t="s">
        <v>71</v>
      </c>
      <c r="P49" s="190">
        <v>0.98080000000000001</v>
      </c>
      <c r="Q49" s="190">
        <v>0.97430000000000005</v>
      </c>
      <c r="R49" s="190">
        <v>0</v>
      </c>
      <c r="S49" s="191">
        <v>1</v>
      </c>
      <c r="T49" s="190">
        <v>0</v>
      </c>
    </row>
    <row r="50" spans="1:20" x14ac:dyDescent="0.2">
      <c r="A50" s="214"/>
      <c r="B50" s="167">
        <v>4</v>
      </c>
      <c r="C50" s="173">
        <f t="shared" ref="C50:C51" si="20">F50/H50</f>
        <v>0</v>
      </c>
      <c r="D50" s="173">
        <v>0.9778</v>
      </c>
      <c r="E50" s="173">
        <v>0.96589999999999998</v>
      </c>
      <c r="F50" s="190">
        <v>0</v>
      </c>
      <c r="G50" s="190">
        <v>0.4573333</v>
      </c>
      <c r="H50" s="190">
        <v>0.54266669999999995</v>
      </c>
      <c r="I50" s="190" t="s">
        <v>71</v>
      </c>
      <c r="J50" s="190">
        <v>0.9829</v>
      </c>
      <c r="K50" s="190">
        <v>0.97489999999999999</v>
      </c>
      <c r="L50" s="190">
        <v>0</v>
      </c>
      <c r="M50" s="191">
        <v>1</v>
      </c>
      <c r="N50" s="190">
        <v>0</v>
      </c>
      <c r="O50" s="190" t="s">
        <v>71</v>
      </c>
      <c r="P50" s="190">
        <v>0.98080000000000001</v>
      </c>
      <c r="Q50" s="190">
        <v>0.96850000000000003</v>
      </c>
      <c r="R50" s="190">
        <v>0</v>
      </c>
      <c r="S50" s="191">
        <v>1</v>
      </c>
      <c r="T50" s="190">
        <v>0</v>
      </c>
    </row>
    <row r="51" spans="1:20" x14ac:dyDescent="0.2">
      <c r="A51" s="214"/>
      <c r="B51" s="167">
        <v>5</v>
      </c>
      <c r="C51" s="173">
        <f t="shared" si="20"/>
        <v>0</v>
      </c>
      <c r="D51" s="173">
        <v>0.9778</v>
      </c>
      <c r="E51" s="173">
        <v>0.93330000000000002</v>
      </c>
      <c r="F51" s="170">
        <v>0</v>
      </c>
      <c r="G51" s="170">
        <v>0.1559333</v>
      </c>
      <c r="H51" s="170">
        <v>0.84406669999999995</v>
      </c>
      <c r="I51" s="170">
        <f t="shared" ref="I51" si="21">L51/N51</f>
        <v>0</v>
      </c>
      <c r="J51" s="170">
        <v>0.9829</v>
      </c>
      <c r="K51" s="170">
        <v>0.95920000000000005</v>
      </c>
      <c r="L51" s="190">
        <v>0</v>
      </c>
      <c r="M51" s="190">
        <v>0.15906670000000001</v>
      </c>
      <c r="N51" s="190">
        <v>0.84093329999999999</v>
      </c>
      <c r="O51" s="190">
        <f t="shared" ref="O51" si="22">R51/T51</f>
        <v>0</v>
      </c>
      <c r="P51" s="190">
        <v>0.98080000000000001</v>
      </c>
      <c r="Q51" s="190">
        <v>0.96289999999999998</v>
      </c>
      <c r="R51" s="190">
        <v>0</v>
      </c>
      <c r="S51" s="190">
        <v>0.46073330000000001</v>
      </c>
      <c r="T51" s="190">
        <v>0.53926669999999999</v>
      </c>
    </row>
    <row r="52" spans="1:20" ht="17" thickBot="1" x14ac:dyDescent="0.25">
      <c r="A52" s="138"/>
      <c r="B52" s="115"/>
      <c r="C52" s="175"/>
      <c r="D52" s="175"/>
      <c r="E52" s="175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</row>
    <row r="53" spans="1:20" x14ac:dyDescent="0.2">
      <c r="A53" s="214" t="s">
        <v>81</v>
      </c>
      <c r="B53" s="167">
        <v>1</v>
      </c>
      <c r="C53" s="173">
        <f t="shared" ref="C53:C62" si="23">F53/H53</f>
        <v>0</v>
      </c>
      <c r="D53" s="173">
        <v>0.96179999999999999</v>
      </c>
      <c r="E53" s="173">
        <v>0.89419999999999999</v>
      </c>
      <c r="F53" s="190">
        <v>0</v>
      </c>
      <c r="G53" s="190">
        <v>0.1586333</v>
      </c>
      <c r="H53" s="190">
        <v>0.84136670000000002</v>
      </c>
      <c r="I53" s="190">
        <f t="shared" ref="I53:I62" si="24">L53/N53</f>
        <v>0</v>
      </c>
      <c r="J53" s="190">
        <v>0.97060000000000002</v>
      </c>
      <c r="K53" s="190">
        <v>0.92679999999999996</v>
      </c>
      <c r="L53" s="190">
        <v>0</v>
      </c>
      <c r="M53" s="190">
        <v>0.15540000000000001</v>
      </c>
      <c r="N53" s="190">
        <v>0.84460000000000002</v>
      </c>
      <c r="O53" s="190">
        <f t="shared" ref="O53:O62" si="25">R53/T53</f>
        <v>0</v>
      </c>
      <c r="P53" s="190">
        <v>0.9667</v>
      </c>
      <c r="Q53" s="190">
        <v>0.92900000000000005</v>
      </c>
      <c r="R53" s="190">
        <v>0</v>
      </c>
      <c r="S53" s="190">
        <v>0.16103329999999999</v>
      </c>
      <c r="T53" s="190">
        <v>0.83896669999999995</v>
      </c>
    </row>
    <row r="54" spans="1:20" x14ac:dyDescent="0.2">
      <c r="A54" s="214"/>
      <c r="B54" s="167">
        <v>2</v>
      </c>
      <c r="C54" s="173">
        <f t="shared" si="23"/>
        <v>0</v>
      </c>
      <c r="D54" s="173">
        <v>0.96179999999999999</v>
      </c>
      <c r="E54" s="173">
        <v>0.9385</v>
      </c>
      <c r="F54" s="170">
        <v>0</v>
      </c>
      <c r="G54" s="170">
        <v>0.15726670000000001</v>
      </c>
      <c r="H54" s="170">
        <v>0.84273330000000002</v>
      </c>
      <c r="I54" s="170">
        <f t="shared" si="24"/>
        <v>0</v>
      </c>
      <c r="J54" s="170">
        <v>0.97060000000000002</v>
      </c>
      <c r="K54" s="170">
        <v>0.95569999999999999</v>
      </c>
      <c r="L54" s="190">
        <v>0</v>
      </c>
      <c r="M54" s="190">
        <v>0.46016669999999998</v>
      </c>
      <c r="N54" s="190">
        <v>0.53983329999999996</v>
      </c>
      <c r="O54" s="190">
        <f t="shared" si="25"/>
        <v>0</v>
      </c>
      <c r="P54" s="190">
        <v>0.9667</v>
      </c>
      <c r="Q54" s="190">
        <v>0.95550000000000002</v>
      </c>
      <c r="R54" s="190">
        <v>0</v>
      </c>
      <c r="S54" s="190">
        <v>0.46343329999999999</v>
      </c>
      <c r="T54" s="190">
        <v>0.53656669999999995</v>
      </c>
    </row>
    <row r="55" spans="1:20" x14ac:dyDescent="0.2">
      <c r="A55" s="214"/>
      <c r="B55" s="167">
        <v>3</v>
      </c>
      <c r="C55" s="173" t="s">
        <v>24</v>
      </c>
      <c r="D55" s="173">
        <v>0.96179999999999999</v>
      </c>
      <c r="E55" s="173">
        <v>0.47720000000000001</v>
      </c>
      <c r="F55" s="190" t="s">
        <v>24</v>
      </c>
      <c r="G55" s="190" t="s">
        <v>24</v>
      </c>
      <c r="H55" s="190" t="s">
        <v>24</v>
      </c>
      <c r="I55" s="190" t="s">
        <v>24</v>
      </c>
      <c r="J55" s="190">
        <v>0.97060000000000002</v>
      </c>
      <c r="K55" s="190">
        <v>0.90110000000000001</v>
      </c>
      <c r="L55" s="190" t="s">
        <v>24</v>
      </c>
      <c r="M55" s="190" t="s">
        <v>24</v>
      </c>
      <c r="N55" s="190" t="s">
        <v>24</v>
      </c>
      <c r="O55" s="190" t="s">
        <v>24</v>
      </c>
      <c r="P55" s="190">
        <v>0.9667</v>
      </c>
      <c r="Q55" s="190">
        <v>0.9637</v>
      </c>
      <c r="R55" s="190" t="s">
        <v>24</v>
      </c>
      <c r="S55" s="190" t="s">
        <v>24</v>
      </c>
      <c r="T55" s="190" t="s">
        <v>24</v>
      </c>
    </row>
    <row r="56" spans="1:20" x14ac:dyDescent="0.2">
      <c r="A56" s="214"/>
      <c r="B56" s="167">
        <v>4</v>
      </c>
      <c r="C56" s="173">
        <f t="shared" si="23"/>
        <v>0</v>
      </c>
      <c r="D56" s="173">
        <v>0.96179999999999999</v>
      </c>
      <c r="E56" s="173">
        <v>0.69289999999999996</v>
      </c>
      <c r="F56" s="170">
        <v>0</v>
      </c>
      <c r="G56" s="170">
        <v>0.1604333</v>
      </c>
      <c r="H56" s="170">
        <v>0.8395667</v>
      </c>
      <c r="I56" s="170">
        <f t="shared" si="24"/>
        <v>0</v>
      </c>
      <c r="J56" s="170">
        <v>0.97060000000000002</v>
      </c>
      <c r="K56" s="170">
        <v>0.75</v>
      </c>
      <c r="L56" s="190">
        <v>0</v>
      </c>
      <c r="M56" s="190">
        <v>0.156</v>
      </c>
      <c r="N56" s="190">
        <v>0.84399999999999997</v>
      </c>
      <c r="O56" s="190">
        <f t="shared" si="25"/>
        <v>0</v>
      </c>
      <c r="P56" s="190">
        <v>0.9667</v>
      </c>
      <c r="Q56" s="190">
        <v>0.71560000000000001</v>
      </c>
      <c r="R56" s="190">
        <v>0</v>
      </c>
      <c r="S56" s="190">
        <v>0.16033330000000001</v>
      </c>
      <c r="T56" s="190">
        <v>0.83966669999999999</v>
      </c>
    </row>
    <row r="57" spans="1:20" x14ac:dyDescent="0.2">
      <c r="A57" s="214"/>
      <c r="B57" s="167">
        <v>5</v>
      </c>
      <c r="C57" s="173" t="s">
        <v>24</v>
      </c>
      <c r="D57" s="173">
        <v>0.96179999999999999</v>
      </c>
      <c r="E57" s="173" t="s">
        <v>24</v>
      </c>
      <c r="F57" s="170" t="s">
        <v>24</v>
      </c>
      <c r="G57" s="170" t="s">
        <v>24</v>
      </c>
      <c r="H57" s="170" t="s">
        <v>24</v>
      </c>
      <c r="I57" s="170" t="s">
        <v>24</v>
      </c>
      <c r="J57" s="170">
        <v>0.97060000000000002</v>
      </c>
      <c r="K57" s="170" t="s">
        <v>24</v>
      </c>
      <c r="L57" s="190" t="s">
        <v>24</v>
      </c>
      <c r="M57" s="190" t="s">
        <v>24</v>
      </c>
      <c r="N57" s="190" t="s">
        <v>24</v>
      </c>
      <c r="O57" s="190" t="s">
        <v>24</v>
      </c>
      <c r="P57" s="190">
        <v>0.9667</v>
      </c>
      <c r="Q57" s="190" t="s">
        <v>24</v>
      </c>
      <c r="R57" s="190" t="s">
        <v>24</v>
      </c>
      <c r="S57" s="190" t="s">
        <v>24</v>
      </c>
      <c r="T57" s="190" t="s">
        <v>24</v>
      </c>
    </row>
    <row r="58" spans="1:20" x14ac:dyDescent="0.2">
      <c r="A58" s="130"/>
      <c r="B58" s="167"/>
      <c r="C58" s="173"/>
      <c r="D58" s="173"/>
      <c r="E58" s="173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</row>
    <row r="59" spans="1:20" x14ac:dyDescent="0.2">
      <c r="A59" s="214" t="s">
        <v>82</v>
      </c>
      <c r="B59" s="167">
        <v>1</v>
      </c>
      <c r="C59" s="173" t="s">
        <v>71</v>
      </c>
      <c r="D59" s="173">
        <v>0.96179999999999999</v>
      </c>
      <c r="E59" s="173">
        <v>0.96950000000000003</v>
      </c>
      <c r="F59" s="190">
        <v>0</v>
      </c>
      <c r="G59" s="191">
        <v>1</v>
      </c>
      <c r="H59" s="190">
        <v>0</v>
      </c>
      <c r="I59" s="190" t="s">
        <v>71</v>
      </c>
      <c r="J59" s="190">
        <v>0.97060000000000002</v>
      </c>
      <c r="K59" s="190">
        <v>0.97499999999999998</v>
      </c>
      <c r="L59" s="190">
        <v>0</v>
      </c>
      <c r="M59" s="191">
        <v>1</v>
      </c>
      <c r="N59" s="190">
        <v>0</v>
      </c>
      <c r="O59" s="190" t="s">
        <v>71</v>
      </c>
      <c r="P59" s="190">
        <v>0.9667</v>
      </c>
      <c r="Q59" s="190">
        <v>0.97109999999999996</v>
      </c>
      <c r="R59" s="190">
        <v>0</v>
      </c>
      <c r="S59" s="191">
        <v>1</v>
      </c>
      <c r="T59" s="190">
        <v>0</v>
      </c>
    </row>
    <row r="60" spans="1:20" x14ac:dyDescent="0.2">
      <c r="A60" s="214"/>
      <c r="B60" s="167">
        <v>2</v>
      </c>
      <c r="C60" s="173">
        <f t="shared" si="23"/>
        <v>0</v>
      </c>
      <c r="D60" s="173">
        <v>0.96179999999999999</v>
      </c>
      <c r="E60" s="173">
        <v>0.9385</v>
      </c>
      <c r="F60" s="170">
        <v>0</v>
      </c>
      <c r="G60" s="170">
        <v>0.1588667</v>
      </c>
      <c r="H60" s="170">
        <v>0.84113329999999997</v>
      </c>
      <c r="I60" s="170">
        <f t="shared" si="24"/>
        <v>0</v>
      </c>
      <c r="J60" s="170">
        <v>0.97060000000000002</v>
      </c>
      <c r="K60" s="170">
        <v>0.95569999999999999</v>
      </c>
      <c r="L60" s="190">
        <v>0</v>
      </c>
      <c r="M60" s="190">
        <v>0.46036670000000002</v>
      </c>
      <c r="N60" s="190">
        <v>0.53963329999999998</v>
      </c>
      <c r="O60" s="190">
        <f t="shared" si="25"/>
        <v>0</v>
      </c>
      <c r="P60" s="190">
        <v>0.9667</v>
      </c>
      <c r="Q60" s="190">
        <v>0.95550000000000002</v>
      </c>
      <c r="R60" s="190">
        <v>0</v>
      </c>
      <c r="S60" s="190">
        <v>0.46289999999999998</v>
      </c>
      <c r="T60" s="190">
        <v>0.53710000000000002</v>
      </c>
    </row>
    <row r="61" spans="1:20" x14ac:dyDescent="0.2">
      <c r="A61" s="214"/>
      <c r="B61" s="167">
        <v>3</v>
      </c>
      <c r="C61" s="173">
        <f t="shared" si="23"/>
        <v>0</v>
      </c>
      <c r="D61" s="173">
        <v>0.96179999999999999</v>
      </c>
      <c r="E61" s="173">
        <v>0.47720000000000001</v>
      </c>
      <c r="F61" s="190">
        <v>0</v>
      </c>
      <c r="G61" s="190">
        <v>0.1638</v>
      </c>
      <c r="H61" s="190">
        <v>0.83620000000000005</v>
      </c>
      <c r="I61" s="190">
        <f t="shared" si="24"/>
        <v>0</v>
      </c>
      <c r="J61" s="190">
        <v>0.97060000000000002</v>
      </c>
      <c r="K61" s="190">
        <v>0.90110000000000001</v>
      </c>
      <c r="L61" s="190">
        <v>0</v>
      </c>
      <c r="M61" s="190">
        <v>0.16096669999999999</v>
      </c>
      <c r="N61" s="190">
        <v>0.83903329999999998</v>
      </c>
      <c r="O61" s="190" t="s">
        <v>71</v>
      </c>
      <c r="P61" s="190">
        <v>0.9667</v>
      </c>
      <c r="Q61" s="190">
        <v>0.9637</v>
      </c>
      <c r="R61" s="190">
        <v>0</v>
      </c>
      <c r="S61" s="191">
        <v>1</v>
      </c>
      <c r="T61" s="190">
        <v>0</v>
      </c>
    </row>
    <row r="62" spans="1:20" x14ac:dyDescent="0.2">
      <c r="A62" s="214"/>
      <c r="B62" s="167">
        <v>4</v>
      </c>
      <c r="C62" s="173">
        <f t="shared" si="23"/>
        <v>0</v>
      </c>
      <c r="D62" s="173">
        <v>0.96179999999999999</v>
      </c>
      <c r="E62" s="173">
        <v>0.69289999999999996</v>
      </c>
      <c r="F62" s="190">
        <v>0</v>
      </c>
      <c r="G62" s="190">
        <v>0.16046669999999999</v>
      </c>
      <c r="H62" s="190">
        <v>0.83953330000000004</v>
      </c>
      <c r="I62" s="190">
        <f t="shared" si="24"/>
        <v>0</v>
      </c>
      <c r="J62" s="190">
        <v>0.97060000000000002</v>
      </c>
      <c r="K62" s="190">
        <v>0.75</v>
      </c>
      <c r="L62" s="190">
        <v>0</v>
      </c>
      <c r="M62" s="190">
        <v>0.1569333</v>
      </c>
      <c r="N62" s="190">
        <v>0.84306669999999995</v>
      </c>
      <c r="O62" s="190">
        <f t="shared" si="25"/>
        <v>0</v>
      </c>
      <c r="P62" s="190">
        <v>0.9667</v>
      </c>
      <c r="Q62" s="190">
        <v>0.71560000000000001</v>
      </c>
      <c r="R62" s="190">
        <v>0</v>
      </c>
      <c r="S62" s="190">
        <v>0.1594333</v>
      </c>
      <c r="T62" s="190">
        <v>0.8405667</v>
      </c>
    </row>
    <row r="63" spans="1:20" ht="17" thickBot="1" x14ac:dyDescent="0.25">
      <c r="A63" s="213"/>
      <c r="B63" s="115">
        <v>5</v>
      </c>
      <c r="C63" s="175" t="s">
        <v>24</v>
      </c>
      <c r="D63" s="175">
        <v>0.96179999999999999</v>
      </c>
      <c r="E63" s="175" t="s">
        <v>24</v>
      </c>
      <c r="F63" s="164" t="s">
        <v>24</v>
      </c>
      <c r="G63" s="164" t="s">
        <v>24</v>
      </c>
      <c r="H63" s="164" t="s">
        <v>24</v>
      </c>
      <c r="I63" s="164" t="s">
        <v>24</v>
      </c>
      <c r="J63" s="164">
        <v>0.97060000000000002</v>
      </c>
      <c r="K63" s="164" t="s">
        <v>24</v>
      </c>
      <c r="L63" s="164" t="s">
        <v>24</v>
      </c>
      <c r="M63" s="164" t="s">
        <v>24</v>
      </c>
      <c r="N63" s="164" t="s">
        <v>24</v>
      </c>
      <c r="O63" s="164" t="s">
        <v>24</v>
      </c>
      <c r="P63" s="164">
        <v>0.9667</v>
      </c>
      <c r="Q63" s="164" t="s">
        <v>24</v>
      </c>
      <c r="R63" s="163" t="s">
        <v>24</v>
      </c>
      <c r="S63" s="163" t="s">
        <v>24</v>
      </c>
      <c r="T63" s="163" t="s">
        <v>24</v>
      </c>
    </row>
    <row r="64" spans="1:20" x14ac:dyDescent="0.2">
      <c r="R64" s="11"/>
    </row>
  </sheetData>
  <mergeCells count="15">
    <mergeCell ref="A5:A9"/>
    <mergeCell ref="A1:T1"/>
    <mergeCell ref="C2:T2"/>
    <mergeCell ref="C3:H3"/>
    <mergeCell ref="I3:N3"/>
    <mergeCell ref="O3:T3"/>
    <mergeCell ref="A47:A51"/>
    <mergeCell ref="A53:A57"/>
    <mergeCell ref="A59:A63"/>
    <mergeCell ref="A11:A15"/>
    <mergeCell ref="A17:A21"/>
    <mergeCell ref="A23:A27"/>
    <mergeCell ref="A29:A33"/>
    <mergeCell ref="A35:A39"/>
    <mergeCell ref="A41:A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4521-EF61-6449-8D48-EC509FBD79DC}">
  <dimension ref="A1:T63"/>
  <sheetViews>
    <sheetView showGridLines="0" workbookViewId="0">
      <selection activeCell="A2" sqref="A2:T63"/>
    </sheetView>
  </sheetViews>
  <sheetFormatPr baseColWidth="10" defaultColWidth="11" defaultRowHeight="16" x14ac:dyDescent="0.2"/>
  <cols>
    <col min="1" max="1" width="29" customWidth="1"/>
  </cols>
  <sheetData>
    <row r="1" spans="1:20" ht="17" thickBot="1" x14ac:dyDescent="0.25">
      <c r="A1" s="211" t="s">
        <v>199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03"/>
      <c r="B3" s="103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52" thickBot="1" x14ac:dyDescent="0.25">
      <c r="A4" s="138" t="s">
        <v>87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180</v>
      </c>
      <c r="D5" s="173">
        <v>0.92047006666666675</v>
      </c>
      <c r="E5" s="173">
        <v>0.90782696666666673</v>
      </c>
      <c r="F5" s="171"/>
      <c r="G5" s="171"/>
      <c r="H5" s="171"/>
      <c r="I5" s="171" t="s">
        <v>180</v>
      </c>
      <c r="J5" s="173">
        <v>0.92655619999999994</v>
      </c>
      <c r="K5" s="173">
        <v>0.91185040000000006</v>
      </c>
      <c r="L5" s="171"/>
      <c r="M5" s="171"/>
      <c r="N5" s="171"/>
      <c r="O5" s="171" t="s">
        <v>180</v>
      </c>
      <c r="P5" s="173">
        <v>0.92047006666666675</v>
      </c>
      <c r="Q5" s="173">
        <v>0.90782696666666673</v>
      </c>
      <c r="R5" s="171"/>
      <c r="S5" s="171"/>
      <c r="T5" s="171"/>
    </row>
    <row r="6" spans="1:20" x14ac:dyDescent="0.2">
      <c r="A6" s="214"/>
      <c r="B6" s="167">
        <v>2</v>
      </c>
      <c r="C6" s="172" t="s">
        <v>24</v>
      </c>
      <c r="D6" s="173">
        <v>0.92047006666666675</v>
      </c>
      <c r="E6" s="173">
        <v>0.88721413333333332</v>
      </c>
      <c r="F6" s="171"/>
      <c r="G6" s="171"/>
      <c r="H6" s="171"/>
      <c r="I6" s="171" t="s">
        <v>24</v>
      </c>
      <c r="J6" s="173">
        <v>0.92655619999999994</v>
      </c>
      <c r="K6" s="173">
        <v>0.90209739999999994</v>
      </c>
      <c r="L6" s="171"/>
      <c r="M6" s="171"/>
      <c r="N6" s="171"/>
      <c r="O6" s="171" t="s">
        <v>180</v>
      </c>
      <c r="P6" s="173">
        <v>0.92047006666666675</v>
      </c>
      <c r="Q6" s="173">
        <v>0.88721413333333332</v>
      </c>
      <c r="R6" s="171"/>
      <c r="S6" s="171"/>
      <c r="T6" s="166" t="s">
        <v>86</v>
      </c>
    </row>
    <row r="7" spans="1:20" x14ac:dyDescent="0.2">
      <c r="A7" s="214"/>
      <c r="B7" s="167">
        <v>3</v>
      </c>
      <c r="C7" s="172" t="s">
        <v>24</v>
      </c>
      <c r="D7" s="173">
        <v>0.92047006666666675</v>
      </c>
      <c r="E7" s="173">
        <v>0.93768724999999997</v>
      </c>
      <c r="F7" s="171"/>
      <c r="G7" s="171"/>
      <c r="H7" s="171"/>
      <c r="I7" s="171" t="s">
        <v>181</v>
      </c>
      <c r="J7" s="173">
        <v>0.92655619999999994</v>
      </c>
      <c r="K7" s="173">
        <v>0.93893756666666661</v>
      </c>
      <c r="L7" s="171"/>
      <c r="M7" s="171"/>
      <c r="N7" s="171"/>
      <c r="O7" s="171" t="s">
        <v>24</v>
      </c>
      <c r="P7" s="173">
        <v>0.92047006666666675</v>
      </c>
      <c r="Q7" s="173">
        <v>0.93768724999999997</v>
      </c>
      <c r="R7" s="171"/>
      <c r="S7" s="171"/>
      <c r="T7" s="171"/>
    </row>
    <row r="8" spans="1:20" x14ac:dyDescent="0.2">
      <c r="A8" s="214"/>
      <c r="B8" s="167">
        <v>4</v>
      </c>
      <c r="C8" s="167" t="s">
        <v>181</v>
      </c>
      <c r="D8" s="168">
        <v>0.92047006666666675</v>
      </c>
      <c r="E8" s="168">
        <v>0.97427293333333331</v>
      </c>
      <c r="F8" s="166" t="s">
        <v>86</v>
      </c>
      <c r="G8" s="171"/>
      <c r="H8" s="171"/>
      <c r="I8" s="167" t="s">
        <v>181</v>
      </c>
      <c r="J8" s="168">
        <v>0.92655619999999994</v>
      </c>
      <c r="K8" s="168">
        <v>0.97106916666666665</v>
      </c>
      <c r="L8" s="166" t="s">
        <v>86</v>
      </c>
      <c r="M8" s="171"/>
      <c r="N8" s="171"/>
      <c r="O8" s="166" t="s">
        <v>181</v>
      </c>
      <c r="P8" s="168">
        <v>0.92047006666666675</v>
      </c>
      <c r="Q8" s="168">
        <v>0.97427293333333331</v>
      </c>
      <c r="R8" s="166" t="s">
        <v>86</v>
      </c>
      <c r="S8" s="171"/>
      <c r="T8" s="171"/>
    </row>
    <row r="9" spans="1:20" x14ac:dyDescent="0.2">
      <c r="A9" s="214"/>
      <c r="B9" s="167">
        <v>5</v>
      </c>
      <c r="C9" s="172" t="s">
        <v>24</v>
      </c>
      <c r="D9" s="173">
        <v>0.92047006666666675</v>
      </c>
      <c r="E9" s="173" t="s">
        <v>24</v>
      </c>
      <c r="F9" s="171"/>
      <c r="G9" s="171"/>
      <c r="H9" s="171"/>
      <c r="I9" s="167" t="s">
        <v>24</v>
      </c>
      <c r="J9" s="173">
        <v>0.92655619999999994</v>
      </c>
      <c r="K9" s="173">
        <v>1</v>
      </c>
      <c r="L9" s="171"/>
      <c r="M9" s="171"/>
      <c r="N9" s="171"/>
      <c r="O9" s="171" t="s">
        <v>24</v>
      </c>
      <c r="P9" s="173">
        <v>0.92047006666666675</v>
      </c>
      <c r="Q9" s="173" t="s">
        <v>24</v>
      </c>
      <c r="R9" s="171"/>
      <c r="S9" s="171"/>
      <c r="T9" s="171"/>
    </row>
    <row r="10" spans="1:20" x14ac:dyDescent="0.2">
      <c r="A10" s="130"/>
      <c r="B10" s="167"/>
      <c r="C10" s="167"/>
      <c r="D10" s="173"/>
      <c r="E10" s="173"/>
      <c r="F10" s="171"/>
      <c r="G10" s="171"/>
      <c r="H10" s="171"/>
      <c r="I10" s="171"/>
      <c r="J10" s="173"/>
      <c r="K10" s="173"/>
      <c r="L10" s="171"/>
      <c r="M10" s="171"/>
      <c r="N10" s="171"/>
      <c r="O10" s="171"/>
      <c r="P10" s="173"/>
      <c r="Q10" s="173"/>
      <c r="R10" s="171"/>
      <c r="S10" s="171"/>
      <c r="T10" s="171"/>
    </row>
    <row r="11" spans="1:20" x14ac:dyDescent="0.2">
      <c r="A11" s="214" t="s">
        <v>74</v>
      </c>
      <c r="B11" s="167">
        <v>1</v>
      </c>
      <c r="C11" s="167" t="s">
        <v>181</v>
      </c>
      <c r="D11" s="168">
        <v>0.92047006666666675</v>
      </c>
      <c r="E11" s="168">
        <v>0.94922033333333333</v>
      </c>
      <c r="F11" s="166" t="s">
        <v>86</v>
      </c>
      <c r="G11" s="171"/>
      <c r="H11" s="171"/>
      <c r="I11" s="166" t="s">
        <v>181</v>
      </c>
      <c r="J11" s="168">
        <v>0.92655619999999994</v>
      </c>
      <c r="K11" s="168">
        <v>0.95149240000000013</v>
      </c>
      <c r="L11" s="166" t="s">
        <v>86</v>
      </c>
      <c r="M11" s="171"/>
      <c r="N11" s="171"/>
      <c r="O11" s="171" t="s">
        <v>181</v>
      </c>
      <c r="P11" s="173">
        <v>0.92047006666666675</v>
      </c>
      <c r="Q11" s="173">
        <v>0.94748769999999993</v>
      </c>
      <c r="R11" s="171" t="s">
        <v>86</v>
      </c>
      <c r="S11" s="171"/>
      <c r="T11" s="171"/>
    </row>
    <row r="12" spans="1:20" x14ac:dyDescent="0.2">
      <c r="A12" s="214"/>
      <c r="B12" s="167">
        <v>2</v>
      </c>
      <c r="C12" s="167" t="s">
        <v>181</v>
      </c>
      <c r="D12" s="168">
        <v>0.92047006666666675</v>
      </c>
      <c r="E12" s="168">
        <v>0.94601473333333319</v>
      </c>
      <c r="F12" s="166" t="s">
        <v>86</v>
      </c>
      <c r="G12" s="171"/>
      <c r="H12" s="171"/>
      <c r="I12" s="167" t="s">
        <v>181</v>
      </c>
      <c r="J12" s="173">
        <v>0.92655619999999994</v>
      </c>
      <c r="K12" s="173">
        <v>0.94447366666666666</v>
      </c>
      <c r="L12" s="171"/>
      <c r="M12" s="171"/>
      <c r="N12" s="171"/>
      <c r="O12" s="171" t="s">
        <v>181</v>
      </c>
      <c r="P12" s="173">
        <v>0.92047006666666675</v>
      </c>
      <c r="Q12" s="173">
        <v>0.94601473333333319</v>
      </c>
      <c r="R12" s="171" t="s">
        <v>86</v>
      </c>
      <c r="S12" s="171"/>
      <c r="T12" s="171"/>
    </row>
    <row r="13" spans="1:20" x14ac:dyDescent="0.2">
      <c r="A13" s="214"/>
      <c r="B13" s="167">
        <v>3</v>
      </c>
      <c r="C13" s="172" t="s">
        <v>24</v>
      </c>
      <c r="D13" s="173">
        <v>0.92047006666666675</v>
      </c>
      <c r="E13" s="173">
        <v>0.90979325</v>
      </c>
      <c r="F13" s="171"/>
      <c r="G13" s="171"/>
      <c r="H13" s="171"/>
      <c r="I13" s="171" t="s">
        <v>180</v>
      </c>
      <c r="J13" s="173">
        <v>0.92655619999999994</v>
      </c>
      <c r="K13" s="173">
        <v>0.91323209999999999</v>
      </c>
      <c r="L13" s="171"/>
      <c r="M13" s="171"/>
      <c r="N13" s="171"/>
      <c r="O13" s="171" t="s">
        <v>24</v>
      </c>
      <c r="P13" s="173">
        <v>0.92047006666666675</v>
      </c>
      <c r="Q13" s="173">
        <v>0.90979325</v>
      </c>
      <c r="R13" s="171"/>
      <c r="S13" s="171"/>
      <c r="T13" s="171"/>
    </row>
    <row r="14" spans="1:20" x14ac:dyDescent="0.2">
      <c r="A14" s="214"/>
      <c r="B14" s="167">
        <v>4</v>
      </c>
      <c r="C14" s="172" t="s">
        <v>180</v>
      </c>
      <c r="D14" s="173">
        <v>0.92047006666666675</v>
      </c>
      <c r="E14" s="173">
        <v>0.81126533333333339</v>
      </c>
      <c r="F14" s="171"/>
      <c r="G14" s="171"/>
      <c r="H14" s="166" t="s">
        <v>86</v>
      </c>
      <c r="I14" s="171" t="s">
        <v>180</v>
      </c>
      <c r="J14" s="173">
        <v>0.92655619999999994</v>
      </c>
      <c r="K14" s="173">
        <v>0.82014599999999993</v>
      </c>
      <c r="L14" s="171"/>
      <c r="M14" s="171"/>
      <c r="N14" s="166" t="s">
        <v>86</v>
      </c>
      <c r="O14" s="171" t="s">
        <v>180</v>
      </c>
      <c r="P14" s="173">
        <v>0.92047006666666675</v>
      </c>
      <c r="Q14" s="173">
        <v>0.81126533333333339</v>
      </c>
      <c r="R14" s="171"/>
      <c r="S14" s="171"/>
      <c r="T14" s="166" t="s">
        <v>86</v>
      </c>
    </row>
    <row r="15" spans="1:20" x14ac:dyDescent="0.2">
      <c r="A15" s="214"/>
      <c r="B15" s="167">
        <v>5</v>
      </c>
      <c r="C15" s="172" t="s">
        <v>24</v>
      </c>
      <c r="D15" s="173">
        <v>0.92047006666666675</v>
      </c>
      <c r="E15" s="173" t="s">
        <v>24</v>
      </c>
      <c r="F15" s="171"/>
      <c r="G15" s="171"/>
      <c r="H15" s="171"/>
      <c r="I15" s="171"/>
      <c r="J15" s="173">
        <v>0.92655619999999994</v>
      </c>
      <c r="K15" s="173">
        <v>0.72897819999999991</v>
      </c>
      <c r="L15" s="171"/>
      <c r="M15" s="171"/>
      <c r="N15" s="166" t="s">
        <v>86</v>
      </c>
      <c r="O15" s="171" t="s">
        <v>24</v>
      </c>
      <c r="P15" s="173">
        <v>0.92047006666666675</v>
      </c>
      <c r="Q15" s="173">
        <v>0.72623894999999994</v>
      </c>
      <c r="R15" s="171"/>
      <c r="S15" s="171"/>
      <c r="T15" s="171"/>
    </row>
    <row r="16" spans="1:20" ht="17" thickBot="1" x14ac:dyDescent="0.25">
      <c r="A16" s="138"/>
      <c r="B16" s="115"/>
      <c r="C16" s="115"/>
      <c r="D16" s="175"/>
      <c r="E16" s="175"/>
      <c r="F16" s="149"/>
      <c r="G16" s="149"/>
      <c r="H16" s="149"/>
      <c r="I16" s="149"/>
      <c r="J16" s="175"/>
      <c r="K16" s="175"/>
      <c r="L16" s="149"/>
      <c r="M16" s="149"/>
      <c r="N16" s="149"/>
      <c r="O16" s="149"/>
      <c r="P16" s="175"/>
      <c r="Q16" s="175"/>
      <c r="R16" s="149"/>
      <c r="S16" s="149"/>
      <c r="T16" s="149"/>
    </row>
    <row r="17" spans="1:20" x14ac:dyDescent="0.2">
      <c r="A17" s="214" t="s">
        <v>75</v>
      </c>
      <c r="B17" s="167">
        <v>1</v>
      </c>
      <c r="C17" s="172" t="s">
        <v>180</v>
      </c>
      <c r="D17" s="173">
        <v>0.93117130000000004</v>
      </c>
      <c r="E17" s="173">
        <v>0.91595444999999998</v>
      </c>
      <c r="F17" s="171"/>
      <c r="G17" s="171"/>
      <c r="H17" s="171"/>
      <c r="I17" s="171" t="s">
        <v>180</v>
      </c>
      <c r="J17" s="173">
        <v>0.92928423333333343</v>
      </c>
      <c r="K17" s="173">
        <v>0.91542326666666662</v>
      </c>
      <c r="L17" s="171"/>
      <c r="M17" s="171"/>
      <c r="N17" s="171"/>
      <c r="O17" s="171" t="s">
        <v>180</v>
      </c>
      <c r="P17" s="173">
        <v>0.93117130000000004</v>
      </c>
      <c r="Q17" s="173">
        <v>0.91455786666666661</v>
      </c>
      <c r="R17" s="171"/>
      <c r="S17" s="171"/>
      <c r="T17" s="171"/>
    </row>
    <row r="18" spans="1:20" x14ac:dyDescent="0.2">
      <c r="A18" s="214"/>
      <c r="B18" s="167">
        <v>2</v>
      </c>
      <c r="C18" s="172" t="s">
        <v>180</v>
      </c>
      <c r="D18" s="173">
        <v>0.93117130000000004</v>
      </c>
      <c r="E18" s="173">
        <v>0.89369523333333334</v>
      </c>
      <c r="F18" s="171"/>
      <c r="G18" s="171"/>
      <c r="H18" s="166" t="s">
        <v>86</v>
      </c>
      <c r="I18" s="171" t="s">
        <v>180</v>
      </c>
      <c r="J18" s="173">
        <v>0.92928423333333343</v>
      </c>
      <c r="K18" s="173">
        <v>0.64500950000000001</v>
      </c>
      <c r="L18" s="171"/>
      <c r="M18" s="171"/>
      <c r="N18" s="166" t="s">
        <v>86</v>
      </c>
      <c r="O18" s="171" t="s">
        <v>180</v>
      </c>
      <c r="P18" s="173">
        <v>0.93117130000000004</v>
      </c>
      <c r="Q18" s="173">
        <v>0.89369523333333334</v>
      </c>
      <c r="R18" s="171"/>
      <c r="S18" s="171"/>
      <c r="T18" s="166" t="s">
        <v>86</v>
      </c>
    </row>
    <row r="19" spans="1:20" x14ac:dyDescent="0.2">
      <c r="A19" s="214"/>
      <c r="B19" s="167">
        <v>3</v>
      </c>
      <c r="C19" s="172" t="s">
        <v>180</v>
      </c>
      <c r="D19" s="173">
        <v>0.93117130000000004</v>
      </c>
      <c r="E19" s="173">
        <v>0.80396486666666667</v>
      </c>
      <c r="F19" s="171"/>
      <c r="G19" s="171"/>
      <c r="H19" s="171"/>
      <c r="I19" s="171" t="s">
        <v>181</v>
      </c>
      <c r="J19" s="173">
        <v>0.92928423333333343</v>
      </c>
      <c r="K19" s="173">
        <v>0.94733953333333332</v>
      </c>
      <c r="L19" s="171"/>
      <c r="M19" s="171"/>
      <c r="N19" s="171"/>
      <c r="O19" s="171" t="s">
        <v>180</v>
      </c>
      <c r="P19" s="173">
        <v>0.93117130000000004</v>
      </c>
      <c r="Q19" s="173">
        <v>0.80396486666666667</v>
      </c>
      <c r="R19" s="171"/>
      <c r="S19" s="171"/>
      <c r="T19" s="171"/>
    </row>
    <row r="20" spans="1:20" x14ac:dyDescent="0.2">
      <c r="A20" s="214"/>
      <c r="B20" s="167">
        <v>4</v>
      </c>
      <c r="C20" s="167" t="s">
        <v>181</v>
      </c>
      <c r="D20" s="168">
        <v>0.93117130000000004</v>
      </c>
      <c r="E20" s="168">
        <v>0.98435119999999998</v>
      </c>
      <c r="F20" s="166" t="s">
        <v>86</v>
      </c>
      <c r="G20" s="171"/>
      <c r="H20" s="171"/>
      <c r="I20" s="166" t="s">
        <v>181</v>
      </c>
      <c r="J20" s="168">
        <v>0.92928423333333343</v>
      </c>
      <c r="K20" s="168">
        <v>0.98111899999999996</v>
      </c>
      <c r="L20" s="166" t="s">
        <v>86</v>
      </c>
      <c r="M20" s="171"/>
      <c r="N20" s="171"/>
      <c r="O20" s="166" t="s">
        <v>181</v>
      </c>
      <c r="P20" s="168">
        <v>0.93117130000000004</v>
      </c>
      <c r="Q20" s="168">
        <v>0.98435119999999998</v>
      </c>
      <c r="R20" s="166" t="s">
        <v>86</v>
      </c>
      <c r="S20" s="171"/>
      <c r="T20" s="171"/>
    </row>
    <row r="21" spans="1:20" x14ac:dyDescent="0.2">
      <c r="A21" s="214"/>
      <c r="B21" s="167">
        <v>5</v>
      </c>
      <c r="C21" s="172" t="s">
        <v>24</v>
      </c>
      <c r="D21" s="173">
        <v>0.93117130000000004</v>
      </c>
      <c r="E21" s="173" t="s">
        <v>24</v>
      </c>
      <c r="F21" s="171"/>
      <c r="G21" s="171"/>
      <c r="H21" s="171"/>
      <c r="I21" s="171" t="s">
        <v>24</v>
      </c>
      <c r="J21" s="173">
        <v>0.92928423333333343</v>
      </c>
      <c r="K21" s="173">
        <v>1</v>
      </c>
      <c r="L21" s="171"/>
      <c r="M21" s="171"/>
      <c r="N21" s="171"/>
      <c r="O21" s="171" t="s">
        <v>24</v>
      </c>
      <c r="P21" s="173">
        <v>0.93117130000000004</v>
      </c>
      <c r="Q21" s="173" t="s">
        <v>24</v>
      </c>
      <c r="R21" s="171"/>
      <c r="S21" s="171"/>
      <c r="T21" s="171"/>
    </row>
    <row r="22" spans="1:20" x14ac:dyDescent="0.2">
      <c r="A22" s="130"/>
      <c r="B22" s="167"/>
      <c r="C22" s="167"/>
      <c r="D22" s="173"/>
      <c r="E22" s="173"/>
      <c r="F22" s="171"/>
      <c r="G22" s="171"/>
      <c r="H22" s="171"/>
      <c r="I22" s="171"/>
      <c r="J22" s="173"/>
      <c r="K22" s="173"/>
      <c r="L22" s="171"/>
      <c r="M22" s="171"/>
      <c r="N22" s="171"/>
      <c r="O22" s="171"/>
      <c r="P22" s="173"/>
      <c r="Q22" s="173"/>
      <c r="R22" s="171"/>
      <c r="S22" s="171"/>
      <c r="T22" s="171"/>
    </row>
    <row r="23" spans="1:20" x14ac:dyDescent="0.2">
      <c r="A23" s="214" t="s">
        <v>76</v>
      </c>
      <c r="B23" s="167">
        <v>1</v>
      </c>
      <c r="C23" s="167" t="s">
        <v>181</v>
      </c>
      <c r="D23" s="168">
        <v>0.93117130000000004</v>
      </c>
      <c r="E23" s="168">
        <v>0.95281913333333323</v>
      </c>
      <c r="F23" s="166" t="s">
        <v>86</v>
      </c>
      <c r="G23" s="171"/>
      <c r="H23" s="171"/>
      <c r="I23" s="171" t="s">
        <v>181</v>
      </c>
      <c r="J23" s="173">
        <v>0.92928423333333343</v>
      </c>
      <c r="K23" s="173">
        <v>0.95503286666666654</v>
      </c>
      <c r="L23" s="166" t="s">
        <v>86</v>
      </c>
      <c r="M23" s="171"/>
      <c r="N23" s="171"/>
      <c r="O23" s="166" t="s">
        <v>181</v>
      </c>
      <c r="P23" s="168">
        <v>0.93117130000000004</v>
      </c>
      <c r="Q23" s="168">
        <v>0.95281913333333323</v>
      </c>
      <c r="R23" s="166" t="s">
        <v>86</v>
      </c>
      <c r="S23" s="171"/>
      <c r="T23" s="171"/>
    </row>
    <row r="24" spans="1:20" x14ac:dyDescent="0.2">
      <c r="A24" s="214"/>
      <c r="B24" s="167">
        <v>2</v>
      </c>
      <c r="C24" s="172" t="s">
        <v>181</v>
      </c>
      <c r="D24" s="173">
        <v>0.93117130000000004</v>
      </c>
      <c r="E24" s="173">
        <v>0.9487287333333333</v>
      </c>
      <c r="F24" s="171"/>
      <c r="G24" s="171"/>
      <c r="H24" s="171"/>
      <c r="I24" s="171" t="s">
        <v>181</v>
      </c>
      <c r="J24" s="173">
        <v>0.92928423333333343</v>
      </c>
      <c r="K24" s="173">
        <v>0.94658419999999988</v>
      </c>
      <c r="L24" s="171"/>
      <c r="M24" s="171"/>
      <c r="N24" s="171"/>
      <c r="O24" s="171" t="s">
        <v>196</v>
      </c>
      <c r="P24" s="173">
        <v>0.93117130000000004</v>
      </c>
      <c r="Q24" s="173">
        <v>0.94872896666666662</v>
      </c>
      <c r="R24" s="171"/>
      <c r="S24" s="171"/>
      <c r="T24" s="171"/>
    </row>
    <row r="25" spans="1:20" x14ac:dyDescent="0.2">
      <c r="A25" s="214"/>
      <c r="B25" s="167">
        <v>3</v>
      </c>
      <c r="C25" s="172" t="s">
        <v>180</v>
      </c>
      <c r="D25" s="173">
        <v>0.93117130000000004</v>
      </c>
      <c r="E25" s="173">
        <v>0.6116792086666667</v>
      </c>
      <c r="F25" s="171"/>
      <c r="G25" s="171"/>
      <c r="H25" s="171"/>
      <c r="I25" s="171" t="s">
        <v>180</v>
      </c>
      <c r="J25" s="173">
        <v>0.92928423333333343</v>
      </c>
      <c r="K25" s="173">
        <v>0.91781199999999996</v>
      </c>
      <c r="L25" s="171"/>
      <c r="M25" s="171"/>
      <c r="N25" s="171"/>
      <c r="O25" s="171" t="s">
        <v>180</v>
      </c>
      <c r="P25" s="173">
        <v>0.93117130000000004</v>
      </c>
      <c r="Q25" s="173">
        <v>0.6116792086666667</v>
      </c>
      <c r="R25" s="171"/>
      <c r="S25" s="171"/>
      <c r="T25" s="171"/>
    </row>
    <row r="26" spans="1:20" x14ac:dyDescent="0.2">
      <c r="A26" s="214"/>
      <c r="B26" s="167">
        <v>4</v>
      </c>
      <c r="C26" s="172" t="s">
        <v>180</v>
      </c>
      <c r="D26" s="173">
        <v>0.93117130000000004</v>
      </c>
      <c r="E26" s="173">
        <v>0.81808643333333331</v>
      </c>
      <c r="F26" s="171"/>
      <c r="G26" s="171"/>
      <c r="H26" s="166" t="s">
        <v>86</v>
      </c>
      <c r="I26" s="171" t="s">
        <v>180</v>
      </c>
      <c r="J26" s="173">
        <v>0.92928423333333343</v>
      </c>
      <c r="K26" s="173">
        <v>0.82408343333333323</v>
      </c>
      <c r="L26" s="171"/>
      <c r="M26" s="171"/>
      <c r="N26" s="166" t="s">
        <v>86</v>
      </c>
      <c r="O26" s="171" t="s">
        <v>180</v>
      </c>
      <c r="P26" s="173">
        <v>0.93117130000000004</v>
      </c>
      <c r="Q26" s="173">
        <v>0.81808643333333331</v>
      </c>
      <c r="R26" s="171"/>
      <c r="S26" s="171"/>
      <c r="T26" s="166" t="s">
        <v>86</v>
      </c>
    </row>
    <row r="27" spans="1:20" x14ac:dyDescent="0.2">
      <c r="A27" s="214"/>
      <c r="B27" s="167">
        <v>5</v>
      </c>
      <c r="C27" s="172" t="s">
        <v>180</v>
      </c>
      <c r="D27" s="173">
        <v>0.93117130000000004</v>
      </c>
      <c r="E27" s="173">
        <v>0.64990309999999996</v>
      </c>
      <c r="F27" s="171"/>
      <c r="G27" s="171"/>
      <c r="H27" s="166" t="s">
        <v>86</v>
      </c>
      <c r="I27" s="171" t="s">
        <v>180</v>
      </c>
      <c r="J27" s="173">
        <v>0.92928423333333343</v>
      </c>
      <c r="K27" s="173">
        <v>0.75428449999999991</v>
      </c>
      <c r="L27" s="171"/>
      <c r="M27" s="171"/>
      <c r="N27" s="166" t="s">
        <v>86</v>
      </c>
      <c r="O27" s="171" t="s">
        <v>180</v>
      </c>
      <c r="P27" s="173">
        <v>0.93117130000000004</v>
      </c>
      <c r="Q27" s="173">
        <v>0.64990309999999996</v>
      </c>
      <c r="R27" s="171"/>
      <c r="S27" s="171"/>
      <c r="T27" s="166" t="s">
        <v>86</v>
      </c>
    </row>
    <row r="28" spans="1:20" ht="17" thickBot="1" x14ac:dyDescent="0.25">
      <c r="A28" s="138"/>
      <c r="B28" s="115"/>
      <c r="C28" s="115"/>
      <c r="D28" s="175"/>
      <c r="E28" s="175"/>
      <c r="F28" s="149"/>
      <c r="G28" s="149"/>
      <c r="H28" s="149"/>
      <c r="I28" s="149"/>
      <c r="J28" s="175"/>
      <c r="K28" s="175"/>
      <c r="L28" s="149"/>
      <c r="M28" s="149"/>
      <c r="N28" s="149"/>
      <c r="O28" s="149"/>
      <c r="P28" s="175"/>
      <c r="Q28" s="175"/>
      <c r="R28" s="149"/>
      <c r="S28" s="149"/>
      <c r="T28" s="149"/>
    </row>
    <row r="29" spans="1:20" x14ac:dyDescent="0.2">
      <c r="A29" s="214" t="s">
        <v>77</v>
      </c>
      <c r="B29" s="167">
        <v>1</v>
      </c>
      <c r="C29" s="167" t="s">
        <v>181</v>
      </c>
      <c r="D29" s="173">
        <v>0.49134406666666669</v>
      </c>
      <c r="E29" s="173">
        <v>0.88281300000000007</v>
      </c>
      <c r="F29" s="166" t="s">
        <v>86</v>
      </c>
      <c r="G29" s="171"/>
      <c r="H29" s="171"/>
      <c r="I29" s="166" t="s">
        <v>181</v>
      </c>
      <c r="J29" s="168">
        <v>0.60204993333333323</v>
      </c>
      <c r="K29" s="168">
        <v>0.86441653333333335</v>
      </c>
      <c r="L29" s="166" t="s">
        <v>86</v>
      </c>
      <c r="M29" s="171"/>
      <c r="N29" s="171"/>
      <c r="O29" s="166" t="s">
        <v>181</v>
      </c>
      <c r="P29" s="168">
        <v>0.49134406666666669</v>
      </c>
      <c r="Q29" s="168">
        <v>0.88281300000000007</v>
      </c>
      <c r="R29" s="166" t="s">
        <v>86</v>
      </c>
      <c r="S29" s="171"/>
      <c r="T29" s="171"/>
    </row>
    <row r="30" spans="1:20" x14ac:dyDescent="0.2">
      <c r="A30" s="214"/>
      <c r="B30" s="167">
        <v>2</v>
      </c>
      <c r="C30" s="172" t="s">
        <v>182</v>
      </c>
      <c r="D30" s="173">
        <v>0.49134406666666669</v>
      </c>
      <c r="E30" s="173">
        <v>0.63796449999999993</v>
      </c>
      <c r="F30" s="171"/>
      <c r="G30" s="171"/>
      <c r="H30" s="171"/>
      <c r="I30" s="171" t="s">
        <v>180</v>
      </c>
      <c r="J30" s="173">
        <v>0.60204993333333323</v>
      </c>
      <c r="K30" s="173">
        <v>0.46832913333333331</v>
      </c>
      <c r="L30" s="171"/>
      <c r="M30" s="171"/>
      <c r="N30" s="171"/>
      <c r="O30" s="171" t="s">
        <v>182</v>
      </c>
      <c r="P30" s="173">
        <v>0.49134406666666669</v>
      </c>
      <c r="Q30" s="173">
        <v>0.63796449999999993</v>
      </c>
      <c r="R30" s="171"/>
      <c r="S30" s="171"/>
      <c r="T30" s="171"/>
    </row>
    <row r="31" spans="1:20" x14ac:dyDescent="0.2">
      <c r="A31" s="214"/>
      <c r="B31" s="167">
        <v>3</v>
      </c>
      <c r="C31" s="167" t="s">
        <v>181</v>
      </c>
      <c r="D31" s="168">
        <v>0.49134406666666669</v>
      </c>
      <c r="E31" s="168">
        <v>0.68267623333333338</v>
      </c>
      <c r="F31" s="166" t="s">
        <v>86</v>
      </c>
      <c r="G31" s="171"/>
      <c r="H31" s="171"/>
      <c r="I31" s="166" t="s">
        <v>181</v>
      </c>
      <c r="J31" s="168">
        <v>0.60204993333333323</v>
      </c>
      <c r="K31" s="168">
        <v>0.85583799999999999</v>
      </c>
      <c r="L31" s="166" t="s">
        <v>86</v>
      </c>
      <c r="M31" s="171"/>
      <c r="N31" s="171"/>
      <c r="O31" s="166" t="s">
        <v>181</v>
      </c>
      <c r="P31" s="168">
        <v>0.49134406666666669</v>
      </c>
      <c r="Q31" s="168">
        <v>0.68267623333333338</v>
      </c>
      <c r="R31" s="166" t="s">
        <v>86</v>
      </c>
      <c r="S31" s="171"/>
      <c r="T31" s="171"/>
    </row>
    <row r="32" spans="1:20" x14ac:dyDescent="0.2">
      <c r="A32" s="214"/>
      <c r="B32" s="167">
        <v>4</v>
      </c>
      <c r="C32" s="167" t="s">
        <v>181</v>
      </c>
      <c r="D32" s="168">
        <v>0.49134406666666669</v>
      </c>
      <c r="E32" s="168">
        <v>0.95420169999999993</v>
      </c>
      <c r="F32" s="166" t="s">
        <v>86</v>
      </c>
      <c r="G32" s="171"/>
      <c r="H32" s="171"/>
      <c r="I32" s="166" t="s">
        <v>181</v>
      </c>
      <c r="J32" s="168">
        <v>0.60204993333333323</v>
      </c>
      <c r="K32" s="168">
        <v>0.86160643333333331</v>
      </c>
      <c r="L32" s="166" t="s">
        <v>86</v>
      </c>
      <c r="M32" s="171"/>
      <c r="N32" s="171"/>
      <c r="O32" s="166" t="s">
        <v>181</v>
      </c>
      <c r="P32" s="168">
        <v>0.49134406666666669</v>
      </c>
      <c r="Q32" s="168">
        <v>0.95420169999999993</v>
      </c>
      <c r="R32" s="166" t="s">
        <v>86</v>
      </c>
      <c r="S32" s="171"/>
      <c r="T32" s="171"/>
    </row>
    <row r="33" spans="1:20" x14ac:dyDescent="0.2">
      <c r="A33" s="214"/>
      <c r="B33" s="167">
        <v>5</v>
      </c>
      <c r="C33" s="172" t="s">
        <v>24</v>
      </c>
      <c r="D33" s="173">
        <v>0.49134406666666669</v>
      </c>
      <c r="E33" s="173" t="s">
        <v>24</v>
      </c>
      <c r="F33" s="171"/>
      <c r="G33" s="171"/>
      <c r="H33" s="171"/>
      <c r="I33" s="166" t="s">
        <v>181</v>
      </c>
      <c r="J33" s="168">
        <v>0.60204993333333323</v>
      </c>
      <c r="K33" s="168">
        <v>0.99761903333333335</v>
      </c>
      <c r="L33" s="166" t="s">
        <v>86</v>
      </c>
      <c r="M33" s="171"/>
      <c r="N33" s="171"/>
      <c r="O33" s="171" t="s">
        <v>24</v>
      </c>
      <c r="P33" s="173">
        <v>0.49134406666666669</v>
      </c>
      <c r="Q33" s="173" t="s">
        <v>24</v>
      </c>
      <c r="R33" s="171"/>
      <c r="S33" s="171"/>
      <c r="T33" s="171"/>
    </row>
    <row r="34" spans="1:20" x14ac:dyDescent="0.2">
      <c r="A34" s="130"/>
      <c r="B34" s="167"/>
      <c r="C34" s="167"/>
      <c r="D34" s="173"/>
      <c r="E34" s="173"/>
      <c r="F34" s="171"/>
      <c r="G34" s="171"/>
      <c r="H34" s="171"/>
      <c r="I34" s="171"/>
      <c r="J34" s="173"/>
      <c r="K34" s="173"/>
      <c r="L34" s="171"/>
      <c r="M34" s="171"/>
      <c r="N34" s="171"/>
      <c r="O34" s="171"/>
      <c r="P34" s="173"/>
      <c r="Q34" s="173"/>
      <c r="R34" s="171"/>
      <c r="S34" s="171"/>
      <c r="T34" s="171"/>
    </row>
    <row r="35" spans="1:20" x14ac:dyDescent="0.2">
      <c r="A35" s="214" t="s">
        <v>78</v>
      </c>
      <c r="B35" s="167">
        <v>1</v>
      </c>
      <c r="C35" s="172" t="s">
        <v>181</v>
      </c>
      <c r="D35" s="173">
        <v>0.49134406666666669</v>
      </c>
      <c r="E35" s="173">
        <v>0.61454503333333332</v>
      </c>
      <c r="F35" s="171"/>
      <c r="G35" s="171"/>
      <c r="H35" s="171"/>
      <c r="I35" s="171" t="s">
        <v>180</v>
      </c>
      <c r="J35" s="173">
        <v>0.60204993333333323</v>
      </c>
      <c r="K35" s="173">
        <v>0.57217133333333337</v>
      </c>
      <c r="L35" s="171"/>
      <c r="M35" s="171"/>
      <c r="N35" s="171"/>
      <c r="O35" s="171" t="s">
        <v>182</v>
      </c>
      <c r="P35" s="173">
        <v>0.49134406666666669</v>
      </c>
      <c r="Q35" s="173">
        <v>0.61454503333333332</v>
      </c>
      <c r="R35" s="171"/>
      <c r="S35" s="171"/>
      <c r="T35" s="171"/>
    </row>
    <row r="36" spans="1:20" x14ac:dyDescent="0.2">
      <c r="A36" s="214"/>
      <c r="B36" s="167">
        <v>2</v>
      </c>
      <c r="C36" s="172" t="s">
        <v>182</v>
      </c>
      <c r="D36" s="173">
        <v>0.49134406666666669</v>
      </c>
      <c r="E36" s="173">
        <v>0.74693923333333334</v>
      </c>
      <c r="F36" s="171"/>
      <c r="G36" s="171"/>
      <c r="H36" s="171"/>
      <c r="I36" s="171" t="s">
        <v>180</v>
      </c>
      <c r="J36" s="173">
        <v>0.60204993333333323</v>
      </c>
      <c r="K36" s="173">
        <v>0.74611630000000007</v>
      </c>
      <c r="L36" s="171"/>
      <c r="M36" s="171"/>
      <c r="N36" s="171"/>
      <c r="O36" s="171" t="s">
        <v>182</v>
      </c>
      <c r="P36" s="173">
        <v>0.49134406666666669</v>
      </c>
      <c r="Q36" s="173">
        <v>0.74693923333333334</v>
      </c>
      <c r="R36" s="171"/>
      <c r="S36" s="171"/>
      <c r="T36" s="171"/>
    </row>
    <row r="37" spans="1:20" x14ac:dyDescent="0.2">
      <c r="A37" s="214"/>
      <c r="B37" s="167">
        <v>3</v>
      </c>
      <c r="C37" s="172" t="s">
        <v>182</v>
      </c>
      <c r="D37" s="173">
        <v>0.49134406666666669</v>
      </c>
      <c r="E37" s="173">
        <v>0.66859020000000002</v>
      </c>
      <c r="F37" s="171"/>
      <c r="G37" s="171"/>
      <c r="H37" s="171"/>
      <c r="I37" s="166" t="s">
        <v>181</v>
      </c>
      <c r="J37" s="168">
        <v>0.60204993333333323</v>
      </c>
      <c r="K37" s="168">
        <v>0.87563000000000002</v>
      </c>
      <c r="L37" s="166" t="s">
        <v>86</v>
      </c>
      <c r="M37" s="171"/>
      <c r="N37" s="171"/>
      <c r="O37" s="171" t="s">
        <v>182</v>
      </c>
      <c r="P37" s="173">
        <v>0.49134406666666669</v>
      </c>
      <c r="Q37" s="173">
        <v>0.66859020000000002</v>
      </c>
      <c r="R37" s="171"/>
      <c r="S37" s="171"/>
      <c r="T37" s="171"/>
    </row>
    <row r="38" spans="1:20" x14ac:dyDescent="0.2">
      <c r="A38" s="214"/>
      <c r="B38" s="167">
        <v>4</v>
      </c>
      <c r="C38" s="167" t="s">
        <v>181</v>
      </c>
      <c r="D38" s="168">
        <v>0.49134406666666669</v>
      </c>
      <c r="E38" s="168">
        <v>0.78283263333333331</v>
      </c>
      <c r="F38" s="166" t="s">
        <v>86</v>
      </c>
      <c r="G38" s="171"/>
      <c r="H38" s="171"/>
      <c r="I38" s="166" t="s">
        <v>181</v>
      </c>
      <c r="J38" s="168">
        <v>0.60204993333333323</v>
      </c>
      <c r="K38" s="168">
        <v>0.78755686666666669</v>
      </c>
      <c r="L38" s="166" t="s">
        <v>86</v>
      </c>
      <c r="M38" s="171"/>
      <c r="N38" s="171"/>
      <c r="O38" s="171" t="s">
        <v>181</v>
      </c>
      <c r="P38" s="173">
        <v>0.49134406666666669</v>
      </c>
      <c r="Q38" s="173">
        <v>0.78283263333333331</v>
      </c>
      <c r="R38" s="171" t="s">
        <v>86</v>
      </c>
      <c r="S38" s="171"/>
      <c r="T38" s="171"/>
    </row>
    <row r="39" spans="1:20" x14ac:dyDescent="0.2">
      <c r="A39" s="214"/>
      <c r="B39" s="167">
        <v>5</v>
      </c>
      <c r="C39" s="172" t="s">
        <v>182</v>
      </c>
      <c r="D39" s="173">
        <v>0.49134406666666669</v>
      </c>
      <c r="E39" s="173">
        <v>0.66814529999999994</v>
      </c>
      <c r="F39" s="171"/>
      <c r="G39" s="171"/>
      <c r="H39" s="171"/>
      <c r="I39" s="166" t="s">
        <v>181</v>
      </c>
      <c r="J39" s="168">
        <v>0.60204993333333323</v>
      </c>
      <c r="K39" s="168">
        <v>0.74020443333333341</v>
      </c>
      <c r="L39" s="166" t="s">
        <v>86</v>
      </c>
      <c r="M39" s="171"/>
      <c r="N39" s="171"/>
      <c r="O39" s="171" t="s">
        <v>24</v>
      </c>
      <c r="P39" s="173">
        <v>0.49134406666666669</v>
      </c>
      <c r="Q39" s="173">
        <v>0.66814529999999994</v>
      </c>
      <c r="R39" s="171"/>
      <c r="S39" s="171"/>
      <c r="T39" s="171"/>
    </row>
    <row r="40" spans="1:20" ht="17" thickBot="1" x14ac:dyDescent="0.25">
      <c r="A40" s="138"/>
      <c r="B40" s="115"/>
      <c r="C40" s="115"/>
      <c r="D40" s="175"/>
      <c r="E40" s="175"/>
      <c r="F40" s="149"/>
      <c r="G40" s="149"/>
      <c r="H40" s="149"/>
      <c r="I40" s="149"/>
      <c r="J40" s="175"/>
      <c r="K40" s="175"/>
      <c r="L40" s="149"/>
      <c r="M40" s="149"/>
      <c r="N40" s="149"/>
      <c r="O40" s="149"/>
      <c r="P40" s="175"/>
      <c r="Q40" s="175"/>
      <c r="R40" s="149"/>
      <c r="S40" s="149"/>
      <c r="T40" s="149"/>
    </row>
    <row r="41" spans="1:20" x14ac:dyDescent="0.2">
      <c r="A41" s="214" t="s">
        <v>79</v>
      </c>
      <c r="B41" s="167">
        <v>1</v>
      </c>
      <c r="C41" s="172" t="s">
        <v>195</v>
      </c>
      <c r="D41" s="173">
        <v>0.92624146666666674</v>
      </c>
      <c r="E41" s="173">
        <v>0.92620000000000002</v>
      </c>
      <c r="F41" s="171"/>
      <c r="G41" s="171"/>
      <c r="H41" s="171"/>
      <c r="I41" s="171" t="s">
        <v>180</v>
      </c>
      <c r="J41" s="173">
        <v>0.92687190000000008</v>
      </c>
      <c r="K41" s="173">
        <v>0.91006506666666664</v>
      </c>
      <c r="L41" s="171"/>
      <c r="M41" s="171"/>
      <c r="N41" s="171"/>
      <c r="O41" s="171" t="s">
        <v>180</v>
      </c>
      <c r="P41" s="173">
        <v>0.92624146666666674</v>
      </c>
      <c r="Q41" s="173">
        <v>0.9092901000000001</v>
      </c>
      <c r="R41" s="171"/>
      <c r="S41" s="171"/>
      <c r="T41" s="171"/>
    </row>
    <row r="42" spans="1:20" x14ac:dyDescent="0.2">
      <c r="A42" s="214"/>
      <c r="B42" s="167">
        <v>2</v>
      </c>
      <c r="C42" s="172" t="s">
        <v>180</v>
      </c>
      <c r="D42" s="173">
        <v>0.92624146666666674</v>
      </c>
      <c r="E42" s="173">
        <v>0.92620000000000002</v>
      </c>
      <c r="F42" s="171"/>
      <c r="G42" s="171"/>
      <c r="H42" s="166" t="s">
        <v>86</v>
      </c>
      <c r="I42" s="171" t="s">
        <v>180</v>
      </c>
      <c r="J42" s="173">
        <v>0.92687190000000008</v>
      </c>
      <c r="K42" s="173">
        <v>0.9004721</v>
      </c>
      <c r="L42" s="171"/>
      <c r="M42" s="171"/>
      <c r="N42" s="166" t="s">
        <v>86</v>
      </c>
      <c r="O42" s="171" t="s">
        <v>180</v>
      </c>
      <c r="P42" s="173">
        <v>0.92624146666666674</v>
      </c>
      <c r="Q42" s="173">
        <v>0.88845933333333338</v>
      </c>
      <c r="R42" s="171"/>
      <c r="S42" s="171"/>
      <c r="T42" s="166" t="s">
        <v>86</v>
      </c>
    </row>
    <row r="43" spans="1:20" x14ac:dyDescent="0.2">
      <c r="A43" s="214"/>
      <c r="B43" s="167">
        <v>3</v>
      </c>
      <c r="C43" s="172" t="s">
        <v>180</v>
      </c>
      <c r="D43" s="173">
        <v>0.92624146666666674</v>
      </c>
      <c r="E43" s="173">
        <v>0.92620000000000002</v>
      </c>
      <c r="F43" s="171"/>
      <c r="G43" s="171"/>
      <c r="H43" s="166" t="s">
        <v>86</v>
      </c>
      <c r="I43" s="171" t="s">
        <v>180</v>
      </c>
      <c r="J43" s="173">
        <v>0.92687190000000008</v>
      </c>
      <c r="K43" s="173">
        <v>0.9449112999999999</v>
      </c>
      <c r="L43" s="171"/>
      <c r="M43" s="171"/>
      <c r="N43" s="166" t="s">
        <v>86</v>
      </c>
      <c r="O43" s="171" t="s">
        <v>180</v>
      </c>
      <c r="P43" s="173">
        <v>0.92624146666666674</v>
      </c>
      <c r="Q43" s="173">
        <v>0.94528470000000009</v>
      </c>
      <c r="R43" s="171"/>
      <c r="S43" s="171"/>
      <c r="T43" s="166" t="s">
        <v>86</v>
      </c>
    </row>
    <row r="44" spans="1:20" x14ac:dyDescent="0.2">
      <c r="A44" s="214"/>
      <c r="B44" s="167">
        <v>4</v>
      </c>
      <c r="C44" s="167" t="s">
        <v>181</v>
      </c>
      <c r="D44" s="168">
        <v>0.92624146666666674</v>
      </c>
      <c r="E44" s="168">
        <v>0.9799331</v>
      </c>
      <c r="F44" s="166" t="s">
        <v>86</v>
      </c>
      <c r="G44" s="171"/>
      <c r="H44" s="171"/>
      <c r="I44" s="171" t="s">
        <v>181</v>
      </c>
      <c r="J44" s="173">
        <v>0.92687190000000008</v>
      </c>
      <c r="K44" s="173">
        <v>0.98364773333333344</v>
      </c>
      <c r="L44" s="166" t="s">
        <v>86</v>
      </c>
      <c r="M44" s="171"/>
      <c r="N44" s="171"/>
      <c r="O44" s="171" t="s">
        <v>181</v>
      </c>
      <c r="P44" s="173">
        <v>0.92624146666666674</v>
      </c>
      <c r="Q44" s="173">
        <v>0.98658833333333329</v>
      </c>
      <c r="R44" s="166" t="s">
        <v>86</v>
      </c>
      <c r="S44" s="171"/>
      <c r="T44" s="171"/>
    </row>
    <row r="45" spans="1:20" x14ac:dyDescent="0.2">
      <c r="A45" s="214"/>
      <c r="B45" s="167">
        <v>5</v>
      </c>
      <c r="C45" s="167" t="s">
        <v>24</v>
      </c>
      <c r="D45" s="173">
        <v>0.92624146666666674</v>
      </c>
      <c r="E45" s="173" t="s">
        <v>24</v>
      </c>
      <c r="F45" s="171"/>
      <c r="G45" s="171"/>
      <c r="H45" s="171"/>
      <c r="I45" s="171" t="s">
        <v>180</v>
      </c>
      <c r="J45" s="173">
        <v>0.92687190000000008</v>
      </c>
      <c r="K45" s="173">
        <v>1</v>
      </c>
      <c r="L45" s="171"/>
      <c r="M45" s="171"/>
      <c r="N45" s="171"/>
      <c r="O45" s="171" t="s">
        <v>24</v>
      </c>
      <c r="P45" s="173">
        <v>0.92624146666666674</v>
      </c>
      <c r="Q45" s="173" t="s">
        <v>24</v>
      </c>
      <c r="R45" s="171"/>
      <c r="S45" s="171"/>
      <c r="T45" s="171"/>
    </row>
    <row r="46" spans="1:20" x14ac:dyDescent="0.2">
      <c r="A46" s="130"/>
      <c r="B46" s="167"/>
      <c r="C46" s="167"/>
      <c r="D46" s="173"/>
      <c r="E46" s="173"/>
      <c r="F46" s="171"/>
      <c r="G46" s="171"/>
      <c r="H46" s="171"/>
      <c r="I46" s="171"/>
      <c r="J46" s="173"/>
      <c r="K46" s="173"/>
      <c r="L46" s="171"/>
      <c r="M46" s="171"/>
      <c r="N46" s="171"/>
      <c r="O46" s="171"/>
      <c r="P46" s="173"/>
      <c r="Q46" s="173"/>
      <c r="R46" s="171"/>
      <c r="S46" s="171"/>
      <c r="T46" s="171"/>
    </row>
    <row r="47" spans="1:20" x14ac:dyDescent="0.2">
      <c r="A47" s="214" t="s">
        <v>80</v>
      </c>
      <c r="B47" s="167">
        <v>1</v>
      </c>
      <c r="C47" s="167" t="s">
        <v>181</v>
      </c>
      <c r="D47" s="168">
        <v>0.92624146666666674</v>
      </c>
      <c r="E47" s="168">
        <v>0.94908703333333333</v>
      </c>
      <c r="F47" s="166" t="s">
        <v>86</v>
      </c>
      <c r="G47" s="171"/>
      <c r="H47" s="171"/>
      <c r="I47" s="171" t="s">
        <v>181</v>
      </c>
      <c r="J47" s="173">
        <v>0.92687190000000008</v>
      </c>
      <c r="K47" s="173">
        <v>0.95326346666666673</v>
      </c>
      <c r="L47" s="166" t="s">
        <v>86</v>
      </c>
      <c r="M47" s="171"/>
      <c r="N47" s="171"/>
      <c r="O47" s="171" t="s">
        <v>181</v>
      </c>
      <c r="P47" s="173">
        <v>0.92624146666666674</v>
      </c>
      <c r="Q47" s="173">
        <v>0.94908703333333333</v>
      </c>
      <c r="R47" s="166" t="s">
        <v>86</v>
      </c>
      <c r="S47" s="171"/>
      <c r="T47" s="171"/>
    </row>
    <row r="48" spans="1:20" x14ac:dyDescent="0.2">
      <c r="A48" s="214"/>
      <c r="B48" s="167">
        <v>2</v>
      </c>
      <c r="C48" s="167" t="s">
        <v>181</v>
      </c>
      <c r="D48" s="168">
        <v>0.92624146666666674</v>
      </c>
      <c r="E48" s="168">
        <v>0.94929963333333334</v>
      </c>
      <c r="F48" s="166" t="s">
        <v>86</v>
      </c>
      <c r="G48" s="171"/>
      <c r="H48" s="171"/>
      <c r="I48" s="171" t="s">
        <v>181</v>
      </c>
      <c r="J48" s="173">
        <v>0.92687190000000008</v>
      </c>
      <c r="K48" s="173">
        <v>0.94658409999999993</v>
      </c>
      <c r="L48" s="166" t="s">
        <v>86</v>
      </c>
      <c r="M48" s="171"/>
      <c r="N48" s="171"/>
      <c r="O48" s="171" t="s">
        <v>181</v>
      </c>
      <c r="P48" s="173">
        <v>0.92624146666666674</v>
      </c>
      <c r="Q48" s="173">
        <v>0.94929963333333334</v>
      </c>
      <c r="R48" s="166" t="s">
        <v>86</v>
      </c>
      <c r="S48" s="171"/>
      <c r="T48" s="171"/>
    </row>
    <row r="49" spans="1:20" x14ac:dyDescent="0.2">
      <c r="A49" s="214"/>
      <c r="B49" s="167">
        <v>3</v>
      </c>
      <c r="C49" s="167" t="s">
        <v>181</v>
      </c>
      <c r="D49" s="168">
        <v>0.92624146666666674</v>
      </c>
      <c r="E49" s="168">
        <v>0.91198009999999996</v>
      </c>
      <c r="F49" s="166" t="s">
        <v>86</v>
      </c>
      <c r="G49" s="171"/>
      <c r="H49" s="171"/>
      <c r="I49" s="171" t="s">
        <v>181</v>
      </c>
      <c r="J49" s="173">
        <v>0.92687190000000008</v>
      </c>
      <c r="K49" s="173">
        <v>0.91660643333333336</v>
      </c>
      <c r="L49" s="166" t="s">
        <v>86</v>
      </c>
      <c r="M49" s="171"/>
      <c r="N49" s="171"/>
      <c r="O49" s="171" t="s">
        <v>181</v>
      </c>
      <c r="P49" s="173">
        <v>0.92624146666666674</v>
      </c>
      <c r="Q49" s="173">
        <v>0.91198009999999996</v>
      </c>
      <c r="R49" s="166" t="s">
        <v>86</v>
      </c>
      <c r="S49" s="171"/>
      <c r="T49" s="171"/>
    </row>
    <row r="50" spans="1:20" x14ac:dyDescent="0.2">
      <c r="A50" s="214"/>
      <c r="B50" s="167">
        <v>4</v>
      </c>
      <c r="C50" s="172" t="s">
        <v>180</v>
      </c>
      <c r="D50" s="173">
        <v>0.92624146666666674</v>
      </c>
      <c r="E50" s="173">
        <v>0.81807866666666662</v>
      </c>
      <c r="F50" s="171"/>
      <c r="G50" s="171"/>
      <c r="H50" s="166" t="s">
        <v>86</v>
      </c>
      <c r="I50" s="171" t="s">
        <v>180</v>
      </c>
      <c r="J50" s="173">
        <v>0.92687190000000008</v>
      </c>
      <c r="K50" s="173">
        <v>0.82657876666666663</v>
      </c>
      <c r="L50" s="171"/>
      <c r="M50" s="171"/>
      <c r="N50" s="166" t="s">
        <v>86</v>
      </c>
      <c r="O50" s="171" t="s">
        <v>180</v>
      </c>
      <c r="P50" s="173">
        <v>0.92624146666666674</v>
      </c>
      <c r="Q50" s="173">
        <v>0.81807866666666662</v>
      </c>
      <c r="R50" s="171"/>
      <c r="S50" s="171"/>
      <c r="T50" s="166" t="s">
        <v>86</v>
      </c>
    </row>
    <row r="51" spans="1:20" x14ac:dyDescent="0.2">
      <c r="A51" s="214"/>
      <c r="B51" s="167">
        <v>5</v>
      </c>
      <c r="C51" s="172" t="s">
        <v>180</v>
      </c>
      <c r="D51" s="173">
        <v>0.92624146666666674</v>
      </c>
      <c r="E51" s="173">
        <v>0.73643639999999999</v>
      </c>
      <c r="F51" s="171"/>
      <c r="G51" s="171"/>
      <c r="H51" s="171"/>
      <c r="I51" s="171" t="s">
        <v>180</v>
      </c>
      <c r="J51" s="173">
        <v>0.92687190000000008</v>
      </c>
      <c r="K51" s="173">
        <v>0.61677183333333341</v>
      </c>
      <c r="L51" s="171"/>
      <c r="M51" s="171"/>
      <c r="N51" s="166" t="s">
        <v>86</v>
      </c>
      <c r="O51" s="171" t="s">
        <v>180</v>
      </c>
      <c r="P51" s="173">
        <v>0.92624146666666674</v>
      </c>
      <c r="Q51" s="173">
        <v>0.73643639999999999</v>
      </c>
      <c r="R51" s="171"/>
      <c r="S51" s="171"/>
      <c r="T51" s="166" t="s">
        <v>86</v>
      </c>
    </row>
    <row r="52" spans="1:20" ht="17" thickBot="1" x14ac:dyDescent="0.25">
      <c r="A52" s="138"/>
      <c r="B52" s="115"/>
      <c r="C52" s="115"/>
      <c r="D52" s="175"/>
      <c r="E52" s="175"/>
      <c r="F52" s="149"/>
      <c r="G52" s="149"/>
      <c r="H52" s="149"/>
      <c r="I52" s="149"/>
      <c r="J52" s="175"/>
      <c r="K52" s="175"/>
      <c r="L52" s="149"/>
      <c r="M52" s="149"/>
      <c r="N52" s="149"/>
      <c r="O52" s="149"/>
      <c r="P52" s="175"/>
      <c r="Q52" s="175"/>
      <c r="R52" s="149"/>
      <c r="S52" s="149"/>
      <c r="T52" s="149"/>
    </row>
    <row r="53" spans="1:20" x14ac:dyDescent="0.2">
      <c r="A53" s="214" t="s">
        <v>81</v>
      </c>
      <c r="B53" s="167">
        <v>1</v>
      </c>
      <c r="C53" s="172" t="s">
        <v>180</v>
      </c>
      <c r="D53" s="173">
        <v>0.90284443333333331</v>
      </c>
      <c r="E53" s="173">
        <v>0.8348213333333333</v>
      </c>
      <c r="F53" s="171"/>
      <c r="G53" s="171"/>
      <c r="H53" s="171" t="s">
        <v>86</v>
      </c>
      <c r="I53" s="171" t="s">
        <v>180</v>
      </c>
      <c r="J53" s="173">
        <v>0.9019001333333333</v>
      </c>
      <c r="K53" s="173">
        <v>0.85852736666666674</v>
      </c>
      <c r="L53" s="171"/>
      <c r="M53" s="171"/>
      <c r="N53" s="171" t="s">
        <v>86</v>
      </c>
      <c r="O53" s="171" t="s">
        <v>180</v>
      </c>
      <c r="P53" s="173">
        <v>0.90284426666666662</v>
      </c>
      <c r="Q53" s="173">
        <v>0.8348213333333333</v>
      </c>
      <c r="R53" s="171"/>
      <c r="S53" s="171"/>
      <c r="T53" s="171" t="s">
        <v>86</v>
      </c>
    </row>
    <row r="54" spans="1:20" x14ac:dyDescent="0.2">
      <c r="A54" s="214"/>
      <c r="B54" s="167">
        <v>2</v>
      </c>
      <c r="C54" s="172" t="s">
        <v>180</v>
      </c>
      <c r="D54" s="173">
        <v>0.90284443333333331</v>
      </c>
      <c r="E54" s="173">
        <v>0.85892263333333341</v>
      </c>
      <c r="F54" s="171"/>
      <c r="G54" s="171"/>
      <c r="H54" s="171" t="s">
        <v>86</v>
      </c>
      <c r="I54" s="171" t="s">
        <v>24</v>
      </c>
      <c r="J54" s="173">
        <v>0.9019001333333333</v>
      </c>
      <c r="K54" s="173" t="s">
        <v>24</v>
      </c>
      <c r="L54" s="171"/>
      <c r="M54" s="171"/>
      <c r="N54" s="171"/>
      <c r="O54" s="171" t="s">
        <v>180</v>
      </c>
      <c r="P54" s="173">
        <v>0.90284426666666662</v>
      </c>
      <c r="Q54" s="173">
        <v>0.85892263333333341</v>
      </c>
      <c r="R54" s="171"/>
      <c r="S54" s="171"/>
      <c r="T54" s="171" t="s">
        <v>86</v>
      </c>
    </row>
    <row r="55" spans="1:20" x14ac:dyDescent="0.2">
      <c r="A55" s="214"/>
      <c r="B55" s="167">
        <v>3</v>
      </c>
      <c r="C55" s="172" t="s">
        <v>24</v>
      </c>
      <c r="D55" s="173">
        <v>0.90284443333333331</v>
      </c>
      <c r="E55" s="173" t="s">
        <v>24</v>
      </c>
      <c r="F55" s="171"/>
      <c r="G55" s="171"/>
      <c r="H55" s="171"/>
      <c r="I55" s="171" t="s">
        <v>24</v>
      </c>
      <c r="J55" s="173">
        <v>0.9019001333333333</v>
      </c>
      <c r="K55" s="173" t="s">
        <v>24</v>
      </c>
      <c r="L55" s="171"/>
      <c r="M55" s="171"/>
      <c r="N55" s="171"/>
      <c r="O55" s="171" t="s">
        <v>24</v>
      </c>
      <c r="P55" s="173">
        <v>0.90284426666666662</v>
      </c>
      <c r="Q55" s="173" t="s">
        <v>24</v>
      </c>
      <c r="R55" s="171"/>
      <c r="S55" s="171"/>
      <c r="T55" s="171"/>
    </row>
    <row r="56" spans="1:20" x14ac:dyDescent="0.2">
      <c r="A56" s="214"/>
      <c r="B56" s="167">
        <v>4</v>
      </c>
      <c r="C56" s="167" t="s">
        <v>181</v>
      </c>
      <c r="D56" s="168">
        <v>0.90284443333333331</v>
      </c>
      <c r="E56" s="168">
        <v>0.97429526666666666</v>
      </c>
      <c r="F56" s="166" t="s">
        <v>86</v>
      </c>
      <c r="G56" s="171"/>
      <c r="H56" s="171"/>
      <c r="I56" s="171" t="s">
        <v>182</v>
      </c>
      <c r="J56" s="173">
        <v>0.9019001333333333</v>
      </c>
      <c r="K56" s="173">
        <v>0.95786153333333335</v>
      </c>
      <c r="L56" s="171" t="s">
        <v>86</v>
      </c>
      <c r="M56" s="171"/>
      <c r="N56" s="171"/>
      <c r="O56" s="171" t="s">
        <v>181</v>
      </c>
      <c r="P56" s="173">
        <v>0.90284426666666662</v>
      </c>
      <c r="Q56" s="173">
        <v>0.97429526666666666</v>
      </c>
      <c r="R56" s="171" t="s">
        <v>86</v>
      </c>
      <c r="S56" s="171"/>
      <c r="T56" s="171"/>
    </row>
    <row r="57" spans="1:20" x14ac:dyDescent="0.2">
      <c r="A57" s="214"/>
      <c r="B57" s="167">
        <v>5</v>
      </c>
      <c r="C57" s="172" t="s">
        <v>24</v>
      </c>
      <c r="D57" s="173">
        <v>0.90284443333333331</v>
      </c>
      <c r="E57" s="173" t="s">
        <v>24</v>
      </c>
      <c r="F57" s="171"/>
      <c r="G57" s="171"/>
      <c r="H57" s="171"/>
      <c r="I57" s="171" t="s">
        <v>24</v>
      </c>
      <c r="J57" s="173">
        <v>0.9019001333333333</v>
      </c>
      <c r="K57" s="173" t="s">
        <v>24</v>
      </c>
      <c r="L57" s="171"/>
      <c r="M57" s="171"/>
      <c r="N57" s="171"/>
      <c r="O57" s="171" t="s">
        <v>24</v>
      </c>
      <c r="P57" s="173">
        <v>0.90284426666666662</v>
      </c>
      <c r="Q57" s="173" t="s">
        <v>24</v>
      </c>
      <c r="R57" s="171"/>
      <c r="S57" s="171"/>
      <c r="T57" s="171"/>
    </row>
    <row r="58" spans="1:20" x14ac:dyDescent="0.2">
      <c r="A58" s="130"/>
      <c r="B58" s="167"/>
      <c r="C58" s="167"/>
      <c r="D58" s="173"/>
      <c r="E58" s="173"/>
      <c r="F58" s="171"/>
      <c r="G58" s="171"/>
      <c r="H58" s="171"/>
      <c r="I58" s="171"/>
      <c r="J58" s="173"/>
      <c r="K58" s="173"/>
      <c r="L58" s="171"/>
      <c r="M58" s="171"/>
      <c r="N58" s="171"/>
      <c r="O58" s="171"/>
      <c r="P58" s="173"/>
      <c r="Q58" s="173"/>
      <c r="R58" s="171"/>
      <c r="S58" s="171"/>
      <c r="T58" s="171"/>
    </row>
    <row r="59" spans="1:20" x14ac:dyDescent="0.2">
      <c r="A59" s="214" t="s">
        <v>82</v>
      </c>
      <c r="B59" s="167">
        <v>1</v>
      </c>
      <c r="C59" s="167" t="s">
        <v>24</v>
      </c>
      <c r="D59" s="173">
        <v>0.90284443333333331</v>
      </c>
      <c r="E59" s="173">
        <v>0.9161661333333333</v>
      </c>
      <c r="F59" s="171"/>
      <c r="G59" s="171"/>
      <c r="H59" s="171"/>
      <c r="I59" s="171" t="s">
        <v>24</v>
      </c>
      <c r="J59" s="173">
        <v>0.9019001333333333</v>
      </c>
      <c r="K59" s="173" t="s">
        <v>24</v>
      </c>
      <c r="L59" s="171"/>
      <c r="M59" s="171"/>
      <c r="N59" s="171"/>
      <c r="O59" s="171" t="s">
        <v>181</v>
      </c>
      <c r="P59" s="173">
        <v>0.90284426666666662</v>
      </c>
      <c r="Q59" s="173">
        <v>0.9161661333333333</v>
      </c>
      <c r="R59" s="171"/>
      <c r="S59" s="171"/>
      <c r="T59" s="171"/>
    </row>
    <row r="60" spans="1:20" x14ac:dyDescent="0.2">
      <c r="A60" s="214"/>
      <c r="B60" s="167">
        <v>2</v>
      </c>
      <c r="C60" s="172" t="s">
        <v>180</v>
      </c>
      <c r="D60" s="173">
        <v>0.90284443333333331</v>
      </c>
      <c r="E60" s="173">
        <v>0.85855043333333336</v>
      </c>
      <c r="F60" s="171"/>
      <c r="G60" s="171"/>
      <c r="H60" s="166" t="s">
        <v>86</v>
      </c>
      <c r="I60" s="171" t="s">
        <v>24</v>
      </c>
      <c r="J60" s="173">
        <v>0.9019001333333333</v>
      </c>
      <c r="K60" s="173" t="s">
        <v>24</v>
      </c>
      <c r="L60" s="171"/>
      <c r="M60" s="171"/>
      <c r="N60" s="171"/>
      <c r="O60" s="171" t="s">
        <v>180</v>
      </c>
      <c r="P60" s="173">
        <v>0.90284426666666662</v>
      </c>
      <c r="Q60" s="173">
        <v>0.85855043333333336</v>
      </c>
      <c r="R60" s="171"/>
      <c r="S60" s="171"/>
      <c r="T60" s="171" t="s">
        <v>187</v>
      </c>
    </row>
    <row r="61" spans="1:20" x14ac:dyDescent="0.2">
      <c r="A61" s="214"/>
      <c r="B61" s="167">
        <v>3</v>
      </c>
      <c r="C61" s="172" t="s">
        <v>24</v>
      </c>
      <c r="D61" s="173">
        <v>0.90284443333333331</v>
      </c>
      <c r="E61" s="173" t="s">
        <v>24</v>
      </c>
      <c r="F61" s="171"/>
      <c r="G61" s="171"/>
      <c r="H61" s="171"/>
      <c r="I61" s="171" t="s">
        <v>24</v>
      </c>
      <c r="J61" s="173">
        <v>0.9019001333333333</v>
      </c>
      <c r="K61" s="173" t="s">
        <v>24</v>
      </c>
      <c r="L61" s="171"/>
      <c r="M61" s="171"/>
      <c r="N61" s="171"/>
      <c r="O61" s="171" t="s">
        <v>24</v>
      </c>
      <c r="P61" s="173">
        <v>0.90284426666666662</v>
      </c>
      <c r="Q61" s="173" t="s">
        <v>24</v>
      </c>
      <c r="R61" s="171"/>
      <c r="S61" s="171"/>
      <c r="T61" s="171"/>
    </row>
    <row r="62" spans="1:20" x14ac:dyDescent="0.2">
      <c r="A62" s="214"/>
      <c r="B62" s="167">
        <v>4</v>
      </c>
      <c r="C62" s="167" t="s">
        <v>182</v>
      </c>
      <c r="D62" s="168">
        <v>0.90284443333333331</v>
      </c>
      <c r="E62" s="168">
        <v>0.9686756666666666</v>
      </c>
      <c r="F62" s="166" t="s">
        <v>86</v>
      </c>
      <c r="G62" s="171"/>
      <c r="H62" s="171"/>
      <c r="I62" s="171" t="s">
        <v>182</v>
      </c>
      <c r="J62" s="173">
        <v>0.9019001333333333</v>
      </c>
      <c r="K62" s="173">
        <v>0.95658349999999992</v>
      </c>
      <c r="L62" s="171" t="s">
        <v>86</v>
      </c>
      <c r="M62" s="171"/>
      <c r="N62" s="171"/>
      <c r="O62" s="171" t="s">
        <v>181</v>
      </c>
      <c r="P62" s="173">
        <v>0.90284426666666662</v>
      </c>
      <c r="Q62" s="173">
        <v>0.9686756666666666</v>
      </c>
      <c r="R62" s="171" t="s">
        <v>86</v>
      </c>
      <c r="S62" s="171"/>
      <c r="T62" s="171"/>
    </row>
    <row r="63" spans="1:20" ht="17" thickBot="1" x14ac:dyDescent="0.25">
      <c r="A63" s="213"/>
      <c r="B63" s="115">
        <v>5</v>
      </c>
      <c r="C63" s="114" t="s">
        <v>24</v>
      </c>
      <c r="D63" s="175">
        <v>0.90284443333333331</v>
      </c>
      <c r="E63" s="175" t="s">
        <v>24</v>
      </c>
      <c r="F63" s="149"/>
      <c r="G63" s="149"/>
      <c r="H63" s="149"/>
      <c r="I63" s="149" t="s">
        <v>24</v>
      </c>
      <c r="J63" s="175">
        <v>0.9019001333333333</v>
      </c>
      <c r="K63" s="175" t="s">
        <v>24</v>
      </c>
      <c r="L63" s="149"/>
      <c r="M63" s="149"/>
      <c r="N63" s="149"/>
      <c r="O63" s="149" t="s">
        <v>24</v>
      </c>
      <c r="P63" s="175">
        <v>0.90284426666666662</v>
      </c>
      <c r="Q63" s="175" t="s">
        <v>24</v>
      </c>
      <c r="R63" s="149"/>
      <c r="S63" s="149"/>
      <c r="T63" s="149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DA3C-3B01-7348-9086-58B86E68B0B5}">
  <dimension ref="A1:W63"/>
  <sheetViews>
    <sheetView showGridLines="0" zoomScaleNormal="100" workbookViewId="0">
      <selection activeCell="A2" sqref="A2:T6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199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73">
        <f>F5/H5</f>
        <v>0</v>
      </c>
      <c r="D5" s="173">
        <v>0.92047006666666675</v>
      </c>
      <c r="E5" s="173">
        <v>0.90782696666666673</v>
      </c>
      <c r="F5" s="192">
        <v>0</v>
      </c>
      <c r="G5" s="192">
        <v>0.30919999999999997</v>
      </c>
      <c r="H5" s="192">
        <v>0.69079999999999997</v>
      </c>
      <c r="I5" s="192">
        <f t="shared" ref="I5" si="0">L5/N5</f>
        <v>0</v>
      </c>
      <c r="J5" s="192">
        <v>0.92655619999999994</v>
      </c>
      <c r="K5" s="192">
        <v>0.91185040000000006</v>
      </c>
      <c r="L5" s="7">
        <v>0</v>
      </c>
      <c r="M5" s="10">
        <v>0.1694</v>
      </c>
      <c r="N5" s="10">
        <v>0.8306</v>
      </c>
      <c r="O5" s="192">
        <f t="shared" ref="O5:O6" si="1">R5/T5</f>
        <v>0</v>
      </c>
      <c r="P5" s="192">
        <v>0.92047006666666675</v>
      </c>
      <c r="Q5" s="192">
        <v>0.90782696666666673</v>
      </c>
      <c r="R5" s="192">
        <v>0</v>
      </c>
      <c r="S5" s="192">
        <v>0.30919999999999997</v>
      </c>
      <c r="T5" s="192">
        <v>0.69079999999999997</v>
      </c>
    </row>
    <row r="6" spans="1:23" x14ac:dyDescent="0.2">
      <c r="A6" s="214"/>
      <c r="B6" s="167">
        <v>2</v>
      </c>
      <c r="C6" s="173" t="s">
        <v>24</v>
      </c>
      <c r="D6" s="173">
        <v>0.92047006666666675</v>
      </c>
      <c r="E6" s="173">
        <v>0.88721413333333332</v>
      </c>
      <c r="F6" s="192" t="s">
        <v>24</v>
      </c>
      <c r="G6" s="192" t="s">
        <v>24</v>
      </c>
      <c r="H6" s="192" t="s">
        <v>24</v>
      </c>
      <c r="I6" s="192" t="s">
        <v>24</v>
      </c>
      <c r="J6" s="192">
        <v>0.92655619999999994</v>
      </c>
      <c r="K6" s="192">
        <v>0.90209739999999994</v>
      </c>
      <c r="L6" s="192" t="s">
        <v>24</v>
      </c>
      <c r="M6" s="192" t="s">
        <v>24</v>
      </c>
      <c r="N6" s="192" t="s">
        <v>24</v>
      </c>
      <c r="O6" s="192">
        <f t="shared" si="1"/>
        <v>1.5677653149411417E-2</v>
      </c>
      <c r="P6" s="192">
        <v>0.92047006666666675</v>
      </c>
      <c r="Q6" s="192">
        <v>0.88721413333333332</v>
      </c>
      <c r="R6" s="192">
        <v>1.4946009999999999E-2</v>
      </c>
      <c r="S6" s="192">
        <v>3.1721869999999999E-2</v>
      </c>
      <c r="T6" s="192">
        <v>0.95333210000000002</v>
      </c>
    </row>
    <row r="7" spans="1:23" x14ac:dyDescent="0.2">
      <c r="A7" s="214"/>
      <c r="B7" s="167">
        <v>3</v>
      </c>
      <c r="C7" s="173" t="s">
        <v>24</v>
      </c>
      <c r="D7" s="173">
        <v>0.92047006666666675</v>
      </c>
      <c r="E7" s="173">
        <v>0.93768724999999997</v>
      </c>
      <c r="F7" s="192" t="s">
        <v>24</v>
      </c>
      <c r="G7" s="192" t="s">
        <v>24</v>
      </c>
      <c r="H7" s="192" t="s">
        <v>24</v>
      </c>
      <c r="I7" s="192" t="s">
        <v>71</v>
      </c>
      <c r="J7" s="192">
        <v>0.92655619999999994</v>
      </c>
      <c r="K7" s="192">
        <v>0.93893756666666661</v>
      </c>
      <c r="L7" s="192">
        <v>0.60550000000000004</v>
      </c>
      <c r="M7" s="192">
        <v>0.39450000000000002</v>
      </c>
      <c r="N7" s="192">
        <v>0</v>
      </c>
      <c r="O7" s="192" t="s">
        <v>24</v>
      </c>
      <c r="P7" s="192">
        <v>0.92047006666666675</v>
      </c>
      <c r="Q7" s="192">
        <v>0.93768724999999997</v>
      </c>
      <c r="R7" s="192" t="s">
        <v>24</v>
      </c>
      <c r="S7" s="192" t="s">
        <v>24</v>
      </c>
      <c r="T7" s="192" t="s">
        <v>24</v>
      </c>
    </row>
    <row r="8" spans="1:23" x14ac:dyDescent="0.2">
      <c r="A8" s="214"/>
      <c r="B8" s="167">
        <v>4</v>
      </c>
      <c r="C8" s="168" t="s">
        <v>71</v>
      </c>
      <c r="D8" s="168">
        <v>0.92047006666666675</v>
      </c>
      <c r="E8" s="168">
        <v>0.97427293333333331</v>
      </c>
      <c r="F8" s="193">
        <v>0.99080000000000001</v>
      </c>
      <c r="G8" s="192">
        <v>9.1999999999999998E-3</v>
      </c>
      <c r="H8" s="192">
        <v>0</v>
      </c>
      <c r="I8" s="193" t="s">
        <v>71</v>
      </c>
      <c r="J8" s="193">
        <v>0.92655619999999994</v>
      </c>
      <c r="K8" s="193">
        <v>0.97106916666666665</v>
      </c>
      <c r="L8" s="193">
        <v>0.99060000000000004</v>
      </c>
      <c r="M8" s="192">
        <v>9.4000000000000004E-3</v>
      </c>
      <c r="N8" s="192">
        <v>0</v>
      </c>
      <c r="O8" s="193" t="s">
        <v>71</v>
      </c>
      <c r="P8" s="193">
        <v>0.92047006666666675</v>
      </c>
      <c r="Q8" s="193">
        <v>0.97427293333333331</v>
      </c>
      <c r="R8" s="193">
        <v>0.99080000000000001</v>
      </c>
      <c r="S8" s="192">
        <v>9.1999999999999998E-3</v>
      </c>
      <c r="T8" s="192">
        <v>0</v>
      </c>
    </row>
    <row r="9" spans="1:23" x14ac:dyDescent="0.2">
      <c r="A9" s="214"/>
      <c r="B9" s="167">
        <v>5</v>
      </c>
      <c r="C9" s="173" t="s">
        <v>24</v>
      </c>
      <c r="D9" s="173">
        <v>0.92047006666666675</v>
      </c>
      <c r="E9" s="173" t="s">
        <v>24</v>
      </c>
      <c r="F9" s="194" t="s">
        <v>24</v>
      </c>
      <c r="G9" s="194" t="s">
        <v>24</v>
      </c>
      <c r="H9" s="194" t="s">
        <v>24</v>
      </c>
      <c r="I9" s="194" t="s">
        <v>24</v>
      </c>
      <c r="J9" s="194">
        <v>0.92655619999999994</v>
      </c>
      <c r="K9" s="194">
        <v>1</v>
      </c>
      <c r="L9" s="192" t="s">
        <v>24</v>
      </c>
      <c r="M9" s="192" t="s">
        <v>24</v>
      </c>
      <c r="N9" s="192" t="s">
        <v>24</v>
      </c>
      <c r="O9" s="192" t="s">
        <v>24</v>
      </c>
      <c r="P9" s="192">
        <v>0.92047006666666675</v>
      </c>
      <c r="Q9" s="192" t="s">
        <v>24</v>
      </c>
      <c r="R9" s="192" t="s">
        <v>24</v>
      </c>
      <c r="S9" s="192" t="s">
        <v>24</v>
      </c>
      <c r="T9" s="192" t="s">
        <v>24</v>
      </c>
    </row>
    <row r="10" spans="1:23" x14ac:dyDescent="0.2">
      <c r="A10" s="130"/>
      <c r="B10" s="167"/>
      <c r="C10" s="173"/>
      <c r="D10" s="173"/>
      <c r="E10" s="173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</row>
    <row r="11" spans="1:23" x14ac:dyDescent="0.2">
      <c r="A11" s="214" t="s">
        <v>74</v>
      </c>
      <c r="B11" s="167">
        <v>1</v>
      </c>
      <c r="C11" s="168" t="s">
        <v>71</v>
      </c>
      <c r="D11" s="168">
        <v>0.92047006666666675</v>
      </c>
      <c r="E11" s="168">
        <v>0.94922033333333333</v>
      </c>
      <c r="F11" s="193">
        <v>0.99126669999999995</v>
      </c>
      <c r="G11" s="192">
        <v>8.7333329999999994E-3</v>
      </c>
      <c r="H11" s="192">
        <v>0</v>
      </c>
      <c r="I11" s="193" t="s">
        <v>71</v>
      </c>
      <c r="J11" s="193">
        <v>0.92655619999999994</v>
      </c>
      <c r="K11" s="193">
        <v>0.95149240000000013</v>
      </c>
      <c r="L11" s="193">
        <v>0.96293329999999999</v>
      </c>
      <c r="M11" s="192">
        <v>3.7066670000000003E-2</v>
      </c>
      <c r="N11" s="192">
        <v>0</v>
      </c>
      <c r="O11" s="192" t="s">
        <v>71</v>
      </c>
      <c r="P11" s="192">
        <v>0.92047006666666675</v>
      </c>
      <c r="Q11" s="192">
        <v>0.94748769999999993</v>
      </c>
      <c r="R11" s="192">
        <v>0.99126669999999995</v>
      </c>
      <c r="S11" s="192">
        <v>8.7333329999999994E-3</v>
      </c>
      <c r="T11" s="192">
        <v>0</v>
      </c>
    </row>
    <row r="12" spans="1:23" x14ac:dyDescent="0.2">
      <c r="A12" s="214"/>
      <c r="B12" s="167">
        <v>2</v>
      </c>
      <c r="C12" s="168" t="s">
        <v>71</v>
      </c>
      <c r="D12" s="168">
        <v>0.92047006666666675</v>
      </c>
      <c r="E12" s="168">
        <v>0.94601473333333319</v>
      </c>
      <c r="F12" s="193">
        <v>0.99163330000000005</v>
      </c>
      <c r="G12" s="192">
        <v>8.3666669999999995E-3</v>
      </c>
      <c r="H12" s="192">
        <v>0</v>
      </c>
      <c r="I12" s="192" t="s">
        <v>71</v>
      </c>
      <c r="J12" s="192">
        <v>0.92655619999999994</v>
      </c>
      <c r="K12" s="192">
        <v>0.94447366666666666</v>
      </c>
      <c r="L12" s="192">
        <v>0.91296670000000002</v>
      </c>
      <c r="M12" s="192">
        <v>8.7033330000000006E-2</v>
      </c>
      <c r="N12" s="192">
        <v>0</v>
      </c>
      <c r="O12" s="192" t="s">
        <v>71</v>
      </c>
      <c r="P12" s="192">
        <v>0.92047006666666675</v>
      </c>
      <c r="Q12" s="192">
        <v>0.94601473333333319</v>
      </c>
      <c r="R12" s="192">
        <v>0.99163330000000005</v>
      </c>
      <c r="S12" s="192">
        <v>8.3666669999999995E-3</v>
      </c>
      <c r="T12" s="192">
        <v>0</v>
      </c>
      <c r="W12" t="s">
        <v>178</v>
      </c>
    </row>
    <row r="13" spans="1:23" x14ac:dyDescent="0.2">
      <c r="A13" s="214"/>
      <c r="B13" s="167">
        <v>3</v>
      </c>
      <c r="C13" s="173" t="s">
        <v>24</v>
      </c>
      <c r="D13" s="173">
        <v>0.92047006666666675</v>
      </c>
      <c r="E13" s="173">
        <v>0.90979325</v>
      </c>
      <c r="F13" s="192" t="s">
        <v>24</v>
      </c>
      <c r="G13" s="192" t="s">
        <v>24</v>
      </c>
      <c r="H13" s="192" t="s">
        <v>24</v>
      </c>
      <c r="I13" s="192">
        <f t="shared" ref="I13:I15" si="2">L13/N13</f>
        <v>0</v>
      </c>
      <c r="J13" s="192">
        <v>0.92655619999999994</v>
      </c>
      <c r="K13" s="192">
        <v>0.91323209999999999</v>
      </c>
      <c r="L13" s="192">
        <v>0</v>
      </c>
      <c r="M13" s="192">
        <v>0.30186669999999999</v>
      </c>
      <c r="N13" s="192">
        <v>0.69813329999999996</v>
      </c>
      <c r="O13" s="192" t="s">
        <v>24</v>
      </c>
      <c r="P13" s="192">
        <v>0.92047006666666675</v>
      </c>
      <c r="Q13" s="192">
        <v>0.90979325</v>
      </c>
      <c r="R13" s="192" t="s">
        <v>24</v>
      </c>
      <c r="S13" s="192" t="s">
        <v>24</v>
      </c>
      <c r="T13" s="192" t="s">
        <v>24</v>
      </c>
    </row>
    <row r="14" spans="1:23" x14ac:dyDescent="0.2">
      <c r="A14" s="214"/>
      <c r="B14" s="167">
        <v>4</v>
      </c>
      <c r="C14" s="173">
        <f t="shared" ref="C14" si="3">F14/H14</f>
        <v>0</v>
      </c>
      <c r="D14" s="173">
        <v>0.92047006666666675</v>
      </c>
      <c r="E14" s="173">
        <v>0.81126533333333339</v>
      </c>
      <c r="F14" s="194">
        <v>0</v>
      </c>
      <c r="G14" s="194">
        <v>9.0333329999999993E-3</v>
      </c>
      <c r="H14" s="195">
        <v>0.99096669999999998</v>
      </c>
      <c r="I14" s="194">
        <f t="shared" si="2"/>
        <v>0</v>
      </c>
      <c r="J14" s="194">
        <v>0.92655619999999994</v>
      </c>
      <c r="K14" s="194">
        <v>0.82014599999999993</v>
      </c>
      <c r="L14" s="192">
        <v>0</v>
      </c>
      <c r="M14" s="192">
        <v>8.7333329999999994E-3</v>
      </c>
      <c r="N14" s="193">
        <v>0.99126669999999995</v>
      </c>
      <c r="O14" s="192">
        <f t="shared" ref="O14" si="4">R14/T14</f>
        <v>0</v>
      </c>
      <c r="P14" s="192">
        <v>0.92047006666666675</v>
      </c>
      <c r="Q14" s="192">
        <v>0.81126533333333339</v>
      </c>
      <c r="R14" s="192">
        <v>0</v>
      </c>
      <c r="S14" s="192">
        <v>9.0333329999999993E-3</v>
      </c>
      <c r="T14" s="192">
        <v>0.99096669999999998</v>
      </c>
    </row>
    <row r="15" spans="1:23" x14ac:dyDescent="0.2">
      <c r="A15" s="214"/>
      <c r="B15" s="167">
        <v>5</v>
      </c>
      <c r="C15" s="173" t="s">
        <v>24</v>
      </c>
      <c r="D15" s="173">
        <v>0.92047006666666675</v>
      </c>
      <c r="E15" s="173" t="s">
        <v>24</v>
      </c>
      <c r="F15" s="194" t="s">
        <v>24</v>
      </c>
      <c r="G15" s="194" t="s">
        <v>24</v>
      </c>
      <c r="H15" s="194" t="s">
        <v>24</v>
      </c>
      <c r="I15" s="194">
        <f t="shared" si="2"/>
        <v>0</v>
      </c>
      <c r="J15" s="194">
        <v>0.92655619999999994</v>
      </c>
      <c r="K15" s="194">
        <v>0.72897819999999991</v>
      </c>
      <c r="L15" s="192">
        <v>0</v>
      </c>
      <c r="M15" s="192">
        <v>8.866667E-3</v>
      </c>
      <c r="N15" s="193">
        <v>0.99113329999999999</v>
      </c>
      <c r="O15" s="192" t="s">
        <v>24</v>
      </c>
      <c r="P15" s="192">
        <v>0.92047006666666675</v>
      </c>
      <c r="Q15" s="192">
        <v>0.72623894999999994</v>
      </c>
      <c r="R15" s="192" t="s">
        <v>24</v>
      </c>
      <c r="S15" s="192" t="s">
        <v>24</v>
      </c>
      <c r="T15" s="192" t="s">
        <v>24</v>
      </c>
    </row>
    <row r="16" spans="1:23" ht="17" thickBot="1" x14ac:dyDescent="0.25">
      <c r="A16" s="138"/>
      <c r="B16" s="115"/>
      <c r="C16" s="175"/>
      <c r="D16" s="175"/>
      <c r="E16" s="175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</row>
    <row r="17" spans="1:20" x14ac:dyDescent="0.2">
      <c r="A17" s="214" t="s">
        <v>75</v>
      </c>
      <c r="B17" s="167">
        <v>1</v>
      </c>
      <c r="C17" s="173">
        <f t="shared" ref="C17:C19" si="5">F17/H17</f>
        <v>0</v>
      </c>
      <c r="D17" s="173">
        <v>0.93117130000000004</v>
      </c>
      <c r="E17" s="173">
        <v>0.91595444999999998</v>
      </c>
      <c r="F17" s="192">
        <v>0</v>
      </c>
      <c r="G17" s="192">
        <v>9.1733330000000002E-2</v>
      </c>
      <c r="H17" s="192">
        <v>0.90826669999999998</v>
      </c>
      <c r="I17" s="192">
        <f t="shared" ref="I17:I18" si="6">L17/N17</f>
        <v>0</v>
      </c>
      <c r="J17" s="192">
        <v>0.92928423333333343</v>
      </c>
      <c r="K17" s="192">
        <v>0.91542326666666662</v>
      </c>
      <c r="L17" s="192">
        <v>0</v>
      </c>
      <c r="M17" s="192">
        <v>0.1681667</v>
      </c>
      <c r="N17" s="192">
        <v>0.8318333</v>
      </c>
      <c r="O17" s="192">
        <f t="shared" ref="O17:O19" si="7">R17/T17</f>
        <v>0</v>
      </c>
      <c r="P17" s="192">
        <v>0.93117130000000004</v>
      </c>
      <c r="Q17" s="192">
        <v>0.91455786666666661</v>
      </c>
      <c r="R17" s="192">
        <v>0</v>
      </c>
      <c r="S17" s="192">
        <v>9.1733330000000002E-2</v>
      </c>
      <c r="T17" s="192">
        <v>0.90826669999999998</v>
      </c>
    </row>
    <row r="18" spans="1:20" x14ac:dyDescent="0.2">
      <c r="A18" s="214"/>
      <c r="B18" s="167">
        <v>2</v>
      </c>
      <c r="C18" s="173">
        <f t="shared" si="5"/>
        <v>0</v>
      </c>
      <c r="D18" s="173">
        <v>0.93117130000000004</v>
      </c>
      <c r="E18" s="173">
        <v>0.89369523333333334</v>
      </c>
      <c r="F18" s="192">
        <v>0</v>
      </c>
      <c r="G18" s="192">
        <v>9.4000000000000004E-3</v>
      </c>
      <c r="H18" s="193">
        <v>0.99060000000000004</v>
      </c>
      <c r="I18" s="192">
        <f t="shared" si="6"/>
        <v>0</v>
      </c>
      <c r="J18" s="192">
        <v>0.92928423333333343</v>
      </c>
      <c r="K18" s="192">
        <v>0.64500950000000001</v>
      </c>
      <c r="L18" s="192">
        <v>0</v>
      </c>
      <c r="M18" s="192">
        <v>3.7766670000000002E-2</v>
      </c>
      <c r="N18" s="193">
        <v>0.96223329999999996</v>
      </c>
      <c r="O18" s="192">
        <f t="shared" si="7"/>
        <v>0</v>
      </c>
      <c r="P18" s="192">
        <v>0.93117130000000004</v>
      </c>
      <c r="Q18" s="192">
        <v>0.89369523333333334</v>
      </c>
      <c r="R18" s="192">
        <v>0</v>
      </c>
      <c r="S18" s="192">
        <v>9.4000000000000004E-3</v>
      </c>
      <c r="T18" s="192">
        <v>0.99060000000000004</v>
      </c>
    </row>
    <row r="19" spans="1:20" x14ac:dyDescent="0.2">
      <c r="A19" s="214"/>
      <c r="B19" s="167">
        <v>3</v>
      </c>
      <c r="C19" s="173">
        <f t="shared" si="5"/>
        <v>0.12123453631119657</v>
      </c>
      <c r="D19" s="173">
        <v>0.93117130000000004</v>
      </c>
      <c r="E19" s="173">
        <v>0.80396486666666667</v>
      </c>
      <c r="F19" s="192">
        <v>8.1966670000000005E-2</v>
      </c>
      <c r="G19" s="192">
        <v>0.24193329999999999</v>
      </c>
      <c r="H19" s="192">
        <v>0.67610000000000003</v>
      </c>
      <c r="I19" s="192" t="s">
        <v>71</v>
      </c>
      <c r="J19" s="192">
        <v>0.92928423333333343</v>
      </c>
      <c r="K19" s="192">
        <v>0.94733953333333332</v>
      </c>
      <c r="L19" s="192">
        <v>0.78469999999999995</v>
      </c>
      <c r="M19" s="192">
        <v>0.21529999999999999</v>
      </c>
      <c r="N19" s="192">
        <v>0</v>
      </c>
      <c r="O19" s="192">
        <f t="shared" si="7"/>
        <v>0.12123453631119657</v>
      </c>
      <c r="P19" s="192">
        <v>0.93117130000000004</v>
      </c>
      <c r="Q19" s="192">
        <v>0.80396486666666667</v>
      </c>
      <c r="R19" s="192">
        <v>8.1966670000000005E-2</v>
      </c>
      <c r="S19" s="192">
        <v>0.24193329999999999</v>
      </c>
      <c r="T19" s="193">
        <v>0.67610000000000003</v>
      </c>
    </row>
    <row r="20" spans="1:20" x14ac:dyDescent="0.2">
      <c r="A20" s="214"/>
      <c r="B20" s="167">
        <v>4</v>
      </c>
      <c r="C20" s="168" t="s">
        <v>71</v>
      </c>
      <c r="D20" s="168">
        <v>0.93117130000000004</v>
      </c>
      <c r="E20" s="168">
        <v>0.98435119999999998</v>
      </c>
      <c r="F20" s="195">
        <v>0.99146670000000003</v>
      </c>
      <c r="G20" s="194">
        <v>8.5333330000000006E-3</v>
      </c>
      <c r="H20" s="194">
        <v>0</v>
      </c>
      <c r="I20" s="195" t="s">
        <v>71</v>
      </c>
      <c r="J20" s="195">
        <v>0.92928423333333343</v>
      </c>
      <c r="K20" s="195">
        <v>0.98111899999999996</v>
      </c>
      <c r="L20" s="193">
        <v>0.99163330000000005</v>
      </c>
      <c r="M20" s="192">
        <v>8.3666669999999995E-3</v>
      </c>
      <c r="N20" s="192">
        <v>0</v>
      </c>
      <c r="O20" s="192" t="s">
        <v>71</v>
      </c>
      <c r="P20" s="192">
        <v>0.93117130000000004</v>
      </c>
      <c r="Q20" s="192">
        <v>0.98435119999999998</v>
      </c>
      <c r="R20" s="192">
        <v>0.99146670000000003</v>
      </c>
      <c r="S20" s="192">
        <v>8.5333330000000006E-3</v>
      </c>
      <c r="T20" s="192">
        <v>0</v>
      </c>
    </row>
    <row r="21" spans="1:20" x14ac:dyDescent="0.2">
      <c r="A21" s="214"/>
      <c r="B21" s="167">
        <v>5</v>
      </c>
      <c r="C21" s="173" t="s">
        <v>24</v>
      </c>
      <c r="D21" s="173">
        <v>0.93117130000000004</v>
      </c>
      <c r="E21" s="173" t="s">
        <v>24</v>
      </c>
      <c r="F21" s="194" t="s">
        <v>24</v>
      </c>
      <c r="G21" s="194" t="s">
        <v>24</v>
      </c>
      <c r="H21" s="194" t="s">
        <v>24</v>
      </c>
      <c r="I21" s="194" t="s">
        <v>24</v>
      </c>
      <c r="J21" s="194">
        <v>0.92928423333333343</v>
      </c>
      <c r="K21" s="194">
        <v>1</v>
      </c>
      <c r="L21" s="193" t="s">
        <v>24</v>
      </c>
      <c r="M21" s="192" t="s">
        <v>24</v>
      </c>
      <c r="N21" s="192" t="s">
        <v>24</v>
      </c>
      <c r="O21" s="192" t="s">
        <v>24</v>
      </c>
      <c r="P21" s="192">
        <v>0.93117130000000004</v>
      </c>
      <c r="Q21" s="192" t="s">
        <v>24</v>
      </c>
      <c r="R21" s="192" t="s">
        <v>24</v>
      </c>
      <c r="S21" s="192" t="s">
        <v>24</v>
      </c>
      <c r="T21" s="192" t="s">
        <v>24</v>
      </c>
    </row>
    <row r="22" spans="1:20" x14ac:dyDescent="0.2">
      <c r="A22" s="130"/>
      <c r="B22" s="167"/>
      <c r="C22" s="173"/>
      <c r="D22" s="173"/>
      <c r="E22" s="173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</row>
    <row r="23" spans="1:20" x14ac:dyDescent="0.2">
      <c r="A23" s="214" t="s">
        <v>76</v>
      </c>
      <c r="B23" s="167">
        <v>1</v>
      </c>
      <c r="C23" s="168" t="s">
        <v>71</v>
      </c>
      <c r="D23" s="168">
        <v>0.93117130000000004</v>
      </c>
      <c r="E23" s="168">
        <v>0.95281913333333323</v>
      </c>
      <c r="F23" s="193">
        <v>0.96403329999999998</v>
      </c>
      <c r="G23" s="192">
        <v>3.5966669999999999E-2</v>
      </c>
      <c r="H23" s="192">
        <v>0</v>
      </c>
      <c r="I23" s="193" t="s">
        <v>71</v>
      </c>
      <c r="J23" s="193">
        <v>0.92928423333333343</v>
      </c>
      <c r="K23" s="193">
        <v>0.95503286666666654</v>
      </c>
      <c r="L23" s="193">
        <v>0.99136670000000005</v>
      </c>
      <c r="M23" s="192">
        <v>8.633333E-3</v>
      </c>
      <c r="N23" s="192">
        <v>0</v>
      </c>
      <c r="O23" s="193" t="s">
        <v>71</v>
      </c>
      <c r="P23" s="193">
        <v>0.93117130000000004</v>
      </c>
      <c r="Q23" s="193">
        <v>0.95281913333333323</v>
      </c>
      <c r="R23" s="193">
        <v>0.96403329999999998</v>
      </c>
      <c r="S23" s="192">
        <v>3.5966669999999999E-2</v>
      </c>
      <c r="T23" s="192">
        <v>0</v>
      </c>
    </row>
    <row r="24" spans="1:20" x14ac:dyDescent="0.2">
      <c r="A24" s="214"/>
      <c r="B24" s="167">
        <v>2</v>
      </c>
      <c r="C24" s="173" t="s">
        <v>71</v>
      </c>
      <c r="D24" s="173">
        <v>0.93117130000000004</v>
      </c>
      <c r="E24" s="173">
        <v>0.9487287333333333</v>
      </c>
      <c r="F24" s="192">
        <v>0.78396670000000002</v>
      </c>
      <c r="G24" s="192">
        <v>0.21603330000000001</v>
      </c>
      <c r="H24" s="192">
        <v>0</v>
      </c>
      <c r="I24" s="192" t="s">
        <v>71</v>
      </c>
      <c r="J24" s="192">
        <v>0.92928423333333343</v>
      </c>
      <c r="K24" s="192">
        <v>0.94658419999999988</v>
      </c>
      <c r="L24" s="192">
        <v>0.90566670000000005</v>
      </c>
      <c r="M24" s="192">
        <v>9.4333330000000007E-2</v>
      </c>
      <c r="N24" s="192">
        <v>0</v>
      </c>
      <c r="O24" s="192" t="s">
        <v>71</v>
      </c>
      <c r="P24" s="192">
        <v>0.93117130000000004</v>
      </c>
      <c r="Q24" s="192">
        <v>0.94872896666666662</v>
      </c>
      <c r="R24" s="192">
        <v>0.78396670000000002</v>
      </c>
      <c r="S24" s="192">
        <v>0.21603330000000001</v>
      </c>
      <c r="T24" s="192">
        <v>0</v>
      </c>
    </row>
    <row r="25" spans="1:20" x14ac:dyDescent="0.2">
      <c r="A25" s="214"/>
      <c r="B25" s="167">
        <v>3</v>
      </c>
      <c r="C25" s="173">
        <f t="shared" ref="C25:C27" si="8">F25/H25</f>
        <v>0</v>
      </c>
      <c r="D25" s="173">
        <v>0.93117130000000004</v>
      </c>
      <c r="E25" s="173">
        <v>0.6116792086666667</v>
      </c>
      <c r="F25" s="192">
        <v>0</v>
      </c>
      <c r="G25" s="192">
        <v>9.2966670000000001E-2</v>
      </c>
      <c r="H25" s="192">
        <v>0.90703330000000004</v>
      </c>
      <c r="I25" s="192">
        <f t="shared" ref="I25:I27" si="9">L25/N25</f>
        <v>0</v>
      </c>
      <c r="J25" s="192">
        <v>0.92928423333333343</v>
      </c>
      <c r="K25" s="192">
        <v>0.91781199999999996</v>
      </c>
      <c r="L25" s="192">
        <v>0</v>
      </c>
      <c r="M25" s="192">
        <v>0.39400000000000002</v>
      </c>
      <c r="N25" s="192">
        <v>0.60599999999999998</v>
      </c>
      <c r="O25" s="192">
        <f t="shared" ref="O25:O27" si="10">R25/T25</f>
        <v>0</v>
      </c>
      <c r="P25" s="192">
        <v>0.93117130000000004</v>
      </c>
      <c r="Q25" s="192">
        <v>0.6116792086666667</v>
      </c>
      <c r="R25" s="192">
        <v>0</v>
      </c>
      <c r="S25" s="192">
        <v>9.2966670000000001E-2</v>
      </c>
      <c r="T25" s="192">
        <v>0.90703330000000004</v>
      </c>
    </row>
    <row r="26" spans="1:20" x14ac:dyDescent="0.2">
      <c r="A26" s="214"/>
      <c r="B26" s="167">
        <v>4</v>
      </c>
      <c r="C26" s="173">
        <f t="shared" si="8"/>
        <v>0</v>
      </c>
      <c r="D26" s="173">
        <v>0.93117130000000004</v>
      </c>
      <c r="E26" s="173">
        <v>0.81808643333333331</v>
      </c>
      <c r="F26" s="192">
        <v>0</v>
      </c>
      <c r="G26" s="192">
        <v>9.7000000000000003E-3</v>
      </c>
      <c r="H26" s="193">
        <v>0.99029999999999996</v>
      </c>
      <c r="I26" s="192">
        <f t="shared" si="9"/>
        <v>0</v>
      </c>
      <c r="J26" s="192">
        <v>0.92928423333333343</v>
      </c>
      <c r="K26" s="192">
        <v>0.82408343333333323</v>
      </c>
      <c r="L26" s="192">
        <v>0</v>
      </c>
      <c r="M26" s="192">
        <v>8.3999999999999995E-3</v>
      </c>
      <c r="N26" s="193">
        <v>0.99160000000000004</v>
      </c>
      <c r="O26" s="192">
        <f t="shared" si="10"/>
        <v>0</v>
      </c>
      <c r="P26" s="192">
        <v>0.93117130000000004</v>
      </c>
      <c r="Q26" s="192">
        <v>0.81808643333333331</v>
      </c>
      <c r="R26" s="192">
        <v>0</v>
      </c>
      <c r="S26" s="192">
        <v>9.7000000000000003E-3</v>
      </c>
      <c r="T26" s="193">
        <v>0.99029999999999996</v>
      </c>
    </row>
    <row r="27" spans="1:20" x14ac:dyDescent="0.2">
      <c r="A27" s="214"/>
      <c r="B27" s="167">
        <v>5</v>
      </c>
      <c r="C27" s="173">
        <f t="shared" si="8"/>
        <v>0</v>
      </c>
      <c r="D27" s="173">
        <v>0.93117130000000004</v>
      </c>
      <c r="E27" s="173">
        <v>0.64990309999999996</v>
      </c>
      <c r="F27" s="194">
        <v>0</v>
      </c>
      <c r="G27" s="194">
        <v>8.633333E-3</v>
      </c>
      <c r="H27" s="195">
        <v>0.99136670000000005</v>
      </c>
      <c r="I27" s="194">
        <f t="shared" si="9"/>
        <v>0</v>
      </c>
      <c r="J27" s="194">
        <v>0.92928423333333343</v>
      </c>
      <c r="K27" s="194">
        <v>0.75428449999999991</v>
      </c>
      <c r="L27" s="192">
        <v>0</v>
      </c>
      <c r="M27" s="192">
        <v>8.9666669999999993E-3</v>
      </c>
      <c r="N27" s="193">
        <v>0.99103330000000001</v>
      </c>
      <c r="O27" s="192">
        <f t="shared" si="10"/>
        <v>0</v>
      </c>
      <c r="P27" s="192">
        <v>0.93117130000000004</v>
      </c>
      <c r="Q27" s="192">
        <v>0.64990309999999996</v>
      </c>
      <c r="R27" s="192">
        <v>0</v>
      </c>
      <c r="S27" s="192">
        <v>8.633333E-3</v>
      </c>
      <c r="T27" s="193">
        <v>0.99136670000000005</v>
      </c>
    </row>
    <row r="28" spans="1:20" ht="17" thickBot="1" x14ac:dyDescent="0.25">
      <c r="A28" s="138"/>
      <c r="B28" s="115"/>
      <c r="C28" s="175"/>
      <c r="D28" s="175"/>
      <c r="E28" s="175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</row>
    <row r="29" spans="1:20" x14ac:dyDescent="0.2">
      <c r="A29" s="214" t="s">
        <v>77</v>
      </c>
      <c r="B29" s="167">
        <v>1</v>
      </c>
      <c r="C29" s="168" t="s">
        <v>71</v>
      </c>
      <c r="D29" s="173">
        <v>0.49134406666666669</v>
      </c>
      <c r="E29" s="173">
        <v>0.88281300000000007</v>
      </c>
      <c r="F29" s="193">
        <v>0.99163330000000005</v>
      </c>
      <c r="G29" s="192">
        <v>8.3666669999999995E-3</v>
      </c>
      <c r="H29" s="192">
        <v>0</v>
      </c>
      <c r="I29" s="193" t="s">
        <v>71</v>
      </c>
      <c r="J29" s="193">
        <v>0.60204993333333323</v>
      </c>
      <c r="K29" s="193">
        <v>0.86441653333333335</v>
      </c>
      <c r="L29" s="193">
        <v>0.99109999999999998</v>
      </c>
      <c r="M29" s="192">
        <v>8.8999999999999999E-3</v>
      </c>
      <c r="N29" s="192">
        <v>0</v>
      </c>
      <c r="O29" s="193" t="s">
        <v>71</v>
      </c>
      <c r="P29" s="193">
        <v>0.49134406666666669</v>
      </c>
      <c r="Q29" s="193">
        <v>0.88281300000000007</v>
      </c>
      <c r="R29" s="193">
        <v>0.99163330000000005</v>
      </c>
      <c r="S29" s="192">
        <v>8.3666669999999995E-3</v>
      </c>
      <c r="T29" s="192">
        <v>0</v>
      </c>
    </row>
    <row r="30" spans="1:20" x14ac:dyDescent="0.2">
      <c r="A30" s="214"/>
      <c r="B30" s="167">
        <v>2</v>
      </c>
      <c r="C30" s="173">
        <f t="shared" ref="C30" si="11">F30/H30</f>
        <v>8.149584747471275</v>
      </c>
      <c r="D30" s="173">
        <v>0.49134406666666669</v>
      </c>
      <c r="E30" s="173">
        <v>0.63796449999999993</v>
      </c>
      <c r="F30" s="192">
        <v>0.87716669999999997</v>
      </c>
      <c r="G30" s="192">
        <v>1.52E-2</v>
      </c>
      <c r="H30" s="192">
        <v>0.1076333</v>
      </c>
      <c r="I30" s="192">
        <f t="shared" ref="I30" si="12">L30/N30</f>
        <v>0.19091206762183471</v>
      </c>
      <c r="J30" s="192">
        <v>0.60204993333333323</v>
      </c>
      <c r="K30" s="192">
        <v>0.46832913333333331</v>
      </c>
      <c r="L30" s="192">
        <v>0.15293329999999999</v>
      </c>
      <c r="M30" s="192">
        <v>4.5999999999999999E-2</v>
      </c>
      <c r="N30" s="192">
        <v>0.80106670000000002</v>
      </c>
      <c r="O30" s="192">
        <f t="shared" ref="O30" si="13">R30/T30</f>
        <v>8.149584747471275</v>
      </c>
      <c r="P30" s="192">
        <v>0.49134406666666669</v>
      </c>
      <c r="Q30" s="192">
        <v>0.63796449999999993</v>
      </c>
      <c r="R30" s="192">
        <v>0.87716669999999997</v>
      </c>
      <c r="S30" s="192">
        <v>1.52E-2</v>
      </c>
      <c r="T30" s="192">
        <v>0.1076333</v>
      </c>
    </row>
    <row r="31" spans="1:20" x14ac:dyDescent="0.2">
      <c r="A31" s="214"/>
      <c r="B31" s="167">
        <v>3</v>
      </c>
      <c r="C31" s="168" t="s">
        <v>71</v>
      </c>
      <c r="D31" s="168">
        <v>0.49134406666666669</v>
      </c>
      <c r="E31" s="168">
        <v>0.68267623333333338</v>
      </c>
      <c r="F31" s="193">
        <v>0.99126669999999995</v>
      </c>
      <c r="G31" s="192">
        <v>8.7333329999999994E-3</v>
      </c>
      <c r="H31" s="192">
        <v>0</v>
      </c>
      <c r="I31" s="193" t="s">
        <v>71</v>
      </c>
      <c r="J31" s="193">
        <v>0.60204993333333323</v>
      </c>
      <c r="K31" s="193">
        <v>0.85583799999999999</v>
      </c>
      <c r="L31" s="193">
        <v>0.99093330000000002</v>
      </c>
      <c r="M31" s="192">
        <v>9.0666670000000005E-3</v>
      </c>
      <c r="N31" s="192">
        <v>0</v>
      </c>
      <c r="O31" s="193" t="s">
        <v>71</v>
      </c>
      <c r="P31" s="193">
        <v>0.49134406666666669</v>
      </c>
      <c r="Q31" s="193">
        <v>0.68267623333333338</v>
      </c>
      <c r="R31" s="193">
        <v>0.99126669999999995</v>
      </c>
      <c r="S31" s="192">
        <v>8.7333329999999994E-3</v>
      </c>
      <c r="T31" s="192">
        <v>0</v>
      </c>
    </row>
    <row r="32" spans="1:20" x14ac:dyDescent="0.2">
      <c r="A32" s="214"/>
      <c r="B32" s="167">
        <v>4</v>
      </c>
      <c r="C32" s="168" t="s">
        <v>71</v>
      </c>
      <c r="D32" s="168">
        <v>0.49134406666666669</v>
      </c>
      <c r="E32" s="168">
        <v>0.95420169999999993</v>
      </c>
      <c r="F32" s="195">
        <v>0.99093330000000002</v>
      </c>
      <c r="G32" s="194">
        <v>9.0666670000000005E-3</v>
      </c>
      <c r="H32" s="194">
        <v>0</v>
      </c>
      <c r="I32" s="195" t="s">
        <v>71</v>
      </c>
      <c r="J32" s="195">
        <v>0.60204993333333323</v>
      </c>
      <c r="K32" s="195">
        <v>0.86160643333333331</v>
      </c>
      <c r="L32" s="193">
        <v>0.99093330000000002</v>
      </c>
      <c r="M32" s="192">
        <v>9.0666670000000005E-3</v>
      </c>
      <c r="N32" s="192">
        <v>0</v>
      </c>
      <c r="O32" s="193" t="s">
        <v>71</v>
      </c>
      <c r="P32" s="193">
        <v>0.49134406666666669</v>
      </c>
      <c r="Q32" s="193">
        <v>0.95420169999999993</v>
      </c>
      <c r="R32" s="193">
        <v>0.99093330000000002</v>
      </c>
      <c r="S32" s="192">
        <v>9.0666670000000005E-3</v>
      </c>
      <c r="T32" s="192">
        <v>0</v>
      </c>
    </row>
    <row r="33" spans="1:20" x14ac:dyDescent="0.2">
      <c r="A33" s="214"/>
      <c r="B33" s="167">
        <v>5</v>
      </c>
      <c r="C33" s="173" t="s">
        <v>24</v>
      </c>
      <c r="D33" s="173">
        <v>0.49134406666666669</v>
      </c>
      <c r="E33" s="173" t="s">
        <v>24</v>
      </c>
      <c r="F33" s="194" t="s">
        <v>24</v>
      </c>
      <c r="G33" s="194" t="s">
        <v>24</v>
      </c>
      <c r="H33" s="194" t="s">
        <v>24</v>
      </c>
      <c r="I33" s="195" t="s">
        <v>71</v>
      </c>
      <c r="J33" s="195">
        <v>0.60204993333333323</v>
      </c>
      <c r="K33" s="195">
        <v>0.99761903333333335</v>
      </c>
      <c r="L33" s="193">
        <v>0.99260000000000004</v>
      </c>
      <c r="M33" s="192">
        <v>7.4000000000000003E-3</v>
      </c>
      <c r="N33" s="192">
        <v>0</v>
      </c>
      <c r="O33" s="192" t="s">
        <v>24</v>
      </c>
      <c r="P33" s="192">
        <v>0.49134406666666669</v>
      </c>
      <c r="Q33" s="192" t="s">
        <v>24</v>
      </c>
      <c r="R33" s="192" t="s">
        <v>24</v>
      </c>
      <c r="S33" s="192" t="s">
        <v>24</v>
      </c>
      <c r="T33" s="192" t="s">
        <v>24</v>
      </c>
    </row>
    <row r="34" spans="1:20" x14ac:dyDescent="0.2">
      <c r="A34" s="130"/>
      <c r="B34" s="167"/>
      <c r="C34" s="173"/>
      <c r="D34" s="173"/>
      <c r="E34" s="173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</row>
    <row r="35" spans="1:20" x14ac:dyDescent="0.2">
      <c r="A35" s="214" t="s">
        <v>78</v>
      </c>
      <c r="B35" s="167">
        <v>1</v>
      </c>
      <c r="C35" s="173" t="s">
        <v>71</v>
      </c>
      <c r="D35" s="173">
        <v>0.49134406666666669</v>
      </c>
      <c r="E35" s="173">
        <v>0.61454503333333332</v>
      </c>
      <c r="F35" s="192">
        <v>0.875</v>
      </c>
      <c r="G35" s="192">
        <v>1.6500000000000001E-2</v>
      </c>
      <c r="H35" s="192">
        <v>0</v>
      </c>
      <c r="I35" s="192">
        <f t="shared" ref="I35:I36" si="14">L35/N35</f>
        <v>0.41814161394517368</v>
      </c>
      <c r="J35" s="192">
        <v>0.60204993333333323</v>
      </c>
      <c r="K35" s="192">
        <v>0.57217133333333337</v>
      </c>
      <c r="L35" s="192">
        <v>0.2772</v>
      </c>
      <c r="M35" s="192">
        <v>5.9866669999999997E-2</v>
      </c>
      <c r="N35" s="192">
        <v>0.66293329999999995</v>
      </c>
      <c r="O35" s="192">
        <f t="shared" ref="O35:O39" si="15">R35/T35</f>
        <v>8.064516129032258</v>
      </c>
      <c r="P35" s="192">
        <v>0.49134406666666669</v>
      </c>
      <c r="Q35" s="192">
        <v>0.61454503333333332</v>
      </c>
      <c r="R35" s="192">
        <v>0.875</v>
      </c>
      <c r="S35" s="192">
        <v>1.6500000000000001E-2</v>
      </c>
      <c r="T35" s="192">
        <v>0.1085</v>
      </c>
    </row>
    <row r="36" spans="1:20" x14ac:dyDescent="0.2">
      <c r="A36" s="214"/>
      <c r="B36" s="167">
        <v>2</v>
      </c>
      <c r="C36" s="173">
        <f t="shared" ref="C36:C39" si="16">F36/H36</f>
        <v>8.1035786385877433</v>
      </c>
      <c r="D36" s="173">
        <v>0.49134406666666669</v>
      </c>
      <c r="E36" s="173">
        <v>0.74693923333333334</v>
      </c>
      <c r="F36" s="192">
        <v>0.87626669999999995</v>
      </c>
      <c r="G36" s="192">
        <v>1.5599999999999999E-2</v>
      </c>
      <c r="H36" s="192">
        <v>0.1081333</v>
      </c>
      <c r="I36" s="192">
        <f t="shared" si="14"/>
        <v>8.325026293791824</v>
      </c>
      <c r="J36" s="192">
        <v>0.60204993333333323</v>
      </c>
      <c r="K36" s="192">
        <v>0.74611630000000007</v>
      </c>
      <c r="L36" s="192">
        <v>0.87939999999999996</v>
      </c>
      <c r="M36" s="192">
        <v>1.496667E-2</v>
      </c>
      <c r="N36" s="192">
        <v>0.1056333</v>
      </c>
      <c r="O36" s="192">
        <f t="shared" si="15"/>
        <v>8.1035786385877433</v>
      </c>
      <c r="P36" s="192">
        <v>0.49134406666666669</v>
      </c>
      <c r="Q36" s="192">
        <v>0.74693923333333334</v>
      </c>
      <c r="R36" s="192">
        <v>0.87626669999999995</v>
      </c>
      <c r="S36" s="192">
        <v>1.5599999999999999E-2</v>
      </c>
      <c r="T36" s="192">
        <v>0.1081333</v>
      </c>
    </row>
    <row r="37" spans="1:20" x14ac:dyDescent="0.2">
      <c r="A37" s="214"/>
      <c r="B37" s="167">
        <v>3</v>
      </c>
      <c r="C37" s="173">
        <f t="shared" si="16"/>
        <v>13.934314972901472</v>
      </c>
      <c r="D37" s="173">
        <v>0.49134406666666669</v>
      </c>
      <c r="E37" s="173">
        <v>0.66859020000000002</v>
      </c>
      <c r="F37" s="192">
        <v>0.88390000000000002</v>
      </c>
      <c r="G37" s="192">
        <v>5.2666669999999999E-2</v>
      </c>
      <c r="H37" s="192">
        <v>6.3433329999999996E-2</v>
      </c>
      <c r="I37" s="193" t="s">
        <v>71</v>
      </c>
      <c r="J37" s="193">
        <v>0.60204993333333323</v>
      </c>
      <c r="K37" s="193">
        <v>0.87563000000000002</v>
      </c>
      <c r="L37" s="193">
        <v>0.99033329999999997</v>
      </c>
      <c r="M37" s="192">
        <v>9.6666670000000003E-3</v>
      </c>
      <c r="N37" s="192">
        <v>0</v>
      </c>
      <c r="O37" s="192">
        <f t="shared" si="15"/>
        <v>13.934314972901472</v>
      </c>
      <c r="P37" s="192">
        <v>0.49134406666666669</v>
      </c>
      <c r="Q37" s="192">
        <v>0.66859020000000002</v>
      </c>
      <c r="R37" s="192">
        <v>0.88390000000000002</v>
      </c>
      <c r="S37" s="192">
        <v>5.2666669999999999E-2</v>
      </c>
      <c r="T37" s="192">
        <v>6.3433329999999996E-2</v>
      </c>
    </row>
    <row r="38" spans="1:20" x14ac:dyDescent="0.2">
      <c r="A38" s="214"/>
      <c r="B38" s="167">
        <v>4</v>
      </c>
      <c r="C38" s="168" t="s">
        <v>71</v>
      </c>
      <c r="D38" s="168">
        <v>0.49134406666666669</v>
      </c>
      <c r="E38" s="168">
        <v>0.78283263333333331</v>
      </c>
      <c r="F38" s="193">
        <v>0.9917667</v>
      </c>
      <c r="G38" s="192">
        <v>8.2333330000000007E-3</v>
      </c>
      <c r="H38" s="192">
        <v>0</v>
      </c>
      <c r="I38" s="193" t="s">
        <v>71</v>
      </c>
      <c r="J38" s="193">
        <v>0.60204993333333323</v>
      </c>
      <c r="K38" s="193">
        <v>0.78755686666666669</v>
      </c>
      <c r="L38" s="193">
        <v>0.99106669999999997</v>
      </c>
      <c r="M38" s="192">
        <v>8.9333329999999999E-3</v>
      </c>
      <c r="N38" s="192">
        <v>0</v>
      </c>
      <c r="O38" s="193" t="s">
        <v>71</v>
      </c>
      <c r="P38" s="193">
        <v>0.49134406666666669</v>
      </c>
      <c r="Q38" s="193">
        <v>0.78283263333333331</v>
      </c>
      <c r="R38" s="193">
        <v>0.9917667</v>
      </c>
      <c r="S38" s="192">
        <v>8.2333330000000007E-3</v>
      </c>
      <c r="T38" s="192">
        <v>0</v>
      </c>
    </row>
    <row r="39" spans="1:20" x14ac:dyDescent="0.2">
      <c r="A39" s="214"/>
      <c r="B39" s="167">
        <v>5</v>
      </c>
      <c r="C39" s="173">
        <f t="shared" si="16"/>
        <v>7.8955472292435962</v>
      </c>
      <c r="D39" s="173">
        <v>0.49134406666666669</v>
      </c>
      <c r="E39" s="173">
        <v>0.66814529999999994</v>
      </c>
      <c r="F39" s="194">
        <v>0.87429999999999997</v>
      </c>
      <c r="G39" s="194">
        <v>1.496667E-2</v>
      </c>
      <c r="H39" s="194">
        <v>0.11073330000000001</v>
      </c>
      <c r="I39" s="195" t="s">
        <v>71</v>
      </c>
      <c r="J39" s="195">
        <v>0.60204993333333323</v>
      </c>
      <c r="K39" s="195">
        <v>0.74020443333333341</v>
      </c>
      <c r="L39" s="193">
        <v>0.99206669999999997</v>
      </c>
      <c r="M39" s="192">
        <v>7.9333330000000007E-3</v>
      </c>
      <c r="N39" s="192">
        <v>0</v>
      </c>
      <c r="O39" s="192">
        <f t="shared" si="15"/>
        <v>7.8955472292435962</v>
      </c>
      <c r="P39" s="192">
        <v>0.49134406666666669</v>
      </c>
      <c r="Q39" s="192">
        <v>0.66814529999999994</v>
      </c>
      <c r="R39" s="192">
        <v>0.87429999999999997</v>
      </c>
      <c r="S39" s="192">
        <v>1.496667E-2</v>
      </c>
      <c r="T39" s="192">
        <v>0.11073330000000001</v>
      </c>
    </row>
    <row r="40" spans="1:20" ht="17" thickBot="1" x14ac:dyDescent="0.25">
      <c r="A40" s="138"/>
      <c r="B40" s="115"/>
      <c r="C40" s="175"/>
      <c r="D40" s="175"/>
      <c r="E40" s="175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</row>
    <row r="41" spans="1:20" x14ac:dyDescent="0.2">
      <c r="A41" s="214" t="s">
        <v>79</v>
      </c>
      <c r="B41" s="167">
        <v>1</v>
      </c>
      <c r="C41" s="168">
        <f t="shared" ref="C41:C43" si="17">F41/H41</f>
        <v>0</v>
      </c>
      <c r="D41" s="173">
        <v>0.92624146666666674</v>
      </c>
      <c r="E41" s="173">
        <v>0.92620000000000002</v>
      </c>
      <c r="F41" s="192">
        <v>0</v>
      </c>
      <c r="G41" s="192">
        <v>9.0300000000000005E-2</v>
      </c>
      <c r="H41" s="192">
        <v>0.90969999999999995</v>
      </c>
      <c r="I41" s="192">
        <f t="shared" ref="I41:I44" si="18">L41/N41</f>
        <v>0</v>
      </c>
      <c r="J41" s="192">
        <v>0.92687190000000008</v>
      </c>
      <c r="K41" s="192">
        <v>0.91006506666666664</v>
      </c>
      <c r="L41" s="192">
        <v>0</v>
      </c>
      <c r="M41" s="192">
        <v>0.39336670000000001</v>
      </c>
      <c r="N41" s="192">
        <v>0.60663330000000004</v>
      </c>
      <c r="O41" s="192">
        <f t="shared" ref="O41:O44" si="19">R41/T41</f>
        <v>0</v>
      </c>
      <c r="P41" s="192">
        <v>0.92624146666666674</v>
      </c>
      <c r="Q41" s="192">
        <v>0.9092901000000001</v>
      </c>
      <c r="R41" s="192">
        <v>0</v>
      </c>
      <c r="S41" s="192">
        <v>9.0300000000000005E-2</v>
      </c>
      <c r="T41" s="192">
        <v>0.90969999999999995</v>
      </c>
    </row>
    <row r="42" spans="1:20" x14ac:dyDescent="0.2">
      <c r="A42" s="214"/>
      <c r="B42" s="167">
        <v>2</v>
      </c>
      <c r="C42" s="173">
        <f t="shared" si="17"/>
        <v>0</v>
      </c>
      <c r="D42" s="173">
        <v>0.92624146666666674</v>
      </c>
      <c r="E42" s="173">
        <v>0.92620000000000002</v>
      </c>
      <c r="F42" s="192">
        <v>0</v>
      </c>
      <c r="G42" s="192">
        <v>9.5999999999999992E-3</v>
      </c>
      <c r="H42" s="193">
        <v>0.99039999999999995</v>
      </c>
      <c r="I42" s="192">
        <f t="shared" si="18"/>
        <v>0</v>
      </c>
      <c r="J42" s="192">
        <v>0.92687190000000008</v>
      </c>
      <c r="K42" s="192">
        <v>0.9004721</v>
      </c>
      <c r="L42" s="192">
        <v>0</v>
      </c>
      <c r="M42" s="192">
        <v>3.696667E-2</v>
      </c>
      <c r="N42" s="193">
        <v>0.96303329999999998</v>
      </c>
      <c r="O42" s="192">
        <f t="shared" si="19"/>
        <v>0</v>
      </c>
      <c r="P42" s="192">
        <v>0.92624146666666674</v>
      </c>
      <c r="Q42" s="192">
        <v>0.88845933333333338</v>
      </c>
      <c r="R42" s="192">
        <v>0</v>
      </c>
      <c r="S42" s="192">
        <v>9.5999999999999992E-3</v>
      </c>
      <c r="T42" s="192">
        <v>0.99039999999999995</v>
      </c>
    </row>
    <row r="43" spans="1:20" x14ac:dyDescent="0.2">
      <c r="A43" s="214"/>
      <c r="B43" s="167">
        <v>3</v>
      </c>
      <c r="C43" s="173">
        <f t="shared" si="17"/>
        <v>0</v>
      </c>
      <c r="D43" s="173">
        <v>0.92624146666666674</v>
      </c>
      <c r="E43" s="173">
        <v>0.92620000000000002</v>
      </c>
      <c r="F43" s="192">
        <v>0</v>
      </c>
      <c r="G43" s="192">
        <v>8.9999999999999993E-3</v>
      </c>
      <c r="H43" s="193">
        <v>0.99099999999999999</v>
      </c>
      <c r="I43" s="192">
        <f t="shared" si="18"/>
        <v>0</v>
      </c>
      <c r="J43" s="192">
        <v>0.92687190000000008</v>
      </c>
      <c r="K43" s="192">
        <v>0.9449112999999999</v>
      </c>
      <c r="L43" s="192">
        <v>0</v>
      </c>
      <c r="M43" s="192">
        <v>3.7699999999999997E-2</v>
      </c>
      <c r="N43" s="193">
        <v>0.96230000000000004</v>
      </c>
      <c r="O43" s="192">
        <f t="shared" si="19"/>
        <v>0</v>
      </c>
      <c r="P43" s="192">
        <v>0.92624146666666674</v>
      </c>
      <c r="Q43" s="192">
        <v>0.94528470000000009</v>
      </c>
      <c r="R43" s="192">
        <v>0</v>
      </c>
      <c r="S43" s="192">
        <v>8.9999999999999993E-3</v>
      </c>
      <c r="T43" s="192">
        <v>0.99099999999999999</v>
      </c>
    </row>
    <row r="44" spans="1:20" x14ac:dyDescent="0.2">
      <c r="A44" s="214"/>
      <c r="B44" s="167">
        <v>4</v>
      </c>
      <c r="C44" s="168" t="s">
        <v>71</v>
      </c>
      <c r="D44" s="168">
        <v>0.92624146666666674</v>
      </c>
      <c r="E44" s="168">
        <v>0.9799331</v>
      </c>
      <c r="F44" s="195">
        <v>0.99129999999999996</v>
      </c>
      <c r="G44" s="194">
        <v>8.6999999999999994E-3</v>
      </c>
      <c r="H44" s="194">
        <v>0</v>
      </c>
      <c r="I44" s="195" t="e">
        <f t="shared" si="18"/>
        <v>#DIV/0!</v>
      </c>
      <c r="J44" s="195">
        <v>0.92687190000000008</v>
      </c>
      <c r="K44" s="195">
        <v>0.98364773333333344</v>
      </c>
      <c r="L44" s="193">
        <v>0.99186669999999999</v>
      </c>
      <c r="M44" s="192">
        <v>8.1333329999999995E-3</v>
      </c>
      <c r="N44" s="192">
        <v>0</v>
      </c>
      <c r="O44" s="192" t="e">
        <f t="shared" si="19"/>
        <v>#DIV/0!</v>
      </c>
      <c r="P44" s="192">
        <v>0.92624146666666674</v>
      </c>
      <c r="Q44" s="192">
        <v>0.98658833333333329</v>
      </c>
      <c r="R44" s="192">
        <v>0.99129999999999996</v>
      </c>
      <c r="S44" s="192">
        <v>8.6999999999999994E-3</v>
      </c>
      <c r="T44" s="192">
        <v>0</v>
      </c>
    </row>
    <row r="45" spans="1:20" x14ac:dyDescent="0.2">
      <c r="A45" s="214"/>
      <c r="B45" s="167">
        <v>5</v>
      </c>
      <c r="C45" s="173" t="s">
        <v>24</v>
      </c>
      <c r="D45" s="173">
        <v>0.92624146666666674</v>
      </c>
      <c r="E45" s="173" t="s">
        <v>24</v>
      </c>
      <c r="F45" s="194" t="s">
        <v>24</v>
      </c>
      <c r="G45" s="194" t="s">
        <v>24</v>
      </c>
      <c r="H45" s="194" t="s">
        <v>24</v>
      </c>
      <c r="I45" s="194" t="s">
        <v>24</v>
      </c>
      <c r="J45" s="194">
        <v>0.92687190000000008</v>
      </c>
      <c r="K45" s="194">
        <v>1</v>
      </c>
      <c r="L45" s="192" t="s">
        <v>24</v>
      </c>
      <c r="M45" s="192" t="s">
        <v>24</v>
      </c>
      <c r="N45" s="192" t="s">
        <v>24</v>
      </c>
      <c r="O45" s="192" t="s">
        <v>24</v>
      </c>
      <c r="P45" s="192">
        <v>0.92624146666666674</v>
      </c>
      <c r="Q45" s="192" t="s">
        <v>24</v>
      </c>
      <c r="R45" s="192" t="s">
        <v>24</v>
      </c>
      <c r="S45" s="192" t="s">
        <v>24</v>
      </c>
      <c r="T45" s="192" t="s">
        <v>24</v>
      </c>
    </row>
    <row r="46" spans="1:20" x14ac:dyDescent="0.2">
      <c r="A46" s="130"/>
      <c r="B46" s="167"/>
      <c r="C46" s="173"/>
      <c r="D46" s="173"/>
      <c r="E46" s="173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</row>
    <row r="47" spans="1:20" x14ac:dyDescent="0.2">
      <c r="A47" s="214" t="s">
        <v>80</v>
      </c>
      <c r="B47" s="167">
        <v>1</v>
      </c>
      <c r="C47" s="168" t="s">
        <v>71</v>
      </c>
      <c r="D47" s="168">
        <v>0.92624146666666674</v>
      </c>
      <c r="E47" s="168">
        <v>0.94908703333333333</v>
      </c>
      <c r="F47" s="193">
        <v>0.96203329999999998</v>
      </c>
      <c r="G47" s="192">
        <v>3.7966670000000001E-2</v>
      </c>
      <c r="H47" s="192">
        <v>0</v>
      </c>
      <c r="I47" s="192" t="e">
        <f t="shared" ref="I47:I51" si="20">L47/N47</f>
        <v>#DIV/0!</v>
      </c>
      <c r="J47" s="192">
        <v>0.92687190000000008</v>
      </c>
      <c r="K47" s="192">
        <v>0.95326346666666673</v>
      </c>
      <c r="L47" s="193">
        <v>0.96176669999999997</v>
      </c>
      <c r="M47" s="192">
        <v>3.8233330000000003E-2</v>
      </c>
      <c r="N47" s="192">
        <v>0</v>
      </c>
      <c r="O47" s="192" t="e">
        <f t="shared" ref="O47:O51" si="21">R47/T47</f>
        <v>#DIV/0!</v>
      </c>
      <c r="P47" s="192">
        <v>0.92624146666666674</v>
      </c>
      <c r="Q47" s="192">
        <v>0.94908703333333333</v>
      </c>
      <c r="R47" s="192">
        <v>0.96203329999999998</v>
      </c>
      <c r="S47" s="192">
        <v>3.7966670000000001E-2</v>
      </c>
      <c r="T47" s="192">
        <v>0</v>
      </c>
    </row>
    <row r="48" spans="1:20" x14ac:dyDescent="0.2">
      <c r="A48" s="214"/>
      <c r="B48" s="167">
        <v>2</v>
      </c>
      <c r="C48" s="168" t="s">
        <v>71</v>
      </c>
      <c r="D48" s="168">
        <v>0.92624146666666674</v>
      </c>
      <c r="E48" s="168">
        <v>0.94929963333333334</v>
      </c>
      <c r="F48" s="193">
        <v>0.96486669999999997</v>
      </c>
      <c r="G48" s="192">
        <v>3.5133329999999997E-2</v>
      </c>
      <c r="H48" s="192">
        <v>0</v>
      </c>
      <c r="I48" s="192" t="e">
        <f t="shared" si="20"/>
        <v>#DIV/0!</v>
      </c>
      <c r="J48" s="192">
        <v>0.92687190000000008</v>
      </c>
      <c r="K48" s="192">
        <v>0.94658409999999993</v>
      </c>
      <c r="L48" s="193">
        <v>0.96540000000000004</v>
      </c>
      <c r="M48" s="192">
        <v>3.4599999999999999E-2</v>
      </c>
      <c r="N48" s="192">
        <v>0</v>
      </c>
      <c r="O48" s="192" t="e">
        <f t="shared" si="21"/>
        <v>#DIV/0!</v>
      </c>
      <c r="P48" s="192">
        <v>0.92624146666666674</v>
      </c>
      <c r="Q48" s="192">
        <v>0.94929963333333334</v>
      </c>
      <c r="R48" s="192">
        <v>0.96486669999999997</v>
      </c>
      <c r="S48" s="192">
        <v>3.5133329999999997E-2</v>
      </c>
      <c r="T48" s="192">
        <v>0</v>
      </c>
    </row>
    <row r="49" spans="1:20" x14ac:dyDescent="0.2">
      <c r="A49" s="214"/>
      <c r="B49" s="167">
        <v>3</v>
      </c>
      <c r="C49" s="168" t="s">
        <v>71</v>
      </c>
      <c r="D49" s="168">
        <v>0.92624146666666674</v>
      </c>
      <c r="E49" s="168">
        <v>0.91198009999999996</v>
      </c>
      <c r="F49" s="193">
        <v>0.96223329999999996</v>
      </c>
      <c r="G49" s="192">
        <v>3.7766670000000002E-2</v>
      </c>
      <c r="H49" s="192">
        <v>0</v>
      </c>
      <c r="I49" s="192" t="e">
        <f t="shared" si="20"/>
        <v>#DIV/0!</v>
      </c>
      <c r="J49" s="192">
        <v>0.92687190000000008</v>
      </c>
      <c r="K49" s="192">
        <v>0.91660643333333336</v>
      </c>
      <c r="L49" s="193">
        <v>0.96266669999999999</v>
      </c>
      <c r="M49" s="192">
        <v>3.7333329999999998E-2</v>
      </c>
      <c r="N49" s="192">
        <v>0</v>
      </c>
      <c r="O49" s="192" t="e">
        <f t="shared" si="21"/>
        <v>#DIV/0!</v>
      </c>
      <c r="P49" s="192">
        <v>0.92624146666666674</v>
      </c>
      <c r="Q49" s="192">
        <v>0.91198009999999996</v>
      </c>
      <c r="R49" s="192">
        <v>0.96223329999999996</v>
      </c>
      <c r="S49" s="192">
        <v>3.7766670000000002E-2</v>
      </c>
      <c r="T49" s="192">
        <v>0</v>
      </c>
    </row>
    <row r="50" spans="1:20" x14ac:dyDescent="0.2">
      <c r="A50" s="214"/>
      <c r="B50" s="167">
        <v>4</v>
      </c>
      <c r="C50" s="173">
        <f t="shared" ref="C50:C51" si="22">F50/H50</f>
        <v>0</v>
      </c>
      <c r="D50" s="173">
        <v>0.92624146666666674</v>
      </c>
      <c r="E50" s="173">
        <v>0.81807866666666662</v>
      </c>
      <c r="F50" s="192">
        <v>0</v>
      </c>
      <c r="G50" s="192">
        <v>9.8333329999999997E-3</v>
      </c>
      <c r="H50" s="193">
        <v>0.99016669999999996</v>
      </c>
      <c r="I50" s="192">
        <f t="shared" si="20"/>
        <v>0</v>
      </c>
      <c r="J50" s="192">
        <v>0.92687190000000008</v>
      </c>
      <c r="K50" s="192">
        <v>0.82657876666666663</v>
      </c>
      <c r="L50" s="192">
        <v>0</v>
      </c>
      <c r="M50" s="192">
        <v>9.1666669999999999E-3</v>
      </c>
      <c r="N50" s="193">
        <v>0.99083330000000003</v>
      </c>
      <c r="O50" s="192">
        <f t="shared" si="21"/>
        <v>0</v>
      </c>
      <c r="P50" s="192">
        <v>0.92624146666666674</v>
      </c>
      <c r="Q50" s="192">
        <v>0.81807866666666662</v>
      </c>
      <c r="R50" s="192">
        <v>0</v>
      </c>
      <c r="S50" s="192">
        <v>9.8333329999999997E-3</v>
      </c>
      <c r="T50" s="192">
        <v>0.99016669999999996</v>
      </c>
    </row>
    <row r="51" spans="1:20" x14ac:dyDescent="0.2">
      <c r="A51" s="214"/>
      <c r="B51" s="167">
        <v>5</v>
      </c>
      <c r="C51" s="173">
        <f t="shared" si="22"/>
        <v>0</v>
      </c>
      <c r="D51" s="173">
        <v>0.92624146666666674</v>
      </c>
      <c r="E51" s="173">
        <v>0.73643639999999999</v>
      </c>
      <c r="F51" s="194">
        <v>0</v>
      </c>
      <c r="G51" s="194">
        <v>8.5000000000000006E-3</v>
      </c>
      <c r="H51" s="194">
        <v>0.84323329999999996</v>
      </c>
      <c r="I51" s="194">
        <f t="shared" si="20"/>
        <v>0</v>
      </c>
      <c r="J51" s="194">
        <v>0.92687190000000008</v>
      </c>
      <c r="K51" s="194">
        <v>0.61677183333333341</v>
      </c>
      <c r="L51" s="192">
        <v>0</v>
      </c>
      <c r="M51" s="192">
        <v>9.9666670000000002E-3</v>
      </c>
      <c r="N51" s="193">
        <v>0.9900333</v>
      </c>
      <c r="O51" s="192">
        <f t="shared" si="21"/>
        <v>0</v>
      </c>
      <c r="P51" s="192">
        <v>0.92624146666666674</v>
      </c>
      <c r="Q51" s="192">
        <v>0.73643639999999999</v>
      </c>
      <c r="R51" s="192">
        <v>0</v>
      </c>
      <c r="S51" s="192">
        <v>8.5000000000000006E-3</v>
      </c>
      <c r="T51" s="192">
        <v>0.99150000000000005</v>
      </c>
    </row>
    <row r="52" spans="1:20" ht="17" thickBot="1" x14ac:dyDescent="0.25">
      <c r="A52" s="138"/>
      <c r="B52" s="115"/>
      <c r="C52" s="175"/>
      <c r="D52" s="175"/>
      <c r="E52" s="175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</row>
    <row r="53" spans="1:20" x14ac:dyDescent="0.2">
      <c r="A53" s="214" t="s">
        <v>81</v>
      </c>
      <c r="B53" s="167">
        <v>1</v>
      </c>
      <c r="C53" s="173">
        <f t="shared" ref="C53:C54" si="23">F53/H53</f>
        <v>0</v>
      </c>
      <c r="D53" s="173">
        <v>0.90284443333333331</v>
      </c>
      <c r="E53" s="173">
        <v>0.8348213333333333</v>
      </c>
      <c r="F53" s="192">
        <v>0</v>
      </c>
      <c r="G53" s="192">
        <v>7.8333329999999996E-3</v>
      </c>
      <c r="H53" s="193">
        <v>0.99216669999999996</v>
      </c>
      <c r="I53" s="192">
        <f>L53/N53</f>
        <v>2.3587116179846799</v>
      </c>
      <c r="J53" s="192">
        <v>0.9019001333333333</v>
      </c>
      <c r="K53" s="192">
        <v>0.85852736666666674</v>
      </c>
      <c r="L53" s="192">
        <v>0.65886670000000003</v>
      </c>
      <c r="M53" s="192">
        <v>6.1800000000000001E-2</v>
      </c>
      <c r="N53" s="192">
        <v>0.27933330000000001</v>
      </c>
      <c r="O53" s="192">
        <f t="shared" ref="O53:O54" si="24">R53/T53</f>
        <v>0</v>
      </c>
      <c r="P53" s="192">
        <v>0.90284426666666662</v>
      </c>
      <c r="Q53" s="192">
        <v>0.8348213333333333</v>
      </c>
      <c r="R53" s="192">
        <v>0</v>
      </c>
      <c r="S53" s="192">
        <v>7.8333329999999996E-3</v>
      </c>
      <c r="T53" s="193">
        <v>0.99216669999999996</v>
      </c>
    </row>
    <row r="54" spans="1:20" x14ac:dyDescent="0.2">
      <c r="A54" s="214"/>
      <c r="B54" s="167">
        <v>2</v>
      </c>
      <c r="C54" s="173">
        <f t="shared" si="23"/>
        <v>0</v>
      </c>
      <c r="D54" s="173">
        <v>0.90284443333333331</v>
      </c>
      <c r="E54" s="173">
        <v>0.85892263333333341</v>
      </c>
      <c r="F54" s="194">
        <v>0</v>
      </c>
      <c r="G54" s="194">
        <v>8.3000000000000001E-3</v>
      </c>
      <c r="H54" s="195">
        <v>0.99170000000000003</v>
      </c>
      <c r="I54" s="194" t="s">
        <v>24</v>
      </c>
      <c r="J54" s="194">
        <v>0.9019001333333333</v>
      </c>
      <c r="K54" s="194" t="s">
        <v>24</v>
      </c>
      <c r="L54" s="194" t="s">
        <v>24</v>
      </c>
      <c r="M54" s="192" t="s">
        <v>24</v>
      </c>
      <c r="N54" s="192" t="s">
        <v>24</v>
      </c>
      <c r="O54" s="192">
        <f t="shared" si="24"/>
        <v>0</v>
      </c>
      <c r="P54" s="192">
        <v>0.90284426666666662</v>
      </c>
      <c r="Q54" s="192">
        <v>0.85892263333333341</v>
      </c>
      <c r="R54" s="192">
        <v>0</v>
      </c>
      <c r="S54" s="192">
        <v>8.3000000000000001E-3</v>
      </c>
      <c r="T54" s="193">
        <v>0.99170000000000003</v>
      </c>
    </row>
    <row r="55" spans="1:20" x14ac:dyDescent="0.2">
      <c r="A55" s="214"/>
      <c r="B55" s="167">
        <v>3</v>
      </c>
      <c r="C55" s="173" t="s">
        <v>24</v>
      </c>
      <c r="D55" s="173">
        <v>0.90284443333333331</v>
      </c>
      <c r="E55" s="173" t="s">
        <v>24</v>
      </c>
      <c r="F55" s="192" t="s">
        <v>24</v>
      </c>
      <c r="G55" s="192" t="s">
        <v>24</v>
      </c>
      <c r="H55" s="192" t="s">
        <v>24</v>
      </c>
      <c r="I55" s="192" t="s">
        <v>24</v>
      </c>
      <c r="J55" s="192">
        <v>0.9019001333333333</v>
      </c>
      <c r="K55" s="192" t="s">
        <v>24</v>
      </c>
      <c r="L55" s="192" t="s">
        <v>24</v>
      </c>
      <c r="M55" s="192" t="s">
        <v>24</v>
      </c>
      <c r="N55" s="192" t="s">
        <v>24</v>
      </c>
      <c r="O55" s="192" t="s">
        <v>24</v>
      </c>
      <c r="P55" s="192">
        <v>0.90284426666666662</v>
      </c>
      <c r="Q55" s="192" t="s">
        <v>24</v>
      </c>
      <c r="R55" s="192" t="s">
        <v>24</v>
      </c>
      <c r="S55" s="192" t="s">
        <v>24</v>
      </c>
      <c r="T55" s="192" t="s">
        <v>24</v>
      </c>
    </row>
    <row r="56" spans="1:20" x14ac:dyDescent="0.2">
      <c r="A56" s="214"/>
      <c r="B56" s="167">
        <v>4</v>
      </c>
      <c r="C56" s="168" t="s">
        <v>71</v>
      </c>
      <c r="D56" s="168">
        <v>0.90284443333333331</v>
      </c>
      <c r="E56" s="168">
        <v>0.97429526666666666</v>
      </c>
      <c r="F56" s="195">
        <v>0.99133329999999997</v>
      </c>
      <c r="G56" s="194">
        <v>8.6666669999999994E-3</v>
      </c>
      <c r="H56" s="194">
        <v>0</v>
      </c>
      <c r="I56" s="194">
        <f>L56/N56</f>
        <v>5.1981806367771277</v>
      </c>
      <c r="J56" s="194">
        <v>0.9019001333333333</v>
      </c>
      <c r="K56" s="194">
        <v>0.95786153333333335</v>
      </c>
      <c r="L56" s="192">
        <v>0.8</v>
      </c>
      <c r="M56" s="192">
        <v>4.6100000000000002E-2</v>
      </c>
      <c r="N56" s="192">
        <v>0.15390000000000001</v>
      </c>
      <c r="O56" s="193" t="s">
        <v>71</v>
      </c>
      <c r="P56" s="193">
        <v>0.90284426666666662</v>
      </c>
      <c r="Q56" s="193">
        <v>0.97429526666666666</v>
      </c>
      <c r="R56" s="193">
        <v>0.99133329999999997</v>
      </c>
      <c r="S56" s="192">
        <v>8.6666669999999994E-3</v>
      </c>
      <c r="T56" s="192">
        <v>0</v>
      </c>
    </row>
    <row r="57" spans="1:20" x14ac:dyDescent="0.2">
      <c r="A57" s="214"/>
      <c r="B57" s="167">
        <v>5</v>
      </c>
      <c r="C57" s="173" t="s">
        <v>24</v>
      </c>
      <c r="D57" s="173">
        <v>0.90284443333333331</v>
      </c>
      <c r="E57" s="173" t="s">
        <v>24</v>
      </c>
      <c r="F57" s="194" t="s">
        <v>24</v>
      </c>
      <c r="G57" s="194" t="s">
        <v>24</v>
      </c>
      <c r="H57" s="194" t="s">
        <v>24</v>
      </c>
      <c r="I57" s="194" t="s">
        <v>24</v>
      </c>
      <c r="J57" s="194">
        <v>0.9019001333333333</v>
      </c>
      <c r="K57" s="194" t="s">
        <v>24</v>
      </c>
      <c r="L57" s="194" t="s">
        <v>24</v>
      </c>
      <c r="M57" s="192" t="s">
        <v>24</v>
      </c>
      <c r="N57" s="192" t="s">
        <v>24</v>
      </c>
      <c r="O57" s="192" t="s">
        <v>24</v>
      </c>
      <c r="P57" s="192">
        <v>0.90284426666666662</v>
      </c>
      <c r="Q57" s="192" t="s">
        <v>24</v>
      </c>
      <c r="R57" s="193" t="s">
        <v>24</v>
      </c>
      <c r="S57" s="192" t="s">
        <v>24</v>
      </c>
      <c r="T57" s="192" t="s">
        <v>24</v>
      </c>
    </row>
    <row r="58" spans="1:20" x14ac:dyDescent="0.2">
      <c r="A58" s="130"/>
      <c r="B58" s="167"/>
      <c r="C58" s="173"/>
      <c r="D58" s="173"/>
      <c r="E58" s="173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</row>
    <row r="59" spans="1:20" x14ac:dyDescent="0.2">
      <c r="A59" s="214" t="s">
        <v>82</v>
      </c>
      <c r="B59" s="167">
        <v>1</v>
      </c>
      <c r="C59" s="173" t="s">
        <v>71</v>
      </c>
      <c r="D59" s="173">
        <v>0.90284443333333331</v>
      </c>
      <c r="E59" s="173">
        <v>0.9161661333333333</v>
      </c>
      <c r="F59" s="192">
        <v>0.69650000000000001</v>
      </c>
      <c r="G59" s="192">
        <v>0.30349999999999999</v>
      </c>
      <c r="H59" s="192">
        <v>0</v>
      </c>
      <c r="I59" s="192" t="s">
        <v>24</v>
      </c>
      <c r="J59" s="192">
        <v>0.9019001333333333</v>
      </c>
      <c r="K59" s="192" t="s">
        <v>24</v>
      </c>
      <c r="L59" s="192" t="s">
        <v>24</v>
      </c>
      <c r="M59" s="192" t="s">
        <v>24</v>
      </c>
      <c r="N59" s="192" t="s">
        <v>24</v>
      </c>
      <c r="O59" s="192" t="s">
        <v>71</v>
      </c>
      <c r="P59" s="192">
        <v>0.90284426666666662</v>
      </c>
      <c r="Q59" s="192">
        <v>0.9161661333333333</v>
      </c>
      <c r="R59" s="192">
        <v>0.69650000000000001</v>
      </c>
      <c r="S59" s="192">
        <v>0.30349999999999999</v>
      </c>
      <c r="T59" s="192">
        <v>0</v>
      </c>
    </row>
    <row r="60" spans="1:20" x14ac:dyDescent="0.2">
      <c r="A60" s="214"/>
      <c r="B60" s="167">
        <v>2</v>
      </c>
      <c r="C60" s="173">
        <f t="shared" ref="C60" si="25">F60/H60</f>
        <v>0</v>
      </c>
      <c r="D60" s="173">
        <v>0.90284443333333331</v>
      </c>
      <c r="E60" s="173">
        <v>0.85855043333333336</v>
      </c>
      <c r="F60" s="194">
        <v>0</v>
      </c>
      <c r="G60" s="194">
        <v>8.7666670000000006E-3</v>
      </c>
      <c r="H60" s="195">
        <v>0.99123329999999998</v>
      </c>
      <c r="I60" s="195" t="s">
        <v>24</v>
      </c>
      <c r="J60" s="195">
        <v>0.9019001333333333</v>
      </c>
      <c r="K60" s="195" t="s">
        <v>24</v>
      </c>
      <c r="L60" s="192" t="s">
        <v>24</v>
      </c>
      <c r="M60" s="192" t="s">
        <v>24</v>
      </c>
      <c r="N60" s="192" t="s">
        <v>24</v>
      </c>
      <c r="O60" s="192">
        <f t="shared" ref="O60" si="26">R60/T60</f>
        <v>0</v>
      </c>
      <c r="P60" s="192">
        <v>0.90284426666666662</v>
      </c>
      <c r="Q60" s="192">
        <v>0.85855043333333336</v>
      </c>
      <c r="R60" s="192">
        <v>0</v>
      </c>
      <c r="S60" s="192">
        <v>8.7666670000000006E-3</v>
      </c>
      <c r="T60" s="193">
        <v>0.99123329999999998</v>
      </c>
    </row>
    <row r="61" spans="1:20" x14ac:dyDescent="0.2">
      <c r="A61" s="214"/>
      <c r="B61" s="167">
        <v>3</v>
      </c>
      <c r="C61" s="168" t="s">
        <v>24</v>
      </c>
      <c r="D61" s="173">
        <v>0.90284443333333331</v>
      </c>
      <c r="E61" s="173" t="s">
        <v>24</v>
      </c>
      <c r="F61" s="192" t="s">
        <v>24</v>
      </c>
      <c r="G61" s="192" t="s">
        <v>24</v>
      </c>
      <c r="H61" s="192" t="s">
        <v>24</v>
      </c>
      <c r="I61" s="192" t="s">
        <v>24</v>
      </c>
      <c r="J61" s="192">
        <v>0.9019001333333333</v>
      </c>
      <c r="K61" s="192" t="s">
        <v>24</v>
      </c>
      <c r="L61" s="192" t="s">
        <v>24</v>
      </c>
      <c r="M61" s="192" t="s">
        <v>24</v>
      </c>
      <c r="N61" s="192" t="s">
        <v>24</v>
      </c>
      <c r="O61" s="192" t="s">
        <v>24</v>
      </c>
      <c r="P61" s="192">
        <v>0.90284426666666662</v>
      </c>
      <c r="Q61" s="192" t="s">
        <v>24</v>
      </c>
      <c r="R61" s="192" t="s">
        <v>24</v>
      </c>
      <c r="S61" s="192" t="s">
        <v>24</v>
      </c>
      <c r="T61" s="192" t="s">
        <v>24</v>
      </c>
    </row>
    <row r="62" spans="1:20" x14ac:dyDescent="0.2">
      <c r="A62" s="214"/>
      <c r="B62" s="167">
        <v>4</v>
      </c>
      <c r="C62" s="168" t="s">
        <v>71</v>
      </c>
      <c r="D62" s="168">
        <v>0.90284443333333331</v>
      </c>
      <c r="E62" s="168">
        <v>0.9686756666666666</v>
      </c>
      <c r="F62" s="193">
        <v>0.99133329999999997</v>
      </c>
      <c r="G62" s="192">
        <v>8.6666669999999994E-3</v>
      </c>
      <c r="H62" s="192">
        <v>0</v>
      </c>
      <c r="I62" s="192">
        <f>L62/N62</f>
        <v>5.2807914996249172</v>
      </c>
      <c r="J62" s="192">
        <v>0.9019001333333333</v>
      </c>
      <c r="K62" s="192">
        <v>0.95658349999999992</v>
      </c>
      <c r="L62" s="192">
        <v>0.80179999999999996</v>
      </c>
      <c r="M62" s="192">
        <v>4.6366669999999999E-2</v>
      </c>
      <c r="N62" s="192">
        <v>0.1518333</v>
      </c>
      <c r="O62" s="193" t="s">
        <v>71</v>
      </c>
      <c r="P62" s="193">
        <v>0.90284426666666662</v>
      </c>
      <c r="Q62" s="193">
        <v>0.9686756666666666</v>
      </c>
      <c r="R62" s="193">
        <v>0.99103330000000001</v>
      </c>
      <c r="S62" s="192">
        <v>8.9666669999999993E-3</v>
      </c>
      <c r="T62" s="192">
        <v>0</v>
      </c>
    </row>
    <row r="63" spans="1:20" ht="17" thickBot="1" x14ac:dyDescent="0.25">
      <c r="A63" s="213"/>
      <c r="B63" s="115">
        <v>5</v>
      </c>
      <c r="C63" s="196" t="s">
        <v>24</v>
      </c>
      <c r="D63" s="175">
        <v>0.90284443333333331</v>
      </c>
      <c r="E63" s="175" t="s">
        <v>24</v>
      </c>
      <c r="F63" s="160" t="s">
        <v>24</v>
      </c>
      <c r="G63" s="160" t="s">
        <v>24</v>
      </c>
      <c r="H63" s="160" t="s">
        <v>24</v>
      </c>
      <c r="I63" s="160" t="s">
        <v>24</v>
      </c>
      <c r="J63" s="160">
        <v>0.9019001333333333</v>
      </c>
      <c r="K63" s="160" t="s">
        <v>24</v>
      </c>
      <c r="L63" s="161" t="s">
        <v>24</v>
      </c>
      <c r="M63" s="161" t="s">
        <v>24</v>
      </c>
      <c r="N63" s="161" t="s">
        <v>24</v>
      </c>
      <c r="O63" s="161" t="s">
        <v>24</v>
      </c>
      <c r="P63" s="161">
        <v>0.90284426666666662</v>
      </c>
      <c r="Q63" s="161" t="s">
        <v>24</v>
      </c>
      <c r="R63" s="159" t="s">
        <v>24</v>
      </c>
      <c r="S63" s="162" t="s">
        <v>24</v>
      </c>
      <c r="T63" s="162" t="s">
        <v>24</v>
      </c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616C-D44C-BD42-ADEE-4CD109370BD9}">
  <dimension ref="A1:T63"/>
  <sheetViews>
    <sheetView showGridLines="0" topLeftCell="A40" workbookViewId="0">
      <selection activeCell="T63" sqref="A2:T63"/>
    </sheetView>
  </sheetViews>
  <sheetFormatPr baseColWidth="10" defaultRowHeight="16" x14ac:dyDescent="0.2"/>
  <cols>
    <col min="1" max="1" width="27.6640625" customWidth="1"/>
  </cols>
  <sheetData>
    <row r="1" spans="1:20" ht="17" thickBot="1" x14ac:dyDescent="0.25">
      <c r="A1" s="211" t="s">
        <v>200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52" thickBot="1" x14ac:dyDescent="0.25">
      <c r="A4" s="138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180</v>
      </c>
      <c r="D5" s="172">
        <v>0.92400000000000004</v>
      </c>
      <c r="E5" s="172">
        <v>0.54730000000000001</v>
      </c>
      <c r="F5" s="180"/>
      <c r="G5" s="180"/>
      <c r="H5" s="180"/>
      <c r="I5" s="181" t="s">
        <v>180</v>
      </c>
      <c r="J5" s="181">
        <v>0.91790000000000005</v>
      </c>
      <c r="K5" s="181">
        <v>0.66249999999999998</v>
      </c>
      <c r="L5" s="180"/>
      <c r="M5" s="180"/>
      <c r="N5" s="180"/>
      <c r="O5" s="181" t="s">
        <v>180</v>
      </c>
      <c r="P5" s="181">
        <v>0.92400000000000004</v>
      </c>
      <c r="Q5" s="181">
        <v>0.54730000000000001</v>
      </c>
      <c r="R5" s="180"/>
      <c r="S5" s="180"/>
      <c r="T5" s="180"/>
    </row>
    <row r="6" spans="1:20" x14ac:dyDescent="0.2">
      <c r="A6" s="214"/>
      <c r="B6" s="167">
        <v>2</v>
      </c>
      <c r="C6" s="172" t="s">
        <v>180</v>
      </c>
      <c r="D6" s="172">
        <v>0.92400000000000004</v>
      </c>
      <c r="E6" s="172">
        <v>0.82079999999999997</v>
      </c>
      <c r="F6" s="180"/>
      <c r="G6" s="180"/>
      <c r="H6" s="180"/>
      <c r="I6" s="181" t="s">
        <v>180</v>
      </c>
      <c r="J6" s="181">
        <v>0.91790000000000005</v>
      </c>
      <c r="K6" s="181">
        <v>0.89681370000000005</v>
      </c>
      <c r="L6" s="180"/>
      <c r="M6" s="180"/>
      <c r="N6" s="180"/>
      <c r="O6" s="181" t="s">
        <v>180</v>
      </c>
      <c r="P6" s="181">
        <v>0.92400000000000004</v>
      </c>
      <c r="Q6" s="181">
        <v>0.82079999999999997</v>
      </c>
      <c r="R6" s="180"/>
      <c r="S6" s="180"/>
      <c r="T6" s="180"/>
    </row>
    <row r="7" spans="1:20" x14ac:dyDescent="0.2">
      <c r="A7" s="214"/>
      <c r="B7" s="167">
        <v>3</v>
      </c>
      <c r="C7" s="172" t="s">
        <v>180</v>
      </c>
      <c r="D7" s="172">
        <v>0.92400000000000004</v>
      </c>
      <c r="E7" s="172">
        <v>0.43730000000000002</v>
      </c>
      <c r="F7" s="180"/>
      <c r="G7" s="180"/>
      <c r="H7" s="180"/>
      <c r="I7" s="181" t="s">
        <v>180</v>
      </c>
      <c r="J7" s="181">
        <v>0.91790000000000005</v>
      </c>
      <c r="K7" s="181">
        <v>0.56030000000000002</v>
      </c>
      <c r="L7" s="180"/>
      <c r="M7" s="180"/>
      <c r="N7" s="180"/>
      <c r="O7" s="181" t="s">
        <v>180</v>
      </c>
      <c r="P7" s="181">
        <v>0.92400000000000004</v>
      </c>
      <c r="Q7" s="181">
        <v>0.66839999999999999</v>
      </c>
      <c r="R7" s="180"/>
      <c r="S7" s="180"/>
      <c r="T7" s="180"/>
    </row>
    <row r="8" spans="1:20" x14ac:dyDescent="0.2">
      <c r="A8" s="214"/>
      <c r="B8" s="167">
        <v>4</v>
      </c>
      <c r="C8" s="172" t="s">
        <v>180</v>
      </c>
      <c r="D8" s="172">
        <v>0.92400000000000004</v>
      </c>
      <c r="E8" s="172">
        <v>0.31269999999999998</v>
      </c>
      <c r="F8" s="180"/>
      <c r="G8" s="180"/>
      <c r="H8" s="180"/>
      <c r="I8" s="181" t="s">
        <v>180</v>
      </c>
      <c r="J8" s="181">
        <v>0.91790000000000005</v>
      </c>
      <c r="K8" s="181">
        <v>0.35830000000000001</v>
      </c>
      <c r="L8" s="180"/>
      <c r="M8" s="180"/>
      <c r="N8" s="180"/>
      <c r="O8" s="181" t="s">
        <v>180</v>
      </c>
      <c r="P8" s="181">
        <v>0.92400000000000004</v>
      </c>
      <c r="Q8" s="181">
        <v>0.43730000000000002</v>
      </c>
      <c r="R8" s="180"/>
      <c r="S8" s="180"/>
      <c r="T8" s="180"/>
    </row>
    <row r="9" spans="1:20" x14ac:dyDescent="0.2">
      <c r="A9" s="214"/>
      <c r="B9" s="167">
        <v>5</v>
      </c>
      <c r="C9" s="172" t="s">
        <v>24</v>
      </c>
      <c r="D9" s="172">
        <v>0.92400000000000004</v>
      </c>
      <c r="E9" s="172" t="s">
        <v>24</v>
      </c>
      <c r="F9" s="182"/>
      <c r="G9" s="182"/>
      <c r="H9" s="182"/>
      <c r="I9" s="171" t="s">
        <v>180</v>
      </c>
      <c r="J9" s="171">
        <v>0.91790000000000005</v>
      </c>
      <c r="K9" s="171">
        <v>0.15809999999999999</v>
      </c>
      <c r="L9" s="180"/>
      <c r="M9" s="180"/>
      <c r="N9" s="180"/>
      <c r="O9" s="181"/>
      <c r="P9" s="181">
        <v>0.92400000000000004</v>
      </c>
      <c r="Q9" s="181" t="s">
        <v>24</v>
      </c>
      <c r="R9" s="180"/>
      <c r="S9" s="180"/>
      <c r="T9" s="180"/>
    </row>
    <row r="10" spans="1:20" x14ac:dyDescent="0.2">
      <c r="A10" s="130"/>
      <c r="B10" s="167"/>
      <c r="C10" s="172"/>
      <c r="D10" s="172"/>
      <c r="E10" s="172"/>
      <c r="F10" s="180"/>
      <c r="G10" s="180"/>
      <c r="H10" s="180"/>
      <c r="I10" s="180"/>
      <c r="J10" s="180"/>
      <c r="K10" s="180"/>
      <c r="L10" s="180"/>
      <c r="M10" s="180"/>
      <c r="N10" s="180"/>
      <c r="O10" s="181"/>
      <c r="P10" s="181"/>
      <c r="Q10" s="181"/>
      <c r="R10" s="180"/>
      <c r="S10" s="180"/>
      <c r="T10" s="180"/>
    </row>
    <row r="11" spans="1:20" x14ac:dyDescent="0.2">
      <c r="A11" s="214" t="s">
        <v>74</v>
      </c>
      <c r="B11" s="167">
        <v>1</v>
      </c>
      <c r="C11" s="172" t="s">
        <v>180</v>
      </c>
      <c r="D11" s="172">
        <v>0.92400000000000004</v>
      </c>
      <c r="E11" s="172">
        <v>0.91349999999999998</v>
      </c>
      <c r="F11" s="180"/>
      <c r="G11" s="180"/>
      <c r="H11" s="180"/>
      <c r="I11" s="183" t="s">
        <v>180</v>
      </c>
      <c r="J11" s="180">
        <v>0.91790000000000005</v>
      </c>
      <c r="K11" s="180">
        <v>0.91639999999999999</v>
      </c>
      <c r="L11" s="180"/>
      <c r="M11" s="183" t="s">
        <v>86</v>
      </c>
      <c r="N11" s="180"/>
      <c r="O11" s="181" t="s">
        <v>182</v>
      </c>
      <c r="P11" s="181">
        <v>0.92400000000000004</v>
      </c>
      <c r="Q11" s="181">
        <v>0.91349999999999998</v>
      </c>
      <c r="R11" s="180"/>
      <c r="S11" s="180"/>
      <c r="T11" s="180"/>
    </row>
    <row r="12" spans="1:20" x14ac:dyDescent="0.2">
      <c r="A12" s="214"/>
      <c r="B12" s="167">
        <v>2</v>
      </c>
      <c r="C12" s="172" t="s">
        <v>180</v>
      </c>
      <c r="D12" s="172">
        <v>0.92400000000000004</v>
      </c>
      <c r="E12" s="172">
        <v>0.89219999999999999</v>
      </c>
      <c r="F12" s="180"/>
      <c r="G12" s="180"/>
      <c r="H12" s="180"/>
      <c r="I12" s="181" t="s">
        <v>180</v>
      </c>
      <c r="J12" s="181">
        <v>0.91790000000000005</v>
      </c>
      <c r="K12" s="181">
        <v>0.89680000000000004</v>
      </c>
      <c r="L12" s="180"/>
      <c r="M12" s="183"/>
      <c r="N12" s="180"/>
      <c r="O12" s="181" t="s">
        <v>180</v>
      </c>
      <c r="P12" s="181">
        <v>0.92400000000000004</v>
      </c>
      <c r="Q12" s="181">
        <v>0.89219999999999999</v>
      </c>
      <c r="R12" s="180"/>
      <c r="S12" s="180"/>
      <c r="T12" s="180"/>
    </row>
    <row r="13" spans="1:20" x14ac:dyDescent="0.2">
      <c r="A13" s="214"/>
      <c r="B13" s="167">
        <v>3</v>
      </c>
      <c r="C13" s="172" t="s">
        <v>180</v>
      </c>
      <c r="D13" s="172">
        <v>0.92400000000000004</v>
      </c>
      <c r="E13" s="172">
        <v>0.70779999999999998</v>
      </c>
      <c r="F13" s="180"/>
      <c r="G13" s="180"/>
      <c r="H13" s="180"/>
      <c r="I13" s="181" t="s">
        <v>180</v>
      </c>
      <c r="J13" s="181">
        <v>0.91790000000000005</v>
      </c>
      <c r="K13" s="181">
        <v>0.77839999999999998</v>
      </c>
      <c r="L13" s="180"/>
      <c r="M13" s="180"/>
      <c r="N13" s="180"/>
      <c r="O13" s="181" t="s">
        <v>180</v>
      </c>
      <c r="P13" s="181">
        <v>0.92400000000000004</v>
      </c>
      <c r="Q13" s="181">
        <v>0.70779999999999998</v>
      </c>
      <c r="R13" s="180"/>
      <c r="S13" s="180"/>
      <c r="T13" s="180"/>
    </row>
    <row r="14" spans="1:20" x14ac:dyDescent="0.2">
      <c r="A14" s="214"/>
      <c r="B14" s="167">
        <v>4</v>
      </c>
      <c r="C14" s="172" t="s">
        <v>180</v>
      </c>
      <c r="D14" s="172">
        <v>0.92400000000000004</v>
      </c>
      <c r="E14" s="172">
        <v>0.49709999999999999</v>
      </c>
      <c r="F14" s="182"/>
      <c r="G14" s="182"/>
      <c r="H14" s="182"/>
      <c r="I14" s="171" t="s">
        <v>180</v>
      </c>
      <c r="J14" s="171">
        <v>0.91790000000000005</v>
      </c>
      <c r="K14" s="171">
        <v>0.49659999999999999</v>
      </c>
      <c r="L14" s="180"/>
      <c r="M14" s="180"/>
      <c r="N14" s="180"/>
      <c r="O14" s="181" t="s">
        <v>180</v>
      </c>
      <c r="P14" s="181">
        <v>0.92400000000000004</v>
      </c>
      <c r="Q14" s="181">
        <v>0.49709999999999999</v>
      </c>
      <c r="R14" s="180"/>
      <c r="S14" s="180"/>
      <c r="T14" s="180"/>
    </row>
    <row r="15" spans="1:20" x14ac:dyDescent="0.2">
      <c r="A15" s="214"/>
      <c r="B15" s="167">
        <v>5</v>
      </c>
      <c r="C15" s="172" t="s">
        <v>180</v>
      </c>
      <c r="D15" s="172">
        <v>0.92400000000000004</v>
      </c>
      <c r="E15" s="172">
        <v>0.41909999999999997</v>
      </c>
      <c r="F15" s="182"/>
      <c r="G15" s="182"/>
      <c r="H15" s="182"/>
      <c r="I15" s="171" t="s">
        <v>180</v>
      </c>
      <c r="J15" s="171">
        <v>0.91790000000000005</v>
      </c>
      <c r="K15" s="171">
        <v>0.72897819999999991</v>
      </c>
      <c r="L15" s="180"/>
      <c r="M15" s="180"/>
      <c r="N15" s="180"/>
      <c r="O15" s="181" t="s">
        <v>180</v>
      </c>
      <c r="P15" s="181">
        <v>0.92400000000000004</v>
      </c>
      <c r="Q15" s="181">
        <v>0.41909999999999997</v>
      </c>
      <c r="R15" s="180"/>
      <c r="S15" s="180"/>
      <c r="T15" s="180"/>
    </row>
    <row r="16" spans="1:20" ht="17" thickBot="1" x14ac:dyDescent="0.25">
      <c r="A16" s="138"/>
      <c r="B16" s="115"/>
      <c r="C16" s="114"/>
      <c r="D16" s="114"/>
      <c r="E16" s="114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1:20" x14ac:dyDescent="0.2">
      <c r="A17" s="214" t="s">
        <v>75</v>
      </c>
      <c r="B17" s="167">
        <v>1</v>
      </c>
      <c r="C17" s="172" t="s">
        <v>180</v>
      </c>
      <c r="D17" s="172">
        <v>0.92749999999999999</v>
      </c>
      <c r="E17" s="172">
        <v>0.53359999999999996</v>
      </c>
      <c r="F17" s="180"/>
      <c r="G17" s="180"/>
      <c r="H17" s="180"/>
      <c r="I17" s="181" t="s">
        <v>180</v>
      </c>
      <c r="J17" s="181">
        <v>0.92700000000000005</v>
      </c>
      <c r="K17" s="181">
        <v>0.56740000000000002</v>
      </c>
      <c r="L17" s="180"/>
      <c r="M17" s="180"/>
      <c r="N17" s="180"/>
      <c r="O17" s="181" t="s">
        <v>180</v>
      </c>
      <c r="P17" s="181">
        <v>0.92749999999999999</v>
      </c>
      <c r="Q17" s="181">
        <v>0.53359999999999996</v>
      </c>
      <c r="R17" s="180"/>
      <c r="S17" s="180"/>
      <c r="T17" s="180"/>
    </row>
    <row r="18" spans="1:20" x14ac:dyDescent="0.2">
      <c r="A18" s="214"/>
      <c r="B18" s="167">
        <v>2</v>
      </c>
      <c r="C18" s="172" t="s">
        <v>180</v>
      </c>
      <c r="D18" s="172">
        <v>0.92749999999999999</v>
      </c>
      <c r="E18" s="172">
        <v>0.85760000000000003</v>
      </c>
      <c r="F18" s="180"/>
      <c r="G18" s="180"/>
      <c r="H18" s="180"/>
      <c r="I18" s="181" t="s">
        <v>180</v>
      </c>
      <c r="J18" s="181">
        <v>0.92700000000000005</v>
      </c>
      <c r="K18" s="181">
        <v>0.88680000000000003</v>
      </c>
      <c r="L18" s="180"/>
      <c r="M18" s="180"/>
      <c r="N18" s="180"/>
      <c r="O18" s="181" t="s">
        <v>180</v>
      </c>
      <c r="P18" s="181">
        <v>0.92749999999999999</v>
      </c>
      <c r="Q18" s="181">
        <v>0.85760000000000003</v>
      </c>
      <c r="R18" s="180"/>
      <c r="S18" s="180"/>
      <c r="T18" s="180"/>
    </row>
    <row r="19" spans="1:20" x14ac:dyDescent="0.2">
      <c r="A19" s="214"/>
      <c r="B19" s="167">
        <v>3</v>
      </c>
      <c r="C19" s="172" t="s">
        <v>180</v>
      </c>
      <c r="D19" s="172">
        <v>0.92749999999999999</v>
      </c>
      <c r="E19" s="172">
        <v>0.43409999999999999</v>
      </c>
      <c r="F19" s="180"/>
      <c r="G19" s="180"/>
      <c r="H19" s="180"/>
      <c r="I19" s="181" t="s">
        <v>180</v>
      </c>
      <c r="J19" s="181">
        <v>0.92700000000000005</v>
      </c>
      <c r="K19" s="181">
        <v>0.49490000000000001</v>
      </c>
      <c r="L19" s="180"/>
      <c r="M19" s="180"/>
      <c r="N19" s="180"/>
      <c r="O19" s="181" t="s">
        <v>180</v>
      </c>
      <c r="P19" s="181">
        <v>0.92749999999999999</v>
      </c>
      <c r="Q19" s="181">
        <v>0.43409999999999999</v>
      </c>
      <c r="R19" s="180"/>
      <c r="S19" s="180"/>
      <c r="T19" s="180"/>
    </row>
    <row r="20" spans="1:20" x14ac:dyDescent="0.2">
      <c r="A20" s="214"/>
      <c r="B20" s="167">
        <v>4</v>
      </c>
      <c r="C20" s="172" t="s">
        <v>180</v>
      </c>
      <c r="D20" s="172">
        <v>0.92749999999999999</v>
      </c>
      <c r="E20" s="172">
        <v>0.33700000000000002</v>
      </c>
      <c r="F20" s="182"/>
      <c r="G20" s="182"/>
      <c r="H20" s="182"/>
      <c r="I20" s="171" t="s">
        <v>180</v>
      </c>
      <c r="J20" s="171">
        <v>0.92700000000000005</v>
      </c>
      <c r="K20" s="171">
        <v>0.34949999999999998</v>
      </c>
      <c r="L20" s="180"/>
      <c r="M20" s="180"/>
      <c r="N20" s="180"/>
      <c r="O20" s="181" t="s">
        <v>180</v>
      </c>
      <c r="P20" s="181">
        <v>0.92749999999999999</v>
      </c>
      <c r="Q20" s="181">
        <v>0.33700000000000002</v>
      </c>
      <c r="R20" s="180"/>
      <c r="S20" s="180"/>
      <c r="T20" s="180"/>
    </row>
    <row r="21" spans="1:20" x14ac:dyDescent="0.2">
      <c r="A21" s="214"/>
      <c r="B21" s="167">
        <v>5</v>
      </c>
      <c r="C21" s="172" t="s">
        <v>24</v>
      </c>
      <c r="D21" s="172">
        <v>0.92749999999999999</v>
      </c>
      <c r="E21" s="172" t="s">
        <v>24</v>
      </c>
      <c r="F21" s="182"/>
      <c r="G21" s="182"/>
      <c r="H21" s="182"/>
      <c r="I21" s="171" t="s">
        <v>180</v>
      </c>
      <c r="J21" s="171">
        <v>0.92700000000000005</v>
      </c>
      <c r="K21" s="171">
        <v>3.8199999999999998E-2</v>
      </c>
      <c r="L21" s="183"/>
      <c r="M21" s="180"/>
      <c r="N21" s="180"/>
      <c r="O21" s="180"/>
      <c r="P21" s="180">
        <v>0.92749999999999999</v>
      </c>
      <c r="Q21" s="180" t="s">
        <v>24</v>
      </c>
      <c r="R21" s="180"/>
      <c r="S21" s="180"/>
      <c r="T21" s="180"/>
    </row>
    <row r="22" spans="1:20" x14ac:dyDescent="0.2">
      <c r="A22" s="130"/>
      <c r="B22" s="167"/>
      <c r="C22" s="172"/>
      <c r="D22" s="172"/>
      <c r="E22" s="172"/>
      <c r="F22" s="180"/>
      <c r="G22" s="180"/>
      <c r="H22" s="180"/>
      <c r="I22" s="180"/>
      <c r="J22" s="180"/>
      <c r="K22" s="180"/>
      <c r="L22" s="180"/>
      <c r="M22" s="180"/>
      <c r="N22" s="180"/>
      <c r="O22" s="181" t="s">
        <v>180</v>
      </c>
      <c r="P22" s="181"/>
      <c r="Q22" s="181"/>
      <c r="R22" s="180"/>
      <c r="S22" s="180"/>
      <c r="T22" s="180"/>
    </row>
    <row r="23" spans="1:20" x14ac:dyDescent="0.2">
      <c r="A23" s="214" t="s">
        <v>76</v>
      </c>
      <c r="B23" s="167">
        <v>1</v>
      </c>
      <c r="C23" s="172" t="s">
        <v>180</v>
      </c>
      <c r="D23" s="172">
        <v>0.92749999999999999</v>
      </c>
      <c r="E23" s="172">
        <v>0.90469999999999995</v>
      </c>
      <c r="F23" s="180"/>
      <c r="G23" s="180"/>
      <c r="H23" s="180"/>
      <c r="I23" s="181" t="s">
        <v>180</v>
      </c>
      <c r="J23" s="181">
        <v>0.92700000000000005</v>
      </c>
      <c r="K23" s="181">
        <v>0.91420000000000001</v>
      </c>
      <c r="L23" s="180"/>
      <c r="M23" s="180"/>
      <c r="N23" s="180"/>
      <c r="O23" s="181" t="s">
        <v>180</v>
      </c>
      <c r="P23" s="181">
        <v>0.92749999999999999</v>
      </c>
      <c r="Q23" s="181">
        <v>0.90469999999999995</v>
      </c>
      <c r="R23" s="180"/>
      <c r="S23" s="180"/>
      <c r="T23" s="180"/>
    </row>
    <row r="24" spans="1:20" x14ac:dyDescent="0.2">
      <c r="A24" s="214"/>
      <c r="B24" s="167">
        <v>2</v>
      </c>
      <c r="C24" s="172" t="s">
        <v>180</v>
      </c>
      <c r="D24" s="172">
        <v>0.92749999999999999</v>
      </c>
      <c r="E24" s="172">
        <v>0.87129999999999996</v>
      </c>
      <c r="F24" s="180"/>
      <c r="G24" s="180"/>
      <c r="H24" s="180"/>
      <c r="I24" s="181" t="s">
        <v>180</v>
      </c>
      <c r="J24" s="181">
        <v>0.92700000000000005</v>
      </c>
      <c r="K24" s="181">
        <v>0.877</v>
      </c>
      <c r="L24" s="180"/>
      <c r="M24" s="180"/>
      <c r="N24" s="180"/>
      <c r="O24" s="181" t="s">
        <v>180</v>
      </c>
      <c r="P24" s="181">
        <v>0.92749999999999999</v>
      </c>
      <c r="Q24" s="181">
        <v>0.87129999999999996</v>
      </c>
      <c r="R24" s="180"/>
      <c r="S24" s="180"/>
      <c r="T24" s="180"/>
    </row>
    <row r="25" spans="1:20" x14ac:dyDescent="0.2">
      <c r="A25" s="214"/>
      <c r="B25" s="167">
        <v>3</v>
      </c>
      <c r="C25" s="172" t="s">
        <v>180</v>
      </c>
      <c r="D25" s="172">
        <v>0.92749999999999999</v>
      </c>
      <c r="E25" s="172">
        <v>0.61939999999999995</v>
      </c>
      <c r="F25" s="180"/>
      <c r="G25" s="180"/>
      <c r="H25" s="180"/>
      <c r="I25" s="181" t="s">
        <v>180</v>
      </c>
      <c r="J25" s="181">
        <v>0.92700000000000005</v>
      </c>
      <c r="K25" s="181">
        <v>0.64529999999999998</v>
      </c>
      <c r="L25" s="180"/>
      <c r="M25" s="180"/>
      <c r="N25" s="180"/>
      <c r="O25" s="181" t="s">
        <v>180</v>
      </c>
      <c r="P25" s="181">
        <v>0.92749999999999999</v>
      </c>
      <c r="Q25" s="181">
        <v>0.61939999999999995</v>
      </c>
      <c r="R25" s="180"/>
      <c r="S25" s="180"/>
      <c r="T25" s="180"/>
    </row>
    <row r="26" spans="1:20" x14ac:dyDescent="0.2">
      <c r="A26" s="214"/>
      <c r="B26" s="167">
        <v>4</v>
      </c>
      <c r="C26" s="172" t="s">
        <v>180</v>
      </c>
      <c r="D26" s="172">
        <v>0.92749999999999999</v>
      </c>
      <c r="E26" s="172">
        <v>0.3931</v>
      </c>
      <c r="F26" s="180"/>
      <c r="G26" s="180"/>
      <c r="H26" s="180"/>
      <c r="I26" s="181" t="s">
        <v>180</v>
      </c>
      <c r="J26" s="181">
        <v>0.92700000000000005</v>
      </c>
      <c r="K26" s="181">
        <v>0.41589999999999999</v>
      </c>
      <c r="L26" s="180"/>
      <c r="M26" s="180"/>
      <c r="N26" s="180"/>
      <c r="O26" s="181" t="s">
        <v>180</v>
      </c>
      <c r="P26" s="181">
        <v>0.92749999999999999</v>
      </c>
      <c r="Q26" s="181">
        <v>0.3931</v>
      </c>
      <c r="R26" s="180"/>
      <c r="S26" s="180"/>
      <c r="T26" s="180"/>
    </row>
    <row r="27" spans="1:20" x14ac:dyDescent="0.2">
      <c r="A27" s="214"/>
      <c r="B27" s="167">
        <v>5</v>
      </c>
      <c r="C27" s="172" t="s">
        <v>180</v>
      </c>
      <c r="D27" s="172">
        <v>0.92749999999999999</v>
      </c>
      <c r="E27" s="172">
        <v>0.30049999999999999</v>
      </c>
      <c r="F27" s="182"/>
      <c r="G27" s="182"/>
      <c r="H27" s="182"/>
      <c r="I27" s="171" t="s">
        <v>180</v>
      </c>
      <c r="J27" s="171">
        <v>0.92700000000000005</v>
      </c>
      <c r="K27" s="171">
        <v>0.32769999999999999</v>
      </c>
      <c r="L27" s="180"/>
      <c r="M27" s="180"/>
      <c r="N27" s="180"/>
      <c r="O27" s="180"/>
      <c r="P27" s="180">
        <v>0.92749999999999999</v>
      </c>
      <c r="Q27" s="180">
        <v>0.30049999999999999</v>
      </c>
      <c r="R27" s="180"/>
      <c r="S27" s="180"/>
      <c r="T27" s="180"/>
    </row>
    <row r="28" spans="1:20" ht="17" thickBot="1" x14ac:dyDescent="0.25">
      <c r="A28" s="138"/>
      <c r="B28" s="115"/>
      <c r="C28" s="114"/>
      <c r="D28" s="114"/>
      <c r="E28" s="114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1:20" x14ac:dyDescent="0.2">
      <c r="A29" s="214" t="s">
        <v>77</v>
      </c>
      <c r="B29" s="167">
        <v>1</v>
      </c>
      <c r="C29" s="172" t="s">
        <v>181</v>
      </c>
      <c r="D29" s="172">
        <v>0.37790000000000001</v>
      </c>
      <c r="E29" s="172">
        <v>0.39950000000000002</v>
      </c>
      <c r="F29" s="183"/>
      <c r="G29" s="180"/>
      <c r="H29" s="180"/>
      <c r="I29" s="6" t="s">
        <v>180</v>
      </c>
      <c r="J29" s="6">
        <v>0.60980000000000001</v>
      </c>
      <c r="K29" s="6">
        <v>0.37619999999999998</v>
      </c>
      <c r="L29" s="183"/>
      <c r="M29" s="180"/>
      <c r="N29" s="180"/>
      <c r="O29" s="181" t="s">
        <v>180</v>
      </c>
      <c r="P29" s="181">
        <v>0.37790000000000001</v>
      </c>
      <c r="Q29" s="181">
        <v>0.39950000000000002</v>
      </c>
      <c r="R29" s="183"/>
      <c r="S29" s="180"/>
      <c r="T29" s="180"/>
    </row>
    <row r="30" spans="1:20" x14ac:dyDescent="0.2">
      <c r="A30" s="214"/>
      <c r="B30" s="167">
        <v>2</v>
      </c>
      <c r="C30" s="172" t="s">
        <v>181</v>
      </c>
      <c r="D30" s="172">
        <v>0.37790000000000001</v>
      </c>
      <c r="E30" s="172">
        <v>0.54679999999999995</v>
      </c>
      <c r="F30" s="180"/>
      <c r="G30" s="180"/>
      <c r="H30" s="180"/>
      <c r="I30" s="181" t="s">
        <v>180</v>
      </c>
      <c r="J30" s="181">
        <v>0.60980000000000001</v>
      </c>
      <c r="K30" s="181">
        <v>0.19359999999999999</v>
      </c>
      <c r="L30" s="180"/>
      <c r="M30" s="180"/>
      <c r="N30" s="180"/>
      <c r="O30" s="181" t="s">
        <v>180</v>
      </c>
      <c r="P30" s="181">
        <v>0.37790000000000001</v>
      </c>
      <c r="Q30" s="181">
        <v>0.54679999999999995</v>
      </c>
      <c r="R30" s="180"/>
      <c r="S30" s="180"/>
      <c r="T30" s="180"/>
    </row>
    <row r="31" spans="1:20" x14ac:dyDescent="0.2">
      <c r="A31" s="214"/>
      <c r="B31" s="167">
        <v>3</v>
      </c>
      <c r="C31" s="172" t="s">
        <v>180</v>
      </c>
      <c r="D31" s="172">
        <v>0.37790000000000001</v>
      </c>
      <c r="E31" s="172">
        <v>0.33110000000000001</v>
      </c>
      <c r="F31" s="180"/>
      <c r="G31" s="180"/>
      <c r="H31" s="180"/>
      <c r="I31" s="181" t="s">
        <v>180</v>
      </c>
      <c r="J31" s="181">
        <v>0.60980000000000001</v>
      </c>
      <c r="K31" s="181">
        <v>0.26669999999999999</v>
      </c>
      <c r="L31" s="180"/>
      <c r="M31" s="180"/>
      <c r="N31" s="180"/>
      <c r="O31" s="181" t="s">
        <v>180</v>
      </c>
      <c r="P31" s="181">
        <v>0.37790000000000001</v>
      </c>
      <c r="Q31" s="181">
        <v>0.33110000000000001</v>
      </c>
      <c r="R31" s="180"/>
      <c r="S31" s="180"/>
      <c r="T31" s="180"/>
    </row>
    <row r="32" spans="1:20" x14ac:dyDescent="0.2">
      <c r="A32" s="214"/>
      <c r="B32" s="167">
        <v>4</v>
      </c>
      <c r="C32" s="172" t="s">
        <v>180</v>
      </c>
      <c r="D32" s="172">
        <v>0.37790000000000001</v>
      </c>
      <c r="E32" s="172">
        <v>0.26469999999999999</v>
      </c>
      <c r="F32" s="182"/>
      <c r="G32" s="182"/>
      <c r="H32" s="182"/>
      <c r="I32" s="171" t="s">
        <v>180</v>
      </c>
      <c r="J32" s="171">
        <v>0.60980000000000001</v>
      </c>
      <c r="K32" s="171">
        <v>0.28060000000000002</v>
      </c>
      <c r="L32" s="180"/>
      <c r="M32" s="180"/>
      <c r="N32" s="180"/>
      <c r="O32" s="181" t="s">
        <v>180</v>
      </c>
      <c r="P32" s="181">
        <v>0.37790000000000001</v>
      </c>
      <c r="Q32" s="181">
        <v>0.26469999999999999</v>
      </c>
      <c r="R32" s="180"/>
      <c r="S32" s="180"/>
      <c r="T32" s="180"/>
    </row>
    <row r="33" spans="1:20" x14ac:dyDescent="0.2">
      <c r="A33" s="214"/>
      <c r="B33" s="167">
        <v>5</v>
      </c>
      <c r="C33" s="172" t="s">
        <v>24</v>
      </c>
      <c r="D33" s="172">
        <v>0.37790000000000001</v>
      </c>
      <c r="E33" s="172" t="s">
        <v>24</v>
      </c>
      <c r="F33" s="182"/>
      <c r="G33" s="182"/>
      <c r="H33" s="182"/>
      <c r="I33" s="171" t="s">
        <v>180</v>
      </c>
      <c r="J33" s="171">
        <v>0.60980000000000001</v>
      </c>
      <c r="K33" s="171">
        <v>3.8199999999999998E-2</v>
      </c>
      <c r="L33" s="180"/>
      <c r="M33" s="180"/>
      <c r="N33" s="180"/>
      <c r="O33" s="181" t="s">
        <v>180</v>
      </c>
      <c r="P33" s="181">
        <v>0.37790000000000001</v>
      </c>
      <c r="Q33" s="181" t="s">
        <v>24</v>
      </c>
      <c r="R33" s="180"/>
      <c r="S33" s="180"/>
      <c r="T33" s="180"/>
    </row>
    <row r="34" spans="1:20" x14ac:dyDescent="0.2">
      <c r="A34" s="130"/>
      <c r="B34" s="167"/>
      <c r="C34" s="172"/>
      <c r="D34" s="172"/>
      <c r="E34" s="172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</row>
    <row r="35" spans="1:20" x14ac:dyDescent="0.2">
      <c r="A35" s="214" t="s">
        <v>78</v>
      </c>
      <c r="B35" s="167">
        <v>1</v>
      </c>
      <c r="C35" s="172" t="s">
        <v>180</v>
      </c>
      <c r="D35" s="172">
        <v>0.37790000000000001</v>
      </c>
      <c r="E35" s="172">
        <v>0.2059</v>
      </c>
      <c r="F35" s="180"/>
      <c r="G35" s="180"/>
      <c r="H35" s="180"/>
      <c r="I35" s="181" t="s">
        <v>180</v>
      </c>
      <c r="J35" s="181">
        <v>0.60980000000000001</v>
      </c>
      <c r="K35" s="181">
        <v>0.14169999999999999</v>
      </c>
      <c r="L35" s="180"/>
      <c r="M35" s="180"/>
      <c r="N35" s="180"/>
      <c r="O35" s="181" t="s">
        <v>180</v>
      </c>
      <c r="P35" s="181">
        <v>0.37790000000000001</v>
      </c>
      <c r="Q35" s="181">
        <v>0.2059</v>
      </c>
      <c r="R35" s="180"/>
      <c r="S35" s="180"/>
      <c r="T35" s="180"/>
    </row>
    <row r="36" spans="1:20" x14ac:dyDescent="0.2">
      <c r="A36" s="214"/>
      <c r="B36" s="167">
        <v>2</v>
      </c>
      <c r="C36" s="172" t="s">
        <v>181</v>
      </c>
      <c r="D36" s="172">
        <v>0.37790000000000001</v>
      </c>
      <c r="E36" s="172">
        <v>0.44290000000000002</v>
      </c>
      <c r="F36" s="180"/>
      <c r="G36" s="180"/>
      <c r="H36" s="180"/>
      <c r="I36" s="181" t="s">
        <v>180</v>
      </c>
      <c r="J36" s="181">
        <v>0.60980000000000001</v>
      </c>
      <c r="K36" s="181">
        <v>0.51270000000000004</v>
      </c>
      <c r="L36" s="180"/>
      <c r="M36" s="180"/>
      <c r="N36" s="180"/>
      <c r="O36" s="184" t="s">
        <v>181</v>
      </c>
      <c r="P36" s="181">
        <v>0.37790000000000001</v>
      </c>
      <c r="Q36" s="176">
        <v>0.80119969999999996</v>
      </c>
      <c r="R36" s="180"/>
      <c r="S36" s="180"/>
      <c r="T36" s="180"/>
    </row>
    <row r="37" spans="1:20" x14ac:dyDescent="0.2">
      <c r="A37" s="214"/>
      <c r="B37" s="167">
        <v>3</v>
      </c>
      <c r="C37" s="172" t="s">
        <v>181</v>
      </c>
      <c r="D37" s="172">
        <v>0.37790000000000001</v>
      </c>
      <c r="E37" s="172">
        <v>0.54879999999999995</v>
      </c>
      <c r="F37" s="180"/>
      <c r="G37" s="180"/>
      <c r="H37" s="180"/>
      <c r="I37" s="181" t="s">
        <v>180</v>
      </c>
      <c r="J37" s="181">
        <v>0.60980000000000001</v>
      </c>
      <c r="K37" s="181">
        <v>0.51790000000000003</v>
      </c>
      <c r="L37" s="180"/>
      <c r="M37" s="180"/>
      <c r="N37" s="180"/>
      <c r="O37" s="184" t="s">
        <v>181</v>
      </c>
      <c r="P37" s="181">
        <v>0.37790000000000001</v>
      </c>
      <c r="Q37" s="181">
        <v>0.54879999999999995</v>
      </c>
      <c r="R37" s="180"/>
      <c r="S37" s="180"/>
      <c r="T37" s="180"/>
    </row>
    <row r="38" spans="1:20" x14ac:dyDescent="0.2">
      <c r="A38" s="214"/>
      <c r="B38" s="167">
        <v>4</v>
      </c>
      <c r="C38" s="172" t="s">
        <v>181</v>
      </c>
      <c r="D38" s="172">
        <v>0.37790000000000001</v>
      </c>
      <c r="E38" s="172">
        <v>0.39610000000000001</v>
      </c>
      <c r="F38" s="180"/>
      <c r="G38" s="180"/>
      <c r="H38" s="180"/>
      <c r="I38" s="181" t="s">
        <v>180</v>
      </c>
      <c r="J38" s="181">
        <v>0.60980000000000001</v>
      </c>
      <c r="K38" s="181">
        <v>0.26050000000000001</v>
      </c>
      <c r="L38" s="180"/>
      <c r="M38" s="180"/>
      <c r="N38" s="180"/>
      <c r="O38" s="184" t="s">
        <v>181</v>
      </c>
      <c r="P38" s="181">
        <v>0.37790000000000001</v>
      </c>
      <c r="Q38" s="181">
        <v>0.39610000000000001</v>
      </c>
      <c r="R38" s="180"/>
      <c r="S38" s="180"/>
      <c r="T38" s="180"/>
    </row>
    <row r="39" spans="1:20" x14ac:dyDescent="0.2">
      <c r="A39" s="214"/>
      <c r="B39" s="167">
        <v>5</v>
      </c>
      <c r="C39" s="172" t="s">
        <v>181</v>
      </c>
      <c r="D39" s="172">
        <v>0.37790000000000001</v>
      </c>
      <c r="E39" s="172">
        <v>0.38009999999999999</v>
      </c>
      <c r="F39" s="185"/>
      <c r="G39" s="182"/>
      <c r="H39" s="182"/>
      <c r="I39" s="171" t="s">
        <v>180</v>
      </c>
      <c r="J39" s="171">
        <v>0.60980000000000001</v>
      </c>
      <c r="K39" s="171">
        <v>0.39829999999999999</v>
      </c>
      <c r="L39" s="183"/>
      <c r="M39" s="180"/>
      <c r="N39" s="180"/>
      <c r="O39" s="181" t="s">
        <v>180</v>
      </c>
      <c r="P39" s="181">
        <v>0.37790000000000001</v>
      </c>
      <c r="Q39" s="181">
        <v>0.38009999999999999</v>
      </c>
      <c r="R39" s="180"/>
      <c r="S39" s="183" t="s">
        <v>86</v>
      </c>
      <c r="T39" s="180"/>
    </row>
    <row r="40" spans="1:20" ht="17" thickBot="1" x14ac:dyDescent="0.25">
      <c r="A40" s="138"/>
      <c r="B40" s="115"/>
      <c r="C40" s="114"/>
      <c r="D40" s="114"/>
      <c r="E40" s="114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1:20" x14ac:dyDescent="0.2">
      <c r="A41" s="214" t="s">
        <v>79</v>
      </c>
      <c r="B41" s="167">
        <v>1</v>
      </c>
      <c r="C41" s="172" t="s">
        <v>180</v>
      </c>
      <c r="D41" s="172">
        <v>0.92449999999999999</v>
      </c>
      <c r="E41" s="172">
        <v>0.57399999999999995</v>
      </c>
      <c r="F41" s="180"/>
      <c r="G41" s="180"/>
      <c r="H41" s="180"/>
      <c r="I41" s="181" t="s">
        <v>180</v>
      </c>
      <c r="J41" s="181">
        <v>0.92009799999999997</v>
      </c>
      <c r="K41" s="181">
        <v>0.59340000000000004</v>
      </c>
      <c r="L41" s="180"/>
      <c r="M41" s="180"/>
      <c r="N41" s="180"/>
      <c r="O41" s="181" t="s">
        <v>180</v>
      </c>
      <c r="P41" s="181">
        <v>0.92449999999999999</v>
      </c>
      <c r="Q41" s="181">
        <v>0.57399999999999995</v>
      </c>
      <c r="R41" s="180"/>
      <c r="S41" s="180"/>
      <c r="T41" s="180"/>
    </row>
    <row r="42" spans="1:20" x14ac:dyDescent="0.2">
      <c r="A42" s="214"/>
      <c r="B42" s="167">
        <v>2</v>
      </c>
      <c r="C42" s="172" t="s">
        <v>180</v>
      </c>
      <c r="D42" s="172">
        <v>0.92449999999999999</v>
      </c>
      <c r="E42" s="172">
        <v>0.88360000000000005</v>
      </c>
      <c r="F42" s="180"/>
      <c r="G42" s="180"/>
      <c r="H42" s="180"/>
      <c r="I42" s="181" t="s">
        <v>180</v>
      </c>
      <c r="J42" s="181">
        <v>0.92009799999999997</v>
      </c>
      <c r="K42" s="181">
        <v>0.92279999999999995</v>
      </c>
      <c r="L42" s="180"/>
      <c r="M42" s="183" t="s">
        <v>86</v>
      </c>
      <c r="N42" s="180"/>
      <c r="O42" s="181" t="s">
        <v>180</v>
      </c>
      <c r="P42" s="181">
        <v>0.92449999999999999</v>
      </c>
      <c r="Q42" s="181">
        <v>0.88360000000000005</v>
      </c>
      <c r="R42" s="180"/>
      <c r="S42" s="180"/>
      <c r="T42" s="180"/>
    </row>
    <row r="43" spans="1:20" x14ac:dyDescent="0.2">
      <c r="A43" s="214"/>
      <c r="B43" s="167">
        <v>3</v>
      </c>
      <c r="C43" s="172" t="s">
        <v>180</v>
      </c>
      <c r="D43" s="172">
        <v>0.92449999999999999</v>
      </c>
      <c r="E43" s="172">
        <v>0.61050000000000004</v>
      </c>
      <c r="F43" s="180"/>
      <c r="G43" s="180"/>
      <c r="H43" s="180"/>
      <c r="I43" s="181" t="s">
        <v>180</v>
      </c>
      <c r="J43" s="181">
        <v>0.92009799999999997</v>
      </c>
      <c r="K43" s="181">
        <v>0.66839999999999999</v>
      </c>
      <c r="L43" s="180"/>
      <c r="M43" s="180"/>
      <c r="N43" s="180"/>
      <c r="O43" s="181" t="s">
        <v>180</v>
      </c>
      <c r="P43" s="181">
        <v>0.92449999999999999</v>
      </c>
      <c r="Q43" s="181">
        <v>0.61050000000000004</v>
      </c>
      <c r="R43" s="180"/>
      <c r="S43" s="180"/>
      <c r="T43" s="180"/>
    </row>
    <row r="44" spans="1:20" x14ac:dyDescent="0.2">
      <c r="A44" s="214"/>
      <c r="B44" s="167">
        <v>4</v>
      </c>
      <c r="C44" s="172" t="s">
        <v>180</v>
      </c>
      <c r="D44" s="172">
        <v>0.92449999999999999</v>
      </c>
      <c r="E44" s="172">
        <v>0.34310000000000002</v>
      </c>
      <c r="F44" s="182"/>
      <c r="G44" s="182"/>
      <c r="H44" s="182"/>
      <c r="I44" s="171" t="s">
        <v>180</v>
      </c>
      <c r="J44" s="171">
        <v>0.92009799999999997</v>
      </c>
      <c r="K44" s="171">
        <v>0.36890000000000001</v>
      </c>
      <c r="L44" s="180"/>
      <c r="M44" s="180"/>
      <c r="N44" s="180"/>
      <c r="O44" s="181" t="s">
        <v>180</v>
      </c>
      <c r="P44" s="181">
        <v>0.92449999999999999</v>
      </c>
      <c r="Q44" s="181">
        <v>0.34310000000000002</v>
      </c>
      <c r="R44" s="180"/>
      <c r="S44" s="180"/>
      <c r="T44" s="180"/>
    </row>
    <row r="45" spans="1:20" x14ac:dyDescent="0.2">
      <c r="A45" s="214"/>
      <c r="B45" s="167">
        <v>5</v>
      </c>
      <c r="C45" s="172" t="s">
        <v>24</v>
      </c>
      <c r="D45" s="172">
        <v>0.92449999999999999</v>
      </c>
      <c r="E45" s="172" t="s">
        <v>24</v>
      </c>
      <c r="F45" s="182"/>
      <c r="G45" s="182"/>
      <c r="H45" s="182"/>
      <c r="I45" s="171" t="s">
        <v>180</v>
      </c>
      <c r="J45" s="171">
        <v>0.92009799999999997</v>
      </c>
      <c r="K45" s="171">
        <v>3.8199999999999998E-2</v>
      </c>
      <c r="L45" s="180"/>
      <c r="M45" s="180"/>
      <c r="N45" s="180"/>
      <c r="O45" s="180"/>
      <c r="P45" s="180">
        <v>0.92449999999999999</v>
      </c>
      <c r="Q45" s="180" t="s">
        <v>24</v>
      </c>
      <c r="R45" s="180"/>
      <c r="S45" s="180"/>
      <c r="T45" s="180"/>
    </row>
    <row r="46" spans="1:20" x14ac:dyDescent="0.2">
      <c r="A46" s="130"/>
      <c r="B46" s="167"/>
      <c r="C46" s="172"/>
      <c r="D46" s="172"/>
      <c r="E46" s="172"/>
      <c r="F46" s="180"/>
      <c r="G46" s="180"/>
      <c r="H46" s="180"/>
      <c r="I46" s="180"/>
      <c r="J46" s="180"/>
      <c r="K46" s="180"/>
      <c r="L46" s="180"/>
      <c r="M46" s="180"/>
      <c r="N46" s="180"/>
      <c r="O46" s="181" t="s">
        <v>180</v>
      </c>
      <c r="P46" s="181"/>
      <c r="Q46" s="181"/>
      <c r="R46" s="180"/>
      <c r="S46" s="180"/>
      <c r="T46" s="180"/>
    </row>
    <row r="47" spans="1:20" x14ac:dyDescent="0.2">
      <c r="A47" s="214" t="s">
        <v>80</v>
      </c>
      <c r="B47" s="167">
        <v>1</v>
      </c>
      <c r="C47" s="172" t="s">
        <v>180</v>
      </c>
      <c r="D47" s="172">
        <v>0.92449999999999999</v>
      </c>
      <c r="E47" s="172">
        <v>0.89680000000000004</v>
      </c>
      <c r="F47" s="180"/>
      <c r="G47" s="180"/>
      <c r="H47" s="180"/>
      <c r="I47" s="180" t="s">
        <v>180</v>
      </c>
      <c r="J47" s="180">
        <v>0.92009799999999997</v>
      </c>
      <c r="K47" s="180">
        <v>0.91369999999999996</v>
      </c>
      <c r="L47" s="180"/>
      <c r="M47" s="180"/>
      <c r="N47" s="180"/>
      <c r="O47" s="181" t="s">
        <v>180</v>
      </c>
      <c r="P47" s="181">
        <v>0.92449999999999999</v>
      </c>
      <c r="Q47" s="181">
        <v>0.89680000000000004</v>
      </c>
      <c r="R47" s="180"/>
      <c r="S47" s="180"/>
      <c r="T47" s="180"/>
    </row>
    <row r="48" spans="1:20" x14ac:dyDescent="0.2">
      <c r="A48" s="214"/>
      <c r="B48" s="167">
        <v>2</v>
      </c>
      <c r="C48" s="172" t="s">
        <v>180</v>
      </c>
      <c r="D48" s="172">
        <v>0.92449999999999999</v>
      </c>
      <c r="E48" s="172">
        <v>0.87870000000000004</v>
      </c>
      <c r="F48" s="180"/>
      <c r="G48" s="180"/>
      <c r="H48" s="180"/>
      <c r="I48" s="181" t="s">
        <v>180</v>
      </c>
      <c r="J48" s="181">
        <v>0.92009799999999997</v>
      </c>
      <c r="K48" s="181">
        <v>0.87970000000000004</v>
      </c>
      <c r="L48" s="180"/>
      <c r="M48" s="180"/>
      <c r="N48" s="180"/>
      <c r="O48" s="181" t="s">
        <v>180</v>
      </c>
      <c r="P48" s="181">
        <v>0.92449999999999999</v>
      </c>
      <c r="Q48" s="181">
        <v>0.87870000000000004</v>
      </c>
      <c r="R48" s="180"/>
      <c r="S48" s="180"/>
      <c r="T48" s="180"/>
    </row>
    <row r="49" spans="1:20" x14ac:dyDescent="0.2">
      <c r="A49" s="214"/>
      <c r="B49" s="167">
        <v>3</v>
      </c>
      <c r="C49" s="172" t="s">
        <v>180</v>
      </c>
      <c r="D49" s="172">
        <v>0.92449999999999999</v>
      </c>
      <c r="E49" s="172">
        <v>0.75560000000000005</v>
      </c>
      <c r="F49" s="180"/>
      <c r="G49" s="180"/>
      <c r="H49" s="180"/>
      <c r="I49" s="181" t="s">
        <v>180</v>
      </c>
      <c r="J49" s="181">
        <v>0.92009799999999997</v>
      </c>
      <c r="K49" s="181">
        <v>0.8206</v>
      </c>
      <c r="L49" s="180"/>
      <c r="M49" s="180"/>
      <c r="N49" s="180"/>
      <c r="O49" s="181" t="s">
        <v>180</v>
      </c>
      <c r="P49" s="181">
        <v>0.92449999999999999</v>
      </c>
      <c r="Q49" s="181">
        <v>0.75560000000000005</v>
      </c>
      <c r="R49" s="180"/>
      <c r="S49" s="180"/>
      <c r="T49" s="180"/>
    </row>
    <row r="50" spans="1:20" x14ac:dyDescent="0.2">
      <c r="A50" s="214"/>
      <c r="B50" s="167">
        <v>4</v>
      </c>
      <c r="C50" s="172" t="s">
        <v>180</v>
      </c>
      <c r="D50" s="172">
        <v>0.92449999999999999</v>
      </c>
      <c r="E50" s="172">
        <v>0.6623</v>
      </c>
      <c r="F50" s="180"/>
      <c r="G50" s="180"/>
      <c r="H50" s="180"/>
      <c r="I50" s="181" t="s">
        <v>180</v>
      </c>
      <c r="J50" s="181">
        <v>0.92009799999999997</v>
      </c>
      <c r="K50" s="181">
        <v>0.64680000000000004</v>
      </c>
      <c r="L50" s="180"/>
      <c r="M50" s="180"/>
      <c r="N50" s="180"/>
      <c r="O50" s="181" t="s">
        <v>180</v>
      </c>
      <c r="P50" s="181">
        <v>0.92449999999999999</v>
      </c>
      <c r="Q50" s="181">
        <v>0.6623</v>
      </c>
      <c r="R50" s="180"/>
      <c r="S50" s="180"/>
      <c r="T50" s="180"/>
    </row>
    <row r="51" spans="1:20" x14ac:dyDescent="0.2">
      <c r="A51" s="214"/>
      <c r="B51" s="167">
        <v>5</v>
      </c>
      <c r="C51" s="172" t="s">
        <v>180</v>
      </c>
      <c r="D51" s="172">
        <v>0.92449999999999999</v>
      </c>
      <c r="E51" s="172">
        <v>0.56589999999999996</v>
      </c>
      <c r="F51" s="182"/>
      <c r="G51" s="182"/>
      <c r="H51" s="182"/>
      <c r="I51" s="171" t="s">
        <v>180</v>
      </c>
      <c r="J51" s="171">
        <v>0.92009799999999997</v>
      </c>
      <c r="K51" s="170">
        <v>0.5</v>
      </c>
      <c r="L51" s="180"/>
      <c r="M51" s="180"/>
      <c r="N51" s="180"/>
      <c r="O51" s="180"/>
      <c r="P51" s="180">
        <v>0.92449999999999999</v>
      </c>
      <c r="Q51" s="180">
        <v>0.56589999999999996</v>
      </c>
      <c r="R51" s="180"/>
      <c r="S51" s="180"/>
      <c r="T51" s="180"/>
    </row>
    <row r="52" spans="1:20" ht="17" thickBot="1" x14ac:dyDescent="0.25">
      <c r="A52" s="138"/>
      <c r="B52" s="115"/>
      <c r="C52" s="114"/>
      <c r="D52" s="114"/>
      <c r="E52" s="114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1:20" x14ac:dyDescent="0.2">
      <c r="A53" s="214" t="s">
        <v>81</v>
      </c>
      <c r="B53" s="167">
        <v>1</v>
      </c>
      <c r="C53" s="172" t="s">
        <v>180</v>
      </c>
      <c r="D53" s="172">
        <v>0.89439999999999997</v>
      </c>
      <c r="E53" s="172">
        <v>0.59799999999999998</v>
      </c>
      <c r="F53" s="180"/>
      <c r="G53" s="180"/>
      <c r="H53" s="180"/>
      <c r="I53" s="181" t="s">
        <v>180</v>
      </c>
      <c r="J53" s="181">
        <v>0.89439999999999997</v>
      </c>
      <c r="K53" s="181">
        <v>0.61960000000000004</v>
      </c>
      <c r="L53" s="180"/>
      <c r="M53" s="180"/>
      <c r="N53" s="180"/>
      <c r="O53" s="181" t="s">
        <v>180</v>
      </c>
      <c r="P53" s="181">
        <v>0.89439999999999997</v>
      </c>
      <c r="Q53" s="181">
        <v>0.59799999999999998</v>
      </c>
      <c r="R53" s="180"/>
      <c r="S53" s="180"/>
      <c r="T53" s="180"/>
    </row>
    <row r="54" spans="1:20" x14ac:dyDescent="0.2">
      <c r="A54" s="214"/>
      <c r="B54" s="167">
        <v>2</v>
      </c>
      <c r="C54" s="172" t="s">
        <v>180</v>
      </c>
      <c r="D54" s="172">
        <v>0.89439999999999997</v>
      </c>
      <c r="E54" s="172">
        <v>0.8417</v>
      </c>
      <c r="F54" s="182"/>
      <c r="G54" s="182"/>
      <c r="H54" s="182"/>
      <c r="I54" s="171" t="s">
        <v>180</v>
      </c>
      <c r="J54" s="171">
        <v>0.89439999999999997</v>
      </c>
      <c r="K54" s="171" t="s">
        <v>24</v>
      </c>
      <c r="L54" s="180"/>
      <c r="M54" s="180"/>
      <c r="N54" s="180"/>
      <c r="O54" s="181" t="s">
        <v>180</v>
      </c>
      <c r="P54" s="181">
        <v>0.89439999999999997</v>
      </c>
      <c r="Q54" s="181">
        <v>0.8417</v>
      </c>
      <c r="R54" s="180"/>
      <c r="S54" s="180"/>
      <c r="T54" s="180"/>
    </row>
    <row r="55" spans="1:20" x14ac:dyDescent="0.2">
      <c r="A55" s="214"/>
      <c r="B55" s="167">
        <v>3</v>
      </c>
      <c r="C55" s="172" t="s">
        <v>24</v>
      </c>
      <c r="D55" s="172">
        <v>0.89439999999999997</v>
      </c>
      <c r="E55" s="172" t="s">
        <v>24</v>
      </c>
      <c r="F55" s="180"/>
      <c r="G55" s="180"/>
      <c r="H55" s="180"/>
      <c r="I55" s="181" t="s">
        <v>24</v>
      </c>
      <c r="J55" s="181">
        <v>0.89439999999999997</v>
      </c>
      <c r="K55" s="181" t="s">
        <v>24</v>
      </c>
      <c r="L55" s="180"/>
      <c r="M55" s="180"/>
      <c r="N55" s="180"/>
      <c r="O55" s="181" t="s">
        <v>24</v>
      </c>
      <c r="P55" s="181">
        <v>0.89439999999999997</v>
      </c>
      <c r="Q55" s="181" t="s">
        <v>24</v>
      </c>
      <c r="R55" s="180"/>
      <c r="S55" s="180"/>
      <c r="T55" s="180"/>
    </row>
    <row r="56" spans="1:20" x14ac:dyDescent="0.2">
      <c r="A56" s="214"/>
      <c r="B56" s="167">
        <v>4</v>
      </c>
      <c r="C56" s="172" t="s">
        <v>180</v>
      </c>
      <c r="D56" s="172">
        <v>0.89439999999999997</v>
      </c>
      <c r="E56" s="172">
        <v>0.3473</v>
      </c>
      <c r="F56" s="182"/>
      <c r="G56" s="182"/>
      <c r="H56" s="182"/>
      <c r="I56" s="171" t="s">
        <v>180</v>
      </c>
      <c r="J56" s="171">
        <v>0.89439999999999997</v>
      </c>
      <c r="K56" s="171">
        <v>0.36149999999999999</v>
      </c>
      <c r="L56" s="180"/>
      <c r="M56" s="180"/>
      <c r="N56" s="180"/>
      <c r="O56" s="181" t="s">
        <v>180</v>
      </c>
      <c r="P56" s="181">
        <v>0.89439999999999997</v>
      </c>
      <c r="Q56" s="181">
        <v>0.3473</v>
      </c>
      <c r="R56" s="180"/>
      <c r="S56" s="180"/>
      <c r="T56" s="180"/>
    </row>
    <row r="57" spans="1:20" x14ac:dyDescent="0.2">
      <c r="A57" s="214"/>
      <c r="B57" s="167">
        <v>5</v>
      </c>
      <c r="C57" s="172" t="s">
        <v>24</v>
      </c>
      <c r="D57" s="172">
        <v>0.89439999999999997</v>
      </c>
      <c r="E57" s="172" t="s">
        <v>24</v>
      </c>
      <c r="F57" s="182"/>
      <c r="G57" s="182"/>
      <c r="H57" s="182"/>
      <c r="I57" s="171" t="s">
        <v>24</v>
      </c>
      <c r="J57" s="171">
        <v>0.89439999999999997</v>
      </c>
      <c r="K57" s="171" t="s">
        <v>24</v>
      </c>
      <c r="L57" s="180"/>
      <c r="M57" s="180"/>
      <c r="N57" s="180"/>
      <c r="O57" s="181" t="s">
        <v>24</v>
      </c>
      <c r="P57" s="181">
        <v>0.89439999999999997</v>
      </c>
      <c r="Q57" s="181" t="s">
        <v>24</v>
      </c>
      <c r="R57" s="180"/>
      <c r="S57" s="180"/>
      <c r="T57" s="180"/>
    </row>
    <row r="58" spans="1:20" x14ac:dyDescent="0.2">
      <c r="A58" s="130"/>
      <c r="B58" s="167"/>
      <c r="C58" s="172"/>
      <c r="D58" s="172"/>
      <c r="E58" s="172"/>
      <c r="F58" s="180"/>
      <c r="G58" s="180"/>
      <c r="H58" s="180"/>
      <c r="I58" s="181"/>
      <c r="J58" s="181"/>
      <c r="K58" s="181"/>
      <c r="L58" s="180"/>
      <c r="M58" s="180"/>
      <c r="N58" s="180"/>
      <c r="O58" s="181"/>
      <c r="P58" s="181"/>
      <c r="Q58" s="181"/>
      <c r="R58" s="180"/>
      <c r="S58" s="180"/>
      <c r="T58" s="180"/>
    </row>
    <row r="59" spans="1:20" x14ac:dyDescent="0.2">
      <c r="A59" s="214" t="s">
        <v>82</v>
      </c>
      <c r="B59" s="167">
        <v>1</v>
      </c>
      <c r="C59" s="172" t="s">
        <v>180</v>
      </c>
      <c r="D59" s="172">
        <v>0.89439999999999997</v>
      </c>
      <c r="E59" s="172">
        <v>0.84850000000000003</v>
      </c>
      <c r="F59" s="180"/>
      <c r="G59" s="180"/>
      <c r="H59" s="180"/>
      <c r="I59" s="181" t="s">
        <v>180</v>
      </c>
      <c r="J59" s="181">
        <v>0.89439999999999997</v>
      </c>
      <c r="K59" s="181" t="s">
        <v>24</v>
      </c>
      <c r="L59" s="180"/>
      <c r="M59" s="180"/>
      <c r="N59" s="180"/>
      <c r="O59" s="181" t="s">
        <v>180</v>
      </c>
      <c r="P59" s="181">
        <v>0.89439999999999997</v>
      </c>
      <c r="Q59" s="181">
        <v>0.84850000000000003</v>
      </c>
      <c r="R59" s="180"/>
      <c r="S59" s="180"/>
      <c r="T59" s="180"/>
    </row>
    <row r="60" spans="1:20" x14ac:dyDescent="0.2">
      <c r="A60" s="214"/>
      <c r="B60" s="167">
        <v>2</v>
      </c>
      <c r="C60" s="172" t="s">
        <v>180</v>
      </c>
      <c r="D60" s="172">
        <v>0.89439999999999997</v>
      </c>
      <c r="E60" s="172">
        <v>0.8417</v>
      </c>
      <c r="F60" s="182"/>
      <c r="G60" s="182"/>
      <c r="H60" s="185"/>
      <c r="I60" s="171" t="s">
        <v>180</v>
      </c>
      <c r="J60" s="171">
        <v>0.89439999999999997</v>
      </c>
      <c r="K60" s="171" t="s">
        <v>24</v>
      </c>
      <c r="L60" s="180"/>
      <c r="M60" s="180"/>
      <c r="N60" s="180"/>
      <c r="O60" s="181" t="s">
        <v>180</v>
      </c>
      <c r="P60" s="181">
        <v>0.89439999999999997</v>
      </c>
      <c r="Q60" s="181">
        <v>0.8417</v>
      </c>
      <c r="R60" s="180"/>
      <c r="S60" s="180"/>
      <c r="T60" s="180"/>
    </row>
    <row r="61" spans="1:20" x14ac:dyDescent="0.2">
      <c r="A61" s="214"/>
      <c r="B61" s="167">
        <v>3</v>
      </c>
      <c r="C61" s="172" t="s">
        <v>24</v>
      </c>
      <c r="D61" s="172">
        <v>0.89439999999999997</v>
      </c>
      <c r="E61" s="172" t="s">
        <v>24</v>
      </c>
      <c r="F61" s="180"/>
      <c r="G61" s="180"/>
      <c r="H61" s="180"/>
      <c r="I61" s="181" t="s">
        <v>24</v>
      </c>
      <c r="J61" s="181">
        <v>0.89439999999999997</v>
      </c>
      <c r="K61" s="181" t="s">
        <v>24</v>
      </c>
      <c r="L61" s="180"/>
      <c r="M61" s="180"/>
      <c r="N61" s="180"/>
      <c r="O61" s="181" t="s">
        <v>24</v>
      </c>
      <c r="P61" s="181">
        <v>0.89439999999999997</v>
      </c>
      <c r="Q61" s="181" t="s">
        <v>24</v>
      </c>
      <c r="R61" s="180"/>
      <c r="S61" s="180"/>
      <c r="T61" s="180"/>
    </row>
    <row r="62" spans="1:20" x14ac:dyDescent="0.2">
      <c r="A62" s="214"/>
      <c r="B62" s="167">
        <v>4</v>
      </c>
      <c r="C62" s="172" t="s">
        <v>180</v>
      </c>
      <c r="D62" s="172">
        <v>0.89439999999999997</v>
      </c>
      <c r="E62" s="172">
        <v>0.3473</v>
      </c>
      <c r="F62" s="180"/>
      <c r="G62" s="180"/>
      <c r="H62" s="180"/>
      <c r="I62" s="181" t="s">
        <v>180</v>
      </c>
      <c r="J62" s="181">
        <v>0.89439999999999997</v>
      </c>
      <c r="K62" s="181">
        <v>0.36149999999999999</v>
      </c>
      <c r="L62" s="180"/>
      <c r="M62" s="180"/>
      <c r="N62" s="180"/>
      <c r="O62" s="181" t="s">
        <v>180</v>
      </c>
      <c r="P62" s="181">
        <v>0.89439999999999997</v>
      </c>
      <c r="Q62" s="181">
        <v>0.3473</v>
      </c>
      <c r="R62" s="180"/>
      <c r="S62" s="180"/>
      <c r="T62" s="180"/>
    </row>
    <row r="63" spans="1:20" ht="17" thickBot="1" x14ac:dyDescent="0.25">
      <c r="A63" s="213"/>
      <c r="B63" s="115">
        <v>5</v>
      </c>
      <c r="C63" s="114" t="s">
        <v>24</v>
      </c>
      <c r="D63" s="114">
        <v>0.89439999999999997</v>
      </c>
      <c r="E63" s="114" t="s">
        <v>24</v>
      </c>
      <c r="F63" s="150"/>
      <c r="G63" s="146"/>
      <c r="H63" s="146"/>
      <c r="I63" s="150" t="s">
        <v>24</v>
      </c>
      <c r="J63" s="150">
        <v>0.89439999999999997</v>
      </c>
      <c r="K63" s="150" t="s">
        <v>24</v>
      </c>
      <c r="L63" s="150"/>
      <c r="M63" s="148"/>
      <c r="N63" s="148"/>
      <c r="O63" s="150" t="s">
        <v>24</v>
      </c>
      <c r="P63" s="150">
        <v>0.89439999999999997</v>
      </c>
      <c r="Q63" s="150" t="s">
        <v>24</v>
      </c>
      <c r="R63" s="147"/>
      <c r="S63" s="147"/>
      <c r="T63" s="147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AC4F-3DD0-5C45-B163-52AC345431F0}">
  <dimension ref="A1:W64"/>
  <sheetViews>
    <sheetView showGridLines="0" workbookViewId="0">
      <selection activeCell="T63" sqref="A2:T6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199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73">
        <f>F5/H5</f>
        <v>0</v>
      </c>
      <c r="D5" s="173">
        <v>0.92400000000000004</v>
      </c>
      <c r="E5" s="173">
        <v>0.54730000000000001</v>
      </c>
      <c r="F5" s="190">
        <v>0</v>
      </c>
      <c r="G5" s="190">
        <v>0.15890000000000001</v>
      </c>
      <c r="H5" s="190">
        <v>0.84109999999999996</v>
      </c>
      <c r="I5" s="190">
        <f>L5/N5</f>
        <v>0</v>
      </c>
      <c r="J5" s="190">
        <v>0.91790000000000005</v>
      </c>
      <c r="K5" s="190">
        <v>0.66249999999999998</v>
      </c>
      <c r="L5" s="190">
        <v>0</v>
      </c>
      <c r="M5" s="190">
        <v>0.16063330000000001</v>
      </c>
      <c r="N5" s="190">
        <v>0.83936670000000002</v>
      </c>
      <c r="O5" s="190">
        <f>R5/T5</f>
        <v>0</v>
      </c>
      <c r="P5" s="190">
        <v>0.92400000000000004</v>
      </c>
      <c r="Q5" s="190">
        <v>0.54730000000000001</v>
      </c>
      <c r="R5" s="190">
        <v>0</v>
      </c>
      <c r="S5" s="190">
        <v>0.15890000000000001</v>
      </c>
      <c r="T5" s="190">
        <v>0.84109999999999996</v>
      </c>
    </row>
    <row r="6" spans="1:23" x14ac:dyDescent="0.2">
      <c r="A6" s="214"/>
      <c r="B6" s="167">
        <v>2</v>
      </c>
      <c r="C6" s="173">
        <f t="shared" ref="C6:C15" si="0">F6/H6</f>
        <v>0</v>
      </c>
      <c r="D6" s="173">
        <v>0.92400000000000004</v>
      </c>
      <c r="E6" s="173">
        <v>0.82079999999999997</v>
      </c>
      <c r="F6" s="190">
        <v>0</v>
      </c>
      <c r="G6" s="190">
        <v>0.15576670000000001</v>
      </c>
      <c r="H6" s="190">
        <v>0.84423329999999996</v>
      </c>
      <c r="I6" s="190">
        <f t="shared" ref="I6:I15" si="1">L6/N6</f>
        <v>0</v>
      </c>
      <c r="J6" s="190">
        <v>0.91790000000000005</v>
      </c>
      <c r="K6" s="190">
        <v>0.89681370000000005</v>
      </c>
      <c r="L6" s="190">
        <v>0</v>
      </c>
      <c r="M6" s="190">
        <v>0.16189999999999999</v>
      </c>
      <c r="N6" s="190">
        <v>0.83809999999999996</v>
      </c>
      <c r="O6" s="190">
        <f t="shared" ref="O6:O15" si="2">R6/T6</f>
        <v>0</v>
      </c>
      <c r="P6" s="190">
        <v>0.92400000000000004</v>
      </c>
      <c r="Q6" s="190">
        <v>0.82079999999999997</v>
      </c>
      <c r="R6" s="190">
        <v>0</v>
      </c>
      <c r="S6" s="190">
        <v>0.15576670000000001</v>
      </c>
      <c r="T6" s="190">
        <v>0.84423329999999996</v>
      </c>
    </row>
    <row r="7" spans="1:23" x14ac:dyDescent="0.2">
      <c r="A7" s="214"/>
      <c r="B7" s="167">
        <v>3</v>
      </c>
      <c r="C7" s="173">
        <f t="shared" si="0"/>
        <v>0</v>
      </c>
      <c r="D7" s="173">
        <v>0.92400000000000004</v>
      </c>
      <c r="E7" s="173">
        <v>0.43730000000000002</v>
      </c>
      <c r="F7" s="190">
        <v>0</v>
      </c>
      <c r="G7" s="190">
        <v>0.15883330000000001</v>
      </c>
      <c r="H7" s="190">
        <v>0.84116670000000004</v>
      </c>
      <c r="I7" s="190">
        <f t="shared" si="1"/>
        <v>0</v>
      </c>
      <c r="J7" s="190">
        <v>0.91790000000000005</v>
      </c>
      <c r="K7" s="190">
        <v>0.56030000000000002</v>
      </c>
      <c r="L7" s="190">
        <v>0</v>
      </c>
      <c r="M7" s="190">
        <v>0.1615</v>
      </c>
      <c r="N7" s="190">
        <v>0.83850000000000002</v>
      </c>
      <c r="O7" s="190">
        <f t="shared" si="2"/>
        <v>0</v>
      </c>
      <c r="P7" s="190">
        <v>0.92400000000000004</v>
      </c>
      <c r="Q7" s="190">
        <v>0.66839999999999999</v>
      </c>
      <c r="R7" s="190">
        <v>0</v>
      </c>
      <c r="S7" s="190">
        <v>0.15883330000000001</v>
      </c>
      <c r="T7" s="190">
        <v>0.84116670000000004</v>
      </c>
    </row>
    <row r="8" spans="1:23" x14ac:dyDescent="0.2">
      <c r="A8" s="214"/>
      <c r="B8" s="167">
        <v>4</v>
      </c>
      <c r="C8" s="173">
        <f t="shared" si="0"/>
        <v>0</v>
      </c>
      <c r="D8" s="173">
        <v>0.92400000000000004</v>
      </c>
      <c r="E8" s="173">
        <v>0.31269999999999998</v>
      </c>
      <c r="F8" s="190">
        <v>0</v>
      </c>
      <c r="G8" s="190">
        <v>0.1589333</v>
      </c>
      <c r="H8" s="190">
        <v>0.84106669999999994</v>
      </c>
      <c r="I8" s="190">
        <f t="shared" si="1"/>
        <v>0</v>
      </c>
      <c r="J8" s="190">
        <v>0.91790000000000005</v>
      </c>
      <c r="K8" s="190">
        <v>0.35830000000000001</v>
      </c>
      <c r="L8" s="190">
        <v>0</v>
      </c>
      <c r="M8" s="190">
        <v>0.1571333</v>
      </c>
      <c r="N8" s="190">
        <v>0.84286669999999997</v>
      </c>
      <c r="O8" s="190">
        <f t="shared" si="2"/>
        <v>0</v>
      </c>
      <c r="P8" s="190">
        <v>0.92400000000000004</v>
      </c>
      <c r="Q8" s="190">
        <v>0.43730000000000002</v>
      </c>
      <c r="R8" s="173">
        <v>0</v>
      </c>
      <c r="S8" s="190">
        <v>0.1589333</v>
      </c>
      <c r="T8" s="190">
        <v>0.84106669999999994</v>
      </c>
    </row>
    <row r="9" spans="1:23" x14ac:dyDescent="0.2">
      <c r="A9" s="214"/>
      <c r="B9" s="167">
        <v>5</v>
      </c>
      <c r="C9" s="173" t="s">
        <v>24</v>
      </c>
      <c r="D9" s="173">
        <v>0.92400000000000004</v>
      </c>
      <c r="E9" s="173" t="s">
        <v>24</v>
      </c>
      <c r="F9" s="170" t="s">
        <v>24</v>
      </c>
      <c r="G9" s="170" t="s">
        <v>24</v>
      </c>
      <c r="H9" s="170" t="s">
        <v>24</v>
      </c>
      <c r="I9" s="170">
        <f t="shared" si="1"/>
        <v>0</v>
      </c>
      <c r="J9" s="170">
        <v>0.91790000000000005</v>
      </c>
      <c r="K9" s="170">
        <v>0.15809999999999999</v>
      </c>
      <c r="L9" s="190">
        <v>0</v>
      </c>
      <c r="M9" s="190">
        <v>0.15653329999999999</v>
      </c>
      <c r="N9" s="190">
        <v>0.84346670000000001</v>
      </c>
      <c r="O9" s="190" t="s">
        <v>24</v>
      </c>
      <c r="P9" s="190">
        <v>0.92400000000000004</v>
      </c>
      <c r="Q9" s="190" t="s">
        <v>24</v>
      </c>
      <c r="R9" s="190" t="s">
        <v>24</v>
      </c>
      <c r="S9" s="190" t="s">
        <v>24</v>
      </c>
      <c r="T9" s="190" t="s">
        <v>24</v>
      </c>
    </row>
    <row r="10" spans="1:23" x14ac:dyDescent="0.2">
      <c r="A10" s="130"/>
      <c r="B10" s="167"/>
      <c r="C10" s="173"/>
      <c r="D10" s="173"/>
      <c r="E10" s="173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</row>
    <row r="11" spans="1:23" x14ac:dyDescent="0.2">
      <c r="A11" s="214" t="s">
        <v>74</v>
      </c>
      <c r="B11" s="167">
        <v>1</v>
      </c>
      <c r="C11" s="173">
        <f t="shared" si="0"/>
        <v>0</v>
      </c>
      <c r="D11" s="173">
        <v>0.92400000000000004</v>
      </c>
      <c r="E11" s="173">
        <v>0.91349999999999998</v>
      </c>
      <c r="F11" s="190">
        <v>0</v>
      </c>
      <c r="G11" s="190">
        <v>0.4577</v>
      </c>
      <c r="H11" s="190">
        <v>0.5423</v>
      </c>
      <c r="I11" s="190" t="e">
        <f t="shared" si="1"/>
        <v>#DIV/0!</v>
      </c>
      <c r="J11" s="190">
        <v>0.91790000000000005</v>
      </c>
      <c r="K11" s="190">
        <v>0.91639999999999999</v>
      </c>
      <c r="L11" s="190">
        <v>0</v>
      </c>
      <c r="M11" s="191">
        <v>1</v>
      </c>
      <c r="N11" s="190">
        <v>0</v>
      </c>
      <c r="O11" s="190">
        <f t="shared" si="2"/>
        <v>0</v>
      </c>
      <c r="P11" s="190">
        <v>0.92400000000000004</v>
      </c>
      <c r="Q11" s="190">
        <v>0.91349999999999998</v>
      </c>
      <c r="R11" s="190">
        <v>0</v>
      </c>
      <c r="S11" s="190">
        <v>0.4577</v>
      </c>
      <c r="T11" s="190">
        <v>0.5423</v>
      </c>
    </row>
    <row r="12" spans="1:23" x14ac:dyDescent="0.2">
      <c r="A12" s="214"/>
      <c r="B12" s="167">
        <v>2</v>
      </c>
      <c r="C12" s="173">
        <f t="shared" si="0"/>
        <v>0</v>
      </c>
      <c r="D12" s="173">
        <v>0.92400000000000004</v>
      </c>
      <c r="E12" s="173">
        <v>0.89219999999999999</v>
      </c>
      <c r="F12" s="190">
        <v>0</v>
      </c>
      <c r="G12" s="190">
        <v>0.15909999999999999</v>
      </c>
      <c r="H12" s="190">
        <v>0.84089999999999998</v>
      </c>
      <c r="I12" s="190">
        <f t="shared" si="1"/>
        <v>0</v>
      </c>
      <c r="J12" s="190">
        <v>0.91790000000000005</v>
      </c>
      <c r="K12" s="190">
        <v>0.89680000000000004</v>
      </c>
      <c r="L12" s="190">
        <v>0</v>
      </c>
      <c r="M12" s="190">
        <v>0.1580667</v>
      </c>
      <c r="N12" s="190">
        <v>0.8419333</v>
      </c>
      <c r="O12" s="190">
        <f t="shared" si="2"/>
        <v>0</v>
      </c>
      <c r="P12" s="190">
        <v>0.92400000000000004</v>
      </c>
      <c r="Q12" s="190">
        <v>0.89219999999999999</v>
      </c>
      <c r="R12" s="190">
        <v>0</v>
      </c>
      <c r="S12" s="190">
        <v>0.15909999999999999</v>
      </c>
      <c r="T12" s="190">
        <v>0.84089999999999998</v>
      </c>
      <c r="W12" t="s">
        <v>178</v>
      </c>
    </row>
    <row r="13" spans="1:23" x14ac:dyDescent="0.2">
      <c r="A13" s="214"/>
      <c r="B13" s="167">
        <v>3</v>
      </c>
      <c r="C13" s="173">
        <f t="shared" si="0"/>
        <v>0</v>
      </c>
      <c r="D13" s="173">
        <v>0.92400000000000004</v>
      </c>
      <c r="E13" s="173">
        <v>0.70779999999999998</v>
      </c>
      <c r="F13" s="190">
        <v>0</v>
      </c>
      <c r="G13" s="190">
        <v>0.15989999999999999</v>
      </c>
      <c r="H13" s="190">
        <v>0.84009999999999996</v>
      </c>
      <c r="I13" s="190">
        <f t="shared" si="1"/>
        <v>0</v>
      </c>
      <c r="J13" s="190">
        <v>0.91790000000000005</v>
      </c>
      <c r="K13" s="190">
        <v>0.77839999999999998</v>
      </c>
      <c r="L13" s="190">
        <v>0</v>
      </c>
      <c r="M13" s="190">
        <v>0.15803329999999999</v>
      </c>
      <c r="N13" s="190">
        <v>0.84196669999999996</v>
      </c>
      <c r="O13" s="190">
        <f t="shared" si="2"/>
        <v>0</v>
      </c>
      <c r="P13" s="190">
        <v>0.92400000000000004</v>
      </c>
      <c r="Q13" s="190">
        <v>0.70779999999999998</v>
      </c>
      <c r="R13" s="190">
        <v>0</v>
      </c>
      <c r="S13" s="190">
        <v>0.15989999999999999</v>
      </c>
      <c r="T13" s="190">
        <v>0.84009999999999996</v>
      </c>
    </row>
    <row r="14" spans="1:23" x14ac:dyDescent="0.2">
      <c r="A14" s="214"/>
      <c r="B14" s="167">
        <v>4</v>
      </c>
      <c r="C14" s="173">
        <f t="shared" si="0"/>
        <v>0</v>
      </c>
      <c r="D14" s="173">
        <v>0.92400000000000004</v>
      </c>
      <c r="E14" s="173">
        <v>0.49709999999999999</v>
      </c>
      <c r="F14" s="170">
        <v>0</v>
      </c>
      <c r="G14" s="170">
        <v>0.1593</v>
      </c>
      <c r="H14" s="170">
        <v>0.8407</v>
      </c>
      <c r="I14" s="170">
        <f t="shared" si="1"/>
        <v>0</v>
      </c>
      <c r="J14" s="170">
        <v>0.91790000000000005</v>
      </c>
      <c r="K14" s="170">
        <v>0.49659999999999999</v>
      </c>
      <c r="L14" s="190">
        <v>0</v>
      </c>
      <c r="M14" s="190">
        <v>0.15896669999999999</v>
      </c>
      <c r="N14" s="190">
        <v>0.84103329999999998</v>
      </c>
      <c r="O14" s="190">
        <f t="shared" si="2"/>
        <v>0</v>
      </c>
      <c r="P14" s="190">
        <v>0.92400000000000004</v>
      </c>
      <c r="Q14" s="190">
        <v>0.49709999999999999</v>
      </c>
      <c r="R14" s="190">
        <v>0</v>
      </c>
      <c r="S14" s="190">
        <v>0.1593</v>
      </c>
      <c r="T14" s="190">
        <v>0.8407</v>
      </c>
    </row>
    <row r="15" spans="1:23" x14ac:dyDescent="0.2">
      <c r="A15" s="214"/>
      <c r="B15" s="167">
        <v>5</v>
      </c>
      <c r="C15" s="173">
        <f t="shared" si="0"/>
        <v>0</v>
      </c>
      <c r="D15" s="173">
        <v>0.92400000000000004</v>
      </c>
      <c r="E15" s="173">
        <v>0.41909999999999997</v>
      </c>
      <c r="F15" s="170">
        <v>0</v>
      </c>
      <c r="G15" s="170">
        <v>0.15570000000000001</v>
      </c>
      <c r="H15" s="170">
        <v>0.84430000000000005</v>
      </c>
      <c r="I15" s="170">
        <f t="shared" si="1"/>
        <v>0</v>
      </c>
      <c r="J15" s="170">
        <v>0.91790000000000005</v>
      </c>
      <c r="K15" s="170">
        <v>0.72897819999999991</v>
      </c>
      <c r="L15" s="190">
        <v>0</v>
      </c>
      <c r="M15" s="190">
        <v>0.15896669999999999</v>
      </c>
      <c r="N15" s="190">
        <v>0.84103329999999998</v>
      </c>
      <c r="O15" s="190">
        <f t="shared" si="2"/>
        <v>0</v>
      </c>
      <c r="P15" s="190">
        <v>0.92400000000000004</v>
      </c>
      <c r="Q15" s="190">
        <v>0.41909999999999997</v>
      </c>
      <c r="R15" s="190">
        <v>0</v>
      </c>
      <c r="S15" s="190">
        <v>0.15570000000000001</v>
      </c>
      <c r="T15" s="190">
        <v>0.84430000000000005</v>
      </c>
    </row>
    <row r="16" spans="1:23" ht="17" thickBot="1" x14ac:dyDescent="0.25">
      <c r="A16" s="138"/>
      <c r="B16" s="115"/>
      <c r="C16" s="175"/>
      <c r="D16" s="175"/>
      <c r="E16" s="175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</row>
    <row r="17" spans="1:20" x14ac:dyDescent="0.2">
      <c r="A17" s="214" t="s">
        <v>75</v>
      </c>
      <c r="B17" s="167">
        <v>1</v>
      </c>
      <c r="C17" s="173">
        <f t="shared" ref="C17:C20" si="3">F17/H17</f>
        <v>0</v>
      </c>
      <c r="D17" s="173">
        <v>0.92749999999999999</v>
      </c>
      <c r="E17" s="173">
        <v>0.53359999999999996</v>
      </c>
      <c r="F17" s="190">
        <v>0</v>
      </c>
      <c r="G17" s="190">
        <v>0.15866669999999999</v>
      </c>
      <c r="H17" s="190">
        <v>0.84133329999999995</v>
      </c>
      <c r="I17" s="190">
        <f t="shared" ref="I17:I21" si="4">L17/N17</f>
        <v>0</v>
      </c>
      <c r="J17" s="190">
        <v>0.92700000000000005</v>
      </c>
      <c r="K17" s="190">
        <v>0.56740000000000002</v>
      </c>
      <c r="L17" s="190">
        <v>0</v>
      </c>
      <c r="M17" s="190">
        <v>0.1627333</v>
      </c>
      <c r="N17" s="190">
        <v>0.83726670000000003</v>
      </c>
      <c r="O17" s="190">
        <f t="shared" ref="O17:O20" si="5">R17/T17</f>
        <v>0</v>
      </c>
      <c r="P17" s="190">
        <v>0.92749999999999999</v>
      </c>
      <c r="Q17" s="190">
        <v>0.53359999999999996</v>
      </c>
      <c r="R17" s="190">
        <v>0</v>
      </c>
      <c r="S17" s="190">
        <v>0.15866669999999999</v>
      </c>
      <c r="T17" s="173">
        <v>0.84133329999999995</v>
      </c>
    </row>
    <row r="18" spans="1:20" x14ac:dyDescent="0.2">
      <c r="A18" s="214"/>
      <c r="B18" s="167">
        <v>2</v>
      </c>
      <c r="C18" s="173">
        <f t="shared" si="3"/>
        <v>0</v>
      </c>
      <c r="D18" s="173">
        <v>0.92749999999999999</v>
      </c>
      <c r="E18" s="173">
        <v>0.85760000000000003</v>
      </c>
      <c r="F18" s="190">
        <v>0</v>
      </c>
      <c r="G18" s="190">
        <v>0.15926670000000001</v>
      </c>
      <c r="H18" s="190">
        <v>0.84073330000000002</v>
      </c>
      <c r="I18" s="190">
        <f t="shared" si="4"/>
        <v>0</v>
      </c>
      <c r="J18" s="190">
        <v>0.92700000000000005</v>
      </c>
      <c r="K18" s="190">
        <v>0.88680000000000003</v>
      </c>
      <c r="L18" s="190">
        <v>0</v>
      </c>
      <c r="M18" s="190">
        <v>0.15840000000000001</v>
      </c>
      <c r="N18" s="190">
        <v>0.84160000000000001</v>
      </c>
      <c r="O18" s="190">
        <f t="shared" si="5"/>
        <v>0</v>
      </c>
      <c r="P18" s="190">
        <v>0.92749999999999999</v>
      </c>
      <c r="Q18" s="190">
        <v>0.85760000000000003</v>
      </c>
      <c r="R18" s="190">
        <v>0</v>
      </c>
      <c r="S18" s="190">
        <v>0.15926670000000001</v>
      </c>
      <c r="T18" s="173">
        <v>0.84073330000000002</v>
      </c>
    </row>
    <row r="19" spans="1:20" x14ac:dyDescent="0.2">
      <c r="A19" s="214"/>
      <c r="B19" s="167">
        <v>3</v>
      </c>
      <c r="C19" s="173">
        <f t="shared" si="3"/>
        <v>0</v>
      </c>
      <c r="D19" s="173">
        <v>0.92749999999999999</v>
      </c>
      <c r="E19" s="173">
        <v>0.43409999999999999</v>
      </c>
      <c r="F19" s="190">
        <v>0</v>
      </c>
      <c r="G19" s="190">
        <v>0.16256670000000001</v>
      </c>
      <c r="H19" s="190">
        <v>0.83743330000000005</v>
      </c>
      <c r="I19" s="190">
        <f t="shared" si="4"/>
        <v>0</v>
      </c>
      <c r="J19" s="190">
        <v>0.92700000000000005</v>
      </c>
      <c r="K19" s="190">
        <v>0.49490000000000001</v>
      </c>
      <c r="L19" s="190">
        <v>0</v>
      </c>
      <c r="M19" s="190">
        <v>0.16070000000000001</v>
      </c>
      <c r="N19" s="190">
        <v>0.83930000000000005</v>
      </c>
      <c r="O19" s="190">
        <f t="shared" si="5"/>
        <v>0</v>
      </c>
      <c r="P19" s="190">
        <v>0.92749999999999999</v>
      </c>
      <c r="Q19" s="190">
        <v>0.43409999999999999</v>
      </c>
      <c r="R19" s="190">
        <v>0</v>
      </c>
      <c r="S19" s="190">
        <v>0.16256670000000001</v>
      </c>
      <c r="T19" s="190">
        <v>0.83743330000000005</v>
      </c>
    </row>
    <row r="20" spans="1:20" x14ac:dyDescent="0.2">
      <c r="A20" s="214"/>
      <c r="B20" s="167">
        <v>4</v>
      </c>
      <c r="C20" s="173">
        <f t="shared" si="3"/>
        <v>0</v>
      </c>
      <c r="D20" s="173">
        <v>0.92749999999999999</v>
      </c>
      <c r="E20" s="173">
        <v>0.33700000000000002</v>
      </c>
      <c r="F20" s="170">
        <v>0</v>
      </c>
      <c r="G20" s="170">
        <v>0.1605</v>
      </c>
      <c r="H20" s="170">
        <v>0.83950000000000002</v>
      </c>
      <c r="I20" s="170">
        <f t="shared" si="4"/>
        <v>0</v>
      </c>
      <c r="J20" s="170">
        <v>0.92700000000000005</v>
      </c>
      <c r="K20" s="170">
        <v>0.34949999999999998</v>
      </c>
      <c r="L20" s="190">
        <v>0</v>
      </c>
      <c r="M20" s="190">
        <v>0.1543667</v>
      </c>
      <c r="N20" s="190">
        <v>0.84563330000000003</v>
      </c>
      <c r="O20" s="190">
        <f t="shared" si="5"/>
        <v>0</v>
      </c>
      <c r="P20" s="190">
        <v>0.92749999999999999</v>
      </c>
      <c r="Q20" s="190">
        <v>0.33700000000000002</v>
      </c>
      <c r="R20" s="173">
        <v>0</v>
      </c>
      <c r="S20" s="190">
        <v>0.1605</v>
      </c>
      <c r="T20" s="190">
        <v>0.83950000000000002</v>
      </c>
    </row>
    <row r="21" spans="1:20" x14ac:dyDescent="0.2">
      <c r="A21" s="214"/>
      <c r="B21" s="167">
        <v>5</v>
      </c>
      <c r="C21" s="173" t="s">
        <v>24</v>
      </c>
      <c r="D21" s="173">
        <v>0.92749999999999999</v>
      </c>
      <c r="E21" s="173" t="s">
        <v>24</v>
      </c>
      <c r="F21" s="170" t="s">
        <v>24</v>
      </c>
      <c r="G21" s="170" t="s">
        <v>24</v>
      </c>
      <c r="H21" s="170" t="s">
        <v>24</v>
      </c>
      <c r="I21" s="170">
        <f t="shared" si="4"/>
        <v>0</v>
      </c>
      <c r="J21" s="170">
        <v>0.92700000000000005</v>
      </c>
      <c r="K21" s="170">
        <v>3.8199999999999998E-2</v>
      </c>
      <c r="L21" s="190">
        <v>0</v>
      </c>
      <c r="M21" s="190">
        <v>0.15873329999999999</v>
      </c>
      <c r="N21" s="190">
        <v>0.84126670000000003</v>
      </c>
      <c r="O21" s="190" t="s">
        <v>24</v>
      </c>
      <c r="P21" s="190">
        <v>0.92749999999999999</v>
      </c>
      <c r="Q21" s="190" t="s">
        <v>24</v>
      </c>
      <c r="R21" s="173" t="s">
        <v>24</v>
      </c>
      <c r="S21" s="190" t="s">
        <v>24</v>
      </c>
      <c r="T21" s="190" t="s">
        <v>24</v>
      </c>
    </row>
    <row r="22" spans="1:20" x14ac:dyDescent="0.2">
      <c r="A22" s="130"/>
      <c r="B22" s="167"/>
      <c r="C22" s="173"/>
      <c r="D22" s="173"/>
      <c r="E22" s="173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</row>
    <row r="23" spans="1:20" x14ac:dyDescent="0.2">
      <c r="A23" s="214" t="s">
        <v>76</v>
      </c>
      <c r="B23" s="167">
        <v>1</v>
      </c>
      <c r="C23" s="173">
        <f t="shared" ref="C23:C27" si="6">F23/H23</f>
        <v>0</v>
      </c>
      <c r="D23" s="173">
        <v>0.92749999999999999</v>
      </c>
      <c r="E23" s="173">
        <v>0.90469999999999995</v>
      </c>
      <c r="F23" s="190">
        <v>0</v>
      </c>
      <c r="G23" s="190">
        <v>0.16239999999999999</v>
      </c>
      <c r="H23" s="190">
        <v>0.83760000000000001</v>
      </c>
      <c r="I23" s="190">
        <f t="shared" ref="I23:I27" si="7">L23/N23</f>
        <v>0</v>
      </c>
      <c r="J23" s="190">
        <v>0.92700000000000005</v>
      </c>
      <c r="K23" s="190">
        <v>0.91420000000000001</v>
      </c>
      <c r="L23" s="190">
        <v>0</v>
      </c>
      <c r="M23" s="190">
        <v>0.46213330000000002</v>
      </c>
      <c r="N23" s="190">
        <v>0.53786670000000003</v>
      </c>
      <c r="O23" s="190">
        <f t="shared" ref="O23:O27" si="8">R23/T23</f>
        <v>0</v>
      </c>
      <c r="P23" s="190">
        <v>0.92749999999999999</v>
      </c>
      <c r="Q23" s="190">
        <v>0.90469999999999995</v>
      </c>
      <c r="R23" s="190">
        <v>0</v>
      </c>
      <c r="S23" s="190">
        <v>0.16239999999999999</v>
      </c>
      <c r="T23" s="190">
        <v>0.83760000000000001</v>
      </c>
    </row>
    <row r="24" spans="1:20" x14ac:dyDescent="0.2">
      <c r="A24" s="214"/>
      <c r="B24" s="167">
        <v>2</v>
      </c>
      <c r="C24" s="173">
        <f t="shared" si="6"/>
        <v>0</v>
      </c>
      <c r="D24" s="173">
        <v>0.92749999999999999</v>
      </c>
      <c r="E24" s="173">
        <v>0.87129999999999996</v>
      </c>
      <c r="F24" s="190">
        <v>0</v>
      </c>
      <c r="G24" s="190">
        <v>0.15620000000000001</v>
      </c>
      <c r="H24" s="190">
        <v>0.84379999999999999</v>
      </c>
      <c r="I24" s="190">
        <f t="shared" si="7"/>
        <v>0</v>
      </c>
      <c r="J24" s="190">
        <v>0.92700000000000005</v>
      </c>
      <c r="K24" s="190">
        <v>0.877</v>
      </c>
      <c r="L24" s="190">
        <v>0</v>
      </c>
      <c r="M24" s="190">
        <v>0.15783330000000001</v>
      </c>
      <c r="N24" s="190">
        <v>0.84216670000000005</v>
      </c>
      <c r="O24" s="190">
        <f t="shared" si="8"/>
        <v>0</v>
      </c>
      <c r="P24" s="190">
        <v>0.92749999999999999</v>
      </c>
      <c r="Q24" s="190">
        <v>0.87129999999999996</v>
      </c>
      <c r="R24" s="190">
        <v>0</v>
      </c>
      <c r="S24" s="190">
        <v>0.15620000000000001</v>
      </c>
      <c r="T24" s="190">
        <v>0.84379999999999999</v>
      </c>
    </row>
    <row r="25" spans="1:20" x14ac:dyDescent="0.2">
      <c r="A25" s="214"/>
      <c r="B25" s="167">
        <v>3</v>
      </c>
      <c r="C25" s="173">
        <f t="shared" si="6"/>
        <v>0</v>
      </c>
      <c r="D25" s="173">
        <v>0.92749999999999999</v>
      </c>
      <c r="E25" s="173">
        <v>0.61939999999999995</v>
      </c>
      <c r="F25" s="190">
        <v>0</v>
      </c>
      <c r="G25" s="190">
        <v>0.1594333</v>
      </c>
      <c r="H25" s="190">
        <v>0.8405667</v>
      </c>
      <c r="I25" s="190">
        <f t="shared" si="7"/>
        <v>0</v>
      </c>
      <c r="J25" s="190">
        <v>0.92700000000000005</v>
      </c>
      <c r="K25" s="190">
        <v>0.64529999999999998</v>
      </c>
      <c r="L25" s="190">
        <v>0</v>
      </c>
      <c r="M25" s="190">
        <v>0.16009999999999999</v>
      </c>
      <c r="N25" s="190">
        <v>0.83989999999999998</v>
      </c>
      <c r="O25" s="190">
        <f t="shared" si="8"/>
        <v>0</v>
      </c>
      <c r="P25" s="190">
        <v>0.92749999999999999</v>
      </c>
      <c r="Q25" s="190">
        <v>0.61939999999999995</v>
      </c>
      <c r="R25" s="190">
        <v>0</v>
      </c>
      <c r="S25" s="190">
        <v>0.1594333</v>
      </c>
      <c r="T25" s="190">
        <v>0.8405667</v>
      </c>
    </row>
    <row r="26" spans="1:20" x14ac:dyDescent="0.2">
      <c r="A26" s="214"/>
      <c r="B26" s="167">
        <v>4</v>
      </c>
      <c r="C26" s="173">
        <f t="shared" si="6"/>
        <v>0</v>
      </c>
      <c r="D26" s="173">
        <v>0.92749999999999999</v>
      </c>
      <c r="E26" s="173">
        <v>0.3931</v>
      </c>
      <c r="F26" s="190">
        <v>0</v>
      </c>
      <c r="G26" s="190">
        <v>0.1624333</v>
      </c>
      <c r="H26" s="190">
        <v>0.8375667</v>
      </c>
      <c r="I26" s="190">
        <f t="shared" si="7"/>
        <v>0</v>
      </c>
      <c r="J26" s="190">
        <v>0.92700000000000005</v>
      </c>
      <c r="K26" s="190">
        <v>0.41589999999999999</v>
      </c>
      <c r="L26" s="190">
        <v>0</v>
      </c>
      <c r="M26" s="190">
        <v>0.1603667</v>
      </c>
      <c r="N26" s="190">
        <v>0.83963330000000003</v>
      </c>
      <c r="O26" s="190">
        <f t="shared" si="8"/>
        <v>0</v>
      </c>
      <c r="P26" s="190">
        <v>0.92749999999999999</v>
      </c>
      <c r="Q26" s="190">
        <v>0.3931</v>
      </c>
      <c r="R26" s="190">
        <v>0</v>
      </c>
      <c r="S26" s="190">
        <v>0.1624333</v>
      </c>
      <c r="T26" s="190">
        <v>0.8375667</v>
      </c>
    </row>
    <row r="27" spans="1:20" x14ac:dyDescent="0.2">
      <c r="A27" s="214"/>
      <c r="B27" s="167">
        <v>5</v>
      </c>
      <c r="C27" s="173">
        <f t="shared" si="6"/>
        <v>0</v>
      </c>
      <c r="D27" s="173">
        <v>0.92749999999999999</v>
      </c>
      <c r="E27" s="173">
        <v>0.30049999999999999</v>
      </c>
      <c r="F27" s="170">
        <v>0</v>
      </c>
      <c r="G27" s="170">
        <v>0.1574333</v>
      </c>
      <c r="H27" s="170">
        <v>0.8425667</v>
      </c>
      <c r="I27" s="170">
        <f t="shared" si="7"/>
        <v>0</v>
      </c>
      <c r="J27" s="170">
        <v>0.92700000000000005</v>
      </c>
      <c r="K27" s="170">
        <v>0.32769999999999999</v>
      </c>
      <c r="L27" s="190">
        <v>0</v>
      </c>
      <c r="M27" s="190">
        <v>0.1564333</v>
      </c>
      <c r="N27" s="190">
        <v>0.8435667</v>
      </c>
      <c r="O27" s="190">
        <f t="shared" si="8"/>
        <v>0</v>
      </c>
      <c r="P27" s="190">
        <v>0.92749999999999999</v>
      </c>
      <c r="Q27" s="190">
        <v>0.30049999999999999</v>
      </c>
      <c r="R27" s="190">
        <v>0</v>
      </c>
      <c r="S27" s="190">
        <v>0.1574333</v>
      </c>
      <c r="T27" s="190">
        <v>0.8425667</v>
      </c>
    </row>
    <row r="28" spans="1:20" ht="17" thickBot="1" x14ac:dyDescent="0.25">
      <c r="A28" s="138"/>
      <c r="B28" s="115"/>
      <c r="C28" s="175"/>
      <c r="D28" s="175"/>
      <c r="E28" s="175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</row>
    <row r="29" spans="1:20" x14ac:dyDescent="0.2">
      <c r="A29" s="214" t="s">
        <v>77</v>
      </c>
      <c r="B29" s="167">
        <v>1</v>
      </c>
      <c r="C29" s="173" t="s">
        <v>71</v>
      </c>
      <c r="D29" s="173">
        <v>0.37790000000000001</v>
      </c>
      <c r="E29" s="173">
        <v>0.39950000000000002</v>
      </c>
      <c r="F29" s="190">
        <v>0.84296669999999996</v>
      </c>
      <c r="G29" s="190">
        <v>0.15703329999999999</v>
      </c>
      <c r="H29" s="190">
        <v>0</v>
      </c>
      <c r="I29" s="190">
        <f t="shared" ref="I29:I33" si="9">L29/N29</f>
        <v>0</v>
      </c>
      <c r="J29" s="190">
        <v>0.60980000000000001</v>
      </c>
      <c r="K29" s="190">
        <v>0.37619999999999998</v>
      </c>
      <c r="L29" s="190">
        <v>0</v>
      </c>
      <c r="M29" s="190">
        <v>0.15703329999999999</v>
      </c>
      <c r="N29" s="190">
        <v>0.84296669999999996</v>
      </c>
      <c r="O29" s="190" t="s">
        <v>71</v>
      </c>
      <c r="P29" s="190">
        <v>0.37790000000000001</v>
      </c>
      <c r="Q29" s="190">
        <v>0.39950000000000002</v>
      </c>
      <c r="R29" s="190">
        <v>0.84296669999999996</v>
      </c>
      <c r="S29" s="190">
        <v>0.15703329999999999</v>
      </c>
      <c r="T29" s="190">
        <v>0</v>
      </c>
    </row>
    <row r="30" spans="1:20" x14ac:dyDescent="0.2">
      <c r="A30" s="214"/>
      <c r="B30" s="167">
        <v>2</v>
      </c>
      <c r="C30" s="173" t="s">
        <v>71</v>
      </c>
      <c r="D30" s="173">
        <v>0.37790000000000001</v>
      </c>
      <c r="E30" s="173">
        <v>0.54679999999999995</v>
      </c>
      <c r="F30" s="190">
        <v>0.83696669999999995</v>
      </c>
      <c r="G30" s="190">
        <v>0.16303329999999999</v>
      </c>
      <c r="H30" s="190">
        <v>0</v>
      </c>
      <c r="I30" s="190">
        <f t="shared" si="9"/>
        <v>0</v>
      </c>
      <c r="J30" s="190">
        <v>0.60980000000000001</v>
      </c>
      <c r="K30" s="190">
        <v>0.19359999999999999</v>
      </c>
      <c r="L30" s="190">
        <v>0</v>
      </c>
      <c r="M30" s="190">
        <v>0.1598667</v>
      </c>
      <c r="N30" s="190">
        <v>0.84013329999999997</v>
      </c>
      <c r="O30" s="190" t="s">
        <v>71</v>
      </c>
      <c r="P30" s="190">
        <v>0.37790000000000001</v>
      </c>
      <c r="Q30" s="190">
        <v>0.54679999999999995</v>
      </c>
      <c r="R30" s="190">
        <v>0.83696669999999995</v>
      </c>
      <c r="S30" s="190">
        <v>0.16303329999999999</v>
      </c>
      <c r="T30" s="173">
        <v>0</v>
      </c>
    </row>
    <row r="31" spans="1:20" x14ac:dyDescent="0.2">
      <c r="A31" s="214"/>
      <c r="B31" s="167">
        <v>3</v>
      </c>
      <c r="C31" s="173">
        <f t="shared" ref="C31:C32" si="10">F31/H31</f>
        <v>0</v>
      </c>
      <c r="D31" s="173">
        <v>0.37790000000000001</v>
      </c>
      <c r="E31" s="173">
        <v>0.33110000000000001</v>
      </c>
      <c r="F31" s="190">
        <v>0</v>
      </c>
      <c r="G31" s="190">
        <v>0.16196669999999999</v>
      </c>
      <c r="H31" s="190">
        <v>0.83803329999999998</v>
      </c>
      <c r="I31" s="190">
        <f t="shared" si="9"/>
        <v>0</v>
      </c>
      <c r="J31" s="190">
        <v>0.60980000000000001</v>
      </c>
      <c r="K31" s="190">
        <v>0.26669999999999999</v>
      </c>
      <c r="L31" s="190">
        <v>0</v>
      </c>
      <c r="M31" s="190">
        <v>0.15696669999999999</v>
      </c>
      <c r="N31" s="190">
        <v>0.84303329999999999</v>
      </c>
      <c r="O31" s="190">
        <f t="shared" ref="O31:O32" si="11">R31/T31</f>
        <v>0</v>
      </c>
      <c r="P31" s="190">
        <v>0.37790000000000001</v>
      </c>
      <c r="Q31" s="190">
        <v>0.33110000000000001</v>
      </c>
      <c r="R31" s="190">
        <v>0</v>
      </c>
      <c r="S31" s="190">
        <v>0.16196669999999999</v>
      </c>
      <c r="T31" s="173">
        <v>0.83803329999999998</v>
      </c>
    </row>
    <row r="32" spans="1:20" x14ac:dyDescent="0.2">
      <c r="A32" s="214"/>
      <c r="B32" s="167">
        <v>4</v>
      </c>
      <c r="C32" s="173">
        <f t="shared" si="10"/>
        <v>0</v>
      </c>
      <c r="D32" s="173">
        <v>0.37790000000000001</v>
      </c>
      <c r="E32" s="173">
        <v>0.26469999999999999</v>
      </c>
      <c r="F32" s="170">
        <v>0</v>
      </c>
      <c r="G32" s="170">
        <v>0.15559999999999999</v>
      </c>
      <c r="H32" s="170">
        <v>0.84440000000000004</v>
      </c>
      <c r="I32" s="170">
        <f t="shared" si="9"/>
        <v>0</v>
      </c>
      <c r="J32" s="170">
        <v>0.60980000000000001</v>
      </c>
      <c r="K32" s="170">
        <v>0.28060000000000002</v>
      </c>
      <c r="L32" s="190">
        <v>0</v>
      </c>
      <c r="M32" s="190">
        <v>0.16400000000000001</v>
      </c>
      <c r="N32" s="190">
        <v>0.83599999999999997</v>
      </c>
      <c r="O32" s="190">
        <f t="shared" si="11"/>
        <v>0</v>
      </c>
      <c r="P32" s="190">
        <v>0.37790000000000001</v>
      </c>
      <c r="Q32" s="190">
        <v>0.26469999999999999</v>
      </c>
      <c r="R32" s="173">
        <v>0</v>
      </c>
      <c r="S32" s="190">
        <v>0.15559999999999999</v>
      </c>
      <c r="T32" s="190">
        <v>0.84440000000000004</v>
      </c>
    </row>
    <row r="33" spans="1:20" x14ac:dyDescent="0.2">
      <c r="A33" s="214"/>
      <c r="B33" s="167">
        <v>5</v>
      </c>
      <c r="C33" s="173" t="s">
        <v>24</v>
      </c>
      <c r="D33" s="173">
        <v>0.37790000000000001</v>
      </c>
      <c r="E33" s="173" t="s">
        <v>24</v>
      </c>
      <c r="F33" s="170" t="s">
        <v>24</v>
      </c>
      <c r="G33" s="169" t="s">
        <v>24</v>
      </c>
      <c r="H33" s="170" t="s">
        <v>24</v>
      </c>
      <c r="I33" s="170">
        <f t="shared" si="9"/>
        <v>0</v>
      </c>
      <c r="J33" s="170">
        <v>0.60980000000000001</v>
      </c>
      <c r="K33" s="170">
        <v>3.8199999999999998E-2</v>
      </c>
      <c r="L33" s="190">
        <v>0</v>
      </c>
      <c r="M33" s="190">
        <v>0.15709999999999999</v>
      </c>
      <c r="N33" s="190">
        <v>0.84289999999999998</v>
      </c>
      <c r="O33" s="190" t="s">
        <v>24</v>
      </c>
      <c r="P33" s="190">
        <v>0.37790000000000001</v>
      </c>
      <c r="Q33" s="190" t="s">
        <v>24</v>
      </c>
      <c r="R33" s="173" t="s">
        <v>24</v>
      </c>
      <c r="S33" s="190" t="s">
        <v>24</v>
      </c>
      <c r="T33" s="190" t="s">
        <v>24</v>
      </c>
    </row>
    <row r="34" spans="1:20" x14ac:dyDescent="0.2">
      <c r="A34" s="130"/>
      <c r="B34" s="167"/>
      <c r="C34" s="173"/>
      <c r="D34" s="173"/>
      <c r="E34" s="173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0" x14ac:dyDescent="0.2">
      <c r="A35" s="214" t="s">
        <v>78</v>
      </c>
      <c r="B35" s="167">
        <v>1</v>
      </c>
      <c r="C35" s="173">
        <f t="shared" ref="C35" si="12">F35/H35</f>
        <v>0</v>
      </c>
      <c r="D35" s="173">
        <v>0.37790000000000001</v>
      </c>
      <c r="E35" s="173">
        <v>0.2059</v>
      </c>
      <c r="F35" s="190">
        <v>0</v>
      </c>
      <c r="G35" s="190">
        <v>0.1578667</v>
      </c>
      <c r="H35" s="190">
        <v>0.84213329999999997</v>
      </c>
      <c r="I35" s="190">
        <f t="shared" ref="I35:I39" si="13">L35/N35</f>
        <v>0</v>
      </c>
      <c r="J35" s="190">
        <v>0.60980000000000001</v>
      </c>
      <c r="K35" s="190">
        <v>0.14169999999999999</v>
      </c>
      <c r="L35" s="190">
        <v>0</v>
      </c>
      <c r="M35" s="190">
        <v>0.16033330000000001</v>
      </c>
      <c r="N35" s="190">
        <v>0.83966669999999999</v>
      </c>
      <c r="O35" s="190">
        <f t="shared" ref="O35" si="14">R35/T35</f>
        <v>0</v>
      </c>
      <c r="P35" s="190">
        <v>0.37790000000000001</v>
      </c>
      <c r="Q35" s="190">
        <v>0.2059</v>
      </c>
      <c r="R35" s="190">
        <v>0</v>
      </c>
      <c r="S35" s="190">
        <v>0.1578667</v>
      </c>
      <c r="T35" s="190">
        <v>0.84213329999999997</v>
      </c>
    </row>
    <row r="36" spans="1:20" x14ac:dyDescent="0.2">
      <c r="A36" s="214"/>
      <c r="B36" s="167">
        <v>2</v>
      </c>
      <c r="C36" s="173" t="s">
        <v>71</v>
      </c>
      <c r="D36" s="173">
        <v>0.37790000000000001</v>
      </c>
      <c r="E36" s="173">
        <v>0.44290000000000002</v>
      </c>
      <c r="F36" s="190">
        <v>0.8358333</v>
      </c>
      <c r="G36" s="190">
        <v>0.1641667</v>
      </c>
      <c r="H36" s="190">
        <v>0</v>
      </c>
      <c r="I36" s="190">
        <f t="shared" si="13"/>
        <v>0</v>
      </c>
      <c r="J36" s="190">
        <v>0.60980000000000001</v>
      </c>
      <c r="K36" s="190">
        <v>0.51270000000000004</v>
      </c>
      <c r="L36" s="190">
        <v>0</v>
      </c>
      <c r="M36" s="190">
        <v>0.1643</v>
      </c>
      <c r="N36" s="190">
        <v>0.8357</v>
      </c>
      <c r="O36" s="190" t="s">
        <v>71</v>
      </c>
      <c r="P36" s="190">
        <v>0.37790000000000001</v>
      </c>
      <c r="Q36" s="190">
        <v>0.80119969999999996</v>
      </c>
      <c r="R36" s="190">
        <v>0.8358333</v>
      </c>
      <c r="S36" s="190">
        <v>0.1641667</v>
      </c>
      <c r="T36" s="190">
        <v>0</v>
      </c>
    </row>
    <row r="37" spans="1:20" x14ac:dyDescent="0.2">
      <c r="A37" s="214"/>
      <c r="B37" s="167">
        <v>3</v>
      </c>
      <c r="C37" s="173" t="s">
        <v>71</v>
      </c>
      <c r="D37" s="173">
        <v>0.37790000000000001</v>
      </c>
      <c r="E37" s="173">
        <v>0.54879999999999995</v>
      </c>
      <c r="F37" s="190">
        <v>0.83946670000000001</v>
      </c>
      <c r="G37" s="190">
        <v>0.16053329999999999</v>
      </c>
      <c r="H37" s="190">
        <v>0</v>
      </c>
      <c r="I37" s="190">
        <f t="shared" si="13"/>
        <v>0</v>
      </c>
      <c r="J37" s="190">
        <v>0.60980000000000001</v>
      </c>
      <c r="K37" s="190">
        <v>0.51790000000000003</v>
      </c>
      <c r="L37" s="190">
        <v>0</v>
      </c>
      <c r="M37" s="190">
        <v>0.15866669999999999</v>
      </c>
      <c r="N37" s="190">
        <v>0.84133329999999995</v>
      </c>
      <c r="O37" s="190" t="s">
        <v>71</v>
      </c>
      <c r="P37" s="190">
        <v>0.37790000000000001</v>
      </c>
      <c r="Q37" s="190">
        <v>0.54879999999999995</v>
      </c>
      <c r="R37" s="190">
        <v>0.83946670000000001</v>
      </c>
      <c r="S37" s="190">
        <v>0.16053329999999999</v>
      </c>
      <c r="T37" s="190">
        <v>0</v>
      </c>
    </row>
    <row r="38" spans="1:20" x14ac:dyDescent="0.2">
      <c r="A38" s="214"/>
      <c r="B38" s="167">
        <v>4</v>
      </c>
      <c r="C38" s="173" t="s">
        <v>71</v>
      </c>
      <c r="D38" s="173">
        <v>0.37790000000000001</v>
      </c>
      <c r="E38" s="173">
        <v>0.39610000000000001</v>
      </c>
      <c r="F38" s="190">
        <v>0.54053329999999999</v>
      </c>
      <c r="G38" s="190">
        <v>0.45946670000000001</v>
      </c>
      <c r="H38" s="190">
        <v>0</v>
      </c>
      <c r="I38" s="190">
        <f t="shared" si="13"/>
        <v>0</v>
      </c>
      <c r="J38" s="190">
        <v>0.60980000000000001</v>
      </c>
      <c r="K38" s="190">
        <v>0.26050000000000001</v>
      </c>
      <c r="L38" s="190">
        <v>0</v>
      </c>
      <c r="M38" s="190">
        <v>0.15683330000000001</v>
      </c>
      <c r="N38" s="190">
        <v>0.84316670000000005</v>
      </c>
      <c r="O38" s="190" t="s">
        <v>71</v>
      </c>
      <c r="P38" s="190">
        <v>0.37790000000000001</v>
      </c>
      <c r="Q38" s="190">
        <v>0.39610000000000001</v>
      </c>
      <c r="R38" s="190">
        <v>0.54053329999999999</v>
      </c>
      <c r="S38" s="190">
        <v>0.45946670000000001</v>
      </c>
      <c r="T38" s="190">
        <v>0</v>
      </c>
    </row>
    <row r="39" spans="1:20" x14ac:dyDescent="0.2">
      <c r="A39" s="214"/>
      <c r="B39" s="167">
        <v>5</v>
      </c>
      <c r="C39" s="173" t="s">
        <v>71</v>
      </c>
      <c r="D39" s="173">
        <v>0.37790000000000001</v>
      </c>
      <c r="E39" s="173">
        <v>0.38009999999999999</v>
      </c>
      <c r="F39" s="170">
        <v>0.54333330000000002</v>
      </c>
      <c r="G39" s="170">
        <v>0.45666669999999998</v>
      </c>
      <c r="H39" s="170">
        <v>0</v>
      </c>
      <c r="I39" s="170">
        <f t="shared" si="13"/>
        <v>0</v>
      </c>
      <c r="J39" s="170">
        <v>0.60980000000000001</v>
      </c>
      <c r="K39" s="170">
        <v>0.39829999999999999</v>
      </c>
      <c r="L39" s="190">
        <v>0</v>
      </c>
      <c r="M39" s="190">
        <v>0.16156670000000001</v>
      </c>
      <c r="N39" s="190">
        <v>0.83843330000000005</v>
      </c>
      <c r="O39" s="190" t="s">
        <v>71</v>
      </c>
      <c r="P39" s="190">
        <v>0.37790000000000001</v>
      </c>
      <c r="Q39" s="190">
        <v>0.38009999999999999</v>
      </c>
      <c r="R39" s="190">
        <v>0</v>
      </c>
      <c r="S39" s="191">
        <v>1</v>
      </c>
      <c r="T39" s="190">
        <v>0</v>
      </c>
    </row>
    <row r="40" spans="1:20" ht="17" thickBot="1" x14ac:dyDescent="0.25">
      <c r="A40" s="138"/>
      <c r="B40" s="115"/>
      <c r="C40" s="175"/>
      <c r="D40" s="175"/>
      <c r="E40" s="175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</row>
    <row r="41" spans="1:20" x14ac:dyDescent="0.2">
      <c r="A41" s="214" t="s">
        <v>79</v>
      </c>
      <c r="B41" s="167">
        <v>1</v>
      </c>
      <c r="C41" s="173">
        <f t="shared" ref="C41:C44" si="15">F41/H41</f>
        <v>0</v>
      </c>
      <c r="D41" s="173">
        <v>0.92449999999999999</v>
      </c>
      <c r="E41" s="173">
        <v>0.57399999999999995</v>
      </c>
      <c r="F41" s="190">
        <v>0</v>
      </c>
      <c r="G41" s="190">
        <v>0.16163330000000001</v>
      </c>
      <c r="H41" s="190">
        <v>0.83836670000000002</v>
      </c>
      <c r="I41" s="190">
        <f t="shared" ref="I41:I45" si="16">L41/N41</f>
        <v>0</v>
      </c>
      <c r="J41" s="190">
        <v>0.92009799999999997</v>
      </c>
      <c r="K41" s="190">
        <v>0.59340000000000004</v>
      </c>
      <c r="L41" s="190">
        <v>0</v>
      </c>
      <c r="M41" s="190">
        <v>0.1614333</v>
      </c>
      <c r="N41" s="190">
        <v>0.8385667</v>
      </c>
      <c r="O41" s="190" t="e">
        <f t="shared" ref="O41:O44" si="17">R41/T41</f>
        <v>#DIV/0!</v>
      </c>
      <c r="P41" s="190">
        <v>0.92449999999999999</v>
      </c>
      <c r="Q41" s="190">
        <v>0.57399999999999995</v>
      </c>
      <c r="R41" s="190">
        <v>0.83836670000000002</v>
      </c>
      <c r="S41" s="190">
        <v>0.16163330000000001</v>
      </c>
      <c r="T41" s="190">
        <v>0</v>
      </c>
    </row>
    <row r="42" spans="1:20" x14ac:dyDescent="0.2">
      <c r="A42" s="214"/>
      <c r="B42" s="167">
        <v>2</v>
      </c>
      <c r="C42" s="173">
        <f t="shared" si="15"/>
        <v>0</v>
      </c>
      <c r="D42" s="173">
        <v>0.92449999999999999</v>
      </c>
      <c r="E42" s="173">
        <v>0.88360000000000005</v>
      </c>
      <c r="F42" s="190">
        <v>0</v>
      </c>
      <c r="G42" s="190">
        <v>0.15870000000000001</v>
      </c>
      <c r="H42" s="190">
        <v>0.84130000000000005</v>
      </c>
      <c r="I42" s="190" t="s">
        <v>71</v>
      </c>
      <c r="J42" s="190">
        <v>0.92009799999999997</v>
      </c>
      <c r="K42" s="190">
        <v>0.92279999999999995</v>
      </c>
      <c r="L42" s="190">
        <v>0</v>
      </c>
      <c r="M42" s="191">
        <v>1</v>
      </c>
      <c r="N42" s="190">
        <v>0</v>
      </c>
      <c r="O42" s="190">
        <f t="shared" si="17"/>
        <v>0</v>
      </c>
      <c r="P42" s="190">
        <v>0.92449999999999999</v>
      </c>
      <c r="Q42" s="190">
        <v>0.88360000000000005</v>
      </c>
      <c r="R42" s="190">
        <v>0</v>
      </c>
      <c r="S42" s="190">
        <v>0.15870000000000001</v>
      </c>
      <c r="T42" s="190">
        <v>0.84130000000000005</v>
      </c>
    </row>
    <row r="43" spans="1:20" x14ac:dyDescent="0.2">
      <c r="A43" s="214"/>
      <c r="B43" s="167">
        <v>3</v>
      </c>
      <c r="C43" s="173">
        <f t="shared" si="15"/>
        <v>0</v>
      </c>
      <c r="D43" s="173">
        <v>0.92449999999999999</v>
      </c>
      <c r="E43" s="173">
        <v>0.61050000000000004</v>
      </c>
      <c r="F43" s="190">
        <v>0</v>
      </c>
      <c r="G43" s="190">
        <v>0.1603</v>
      </c>
      <c r="H43" s="190">
        <v>0.8397</v>
      </c>
      <c r="I43" s="190">
        <f t="shared" si="16"/>
        <v>0</v>
      </c>
      <c r="J43" s="190">
        <v>0.92009799999999997</v>
      </c>
      <c r="K43" s="190">
        <v>0.66839999999999999</v>
      </c>
      <c r="L43" s="190">
        <v>0</v>
      </c>
      <c r="M43" s="190">
        <v>0.1568667</v>
      </c>
      <c r="N43" s="190">
        <v>0.84313329999999997</v>
      </c>
      <c r="O43" s="190">
        <f t="shared" si="17"/>
        <v>0</v>
      </c>
      <c r="P43" s="190">
        <v>0.92449999999999999</v>
      </c>
      <c r="Q43" s="190">
        <v>0.61050000000000004</v>
      </c>
      <c r="R43" s="190">
        <v>0</v>
      </c>
      <c r="S43" s="190">
        <v>0.1603</v>
      </c>
      <c r="T43" s="190">
        <v>0.8397</v>
      </c>
    </row>
    <row r="44" spans="1:20" x14ac:dyDescent="0.2">
      <c r="A44" s="214"/>
      <c r="B44" s="167">
        <v>4</v>
      </c>
      <c r="C44" s="173">
        <f t="shared" si="15"/>
        <v>0</v>
      </c>
      <c r="D44" s="173">
        <v>0.92449999999999999</v>
      </c>
      <c r="E44" s="173">
        <v>0.34310000000000002</v>
      </c>
      <c r="F44" s="170">
        <v>0</v>
      </c>
      <c r="G44" s="170">
        <v>0.15983330000000001</v>
      </c>
      <c r="H44" s="170">
        <v>0.84016670000000004</v>
      </c>
      <c r="I44" s="170">
        <f t="shared" si="16"/>
        <v>0</v>
      </c>
      <c r="J44" s="170">
        <v>0.92009799999999997</v>
      </c>
      <c r="K44" s="170">
        <v>0.36890000000000001</v>
      </c>
      <c r="L44" s="190">
        <v>0</v>
      </c>
      <c r="M44" s="190">
        <v>0.16076670000000001</v>
      </c>
      <c r="N44" s="190">
        <v>0.83923329999999996</v>
      </c>
      <c r="O44" s="190">
        <f t="shared" si="17"/>
        <v>0</v>
      </c>
      <c r="P44" s="190">
        <v>0.92449999999999999</v>
      </c>
      <c r="Q44" s="190">
        <v>0.34310000000000002</v>
      </c>
      <c r="R44" s="190">
        <v>0</v>
      </c>
      <c r="S44" s="190">
        <v>0.15983330000000001</v>
      </c>
      <c r="T44" s="190">
        <v>0.84016670000000004</v>
      </c>
    </row>
    <row r="45" spans="1:20" x14ac:dyDescent="0.2">
      <c r="A45" s="214"/>
      <c r="B45" s="167">
        <v>5</v>
      </c>
      <c r="C45" s="173" t="s">
        <v>24</v>
      </c>
      <c r="D45" s="173">
        <v>0.92449999999999999</v>
      </c>
      <c r="E45" s="173" t="s">
        <v>24</v>
      </c>
      <c r="F45" s="170" t="s">
        <v>24</v>
      </c>
      <c r="G45" s="170" t="s">
        <v>24</v>
      </c>
      <c r="H45" s="170" t="s">
        <v>24</v>
      </c>
      <c r="I45" s="170">
        <f t="shared" si="16"/>
        <v>0</v>
      </c>
      <c r="J45" s="170">
        <v>0.92009799999999997</v>
      </c>
      <c r="K45" s="170">
        <v>3.8199999999999998E-2</v>
      </c>
      <c r="L45" s="190">
        <v>0</v>
      </c>
      <c r="M45" s="190">
        <v>0.16020000000000001</v>
      </c>
      <c r="N45" s="190">
        <v>0.83979999999999999</v>
      </c>
      <c r="O45" s="190" t="s">
        <v>24</v>
      </c>
      <c r="P45" s="190">
        <v>0.92449999999999999</v>
      </c>
      <c r="Q45" s="190" t="s">
        <v>24</v>
      </c>
      <c r="R45" s="190" t="s">
        <v>24</v>
      </c>
      <c r="S45" s="190" t="s">
        <v>24</v>
      </c>
      <c r="T45" s="190" t="s">
        <v>24</v>
      </c>
    </row>
    <row r="46" spans="1:20" x14ac:dyDescent="0.2">
      <c r="A46" s="130"/>
      <c r="B46" s="167"/>
      <c r="C46" s="173"/>
      <c r="D46" s="173"/>
      <c r="E46" s="173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</row>
    <row r="47" spans="1:20" x14ac:dyDescent="0.2">
      <c r="A47" s="214" t="s">
        <v>80</v>
      </c>
      <c r="B47" s="167">
        <v>1</v>
      </c>
      <c r="C47" s="173">
        <f>F47/H47</f>
        <v>0</v>
      </c>
      <c r="D47" s="173">
        <v>0.92449999999999999</v>
      </c>
      <c r="E47" s="173">
        <v>0.89680000000000004</v>
      </c>
      <c r="F47" s="190">
        <v>0</v>
      </c>
      <c r="G47" s="190">
        <v>0.15989999999999999</v>
      </c>
      <c r="H47" s="190">
        <v>0.84009999999999996</v>
      </c>
      <c r="I47" s="190">
        <f>L47/N47</f>
        <v>0</v>
      </c>
      <c r="J47" s="190">
        <v>0.92009799999999997</v>
      </c>
      <c r="K47" s="190">
        <v>0.91369999999999996</v>
      </c>
      <c r="L47" s="190">
        <v>0</v>
      </c>
      <c r="M47" s="190">
        <v>0.45886670000000002</v>
      </c>
      <c r="N47" s="190">
        <v>0.54113330000000004</v>
      </c>
      <c r="O47" s="190">
        <f>R47/T47</f>
        <v>0</v>
      </c>
      <c r="P47" s="190">
        <v>0.92449999999999999</v>
      </c>
      <c r="Q47" s="190">
        <v>0.89680000000000004</v>
      </c>
      <c r="R47" s="190">
        <v>0</v>
      </c>
      <c r="S47" s="190">
        <v>0.15989999999999999</v>
      </c>
      <c r="T47" s="190">
        <v>0.84009999999999996</v>
      </c>
    </row>
    <row r="48" spans="1:20" x14ac:dyDescent="0.2">
      <c r="A48" s="214"/>
      <c r="B48" s="167">
        <v>2</v>
      </c>
      <c r="C48" s="173">
        <f t="shared" ref="C48:C51" si="18">F48/H48</f>
        <v>0</v>
      </c>
      <c r="D48" s="173">
        <v>0.92449999999999999</v>
      </c>
      <c r="E48" s="173">
        <v>0.87870000000000004</v>
      </c>
      <c r="F48" s="190">
        <v>0</v>
      </c>
      <c r="G48" s="190">
        <v>0.15963330000000001</v>
      </c>
      <c r="H48" s="190">
        <v>0.84036670000000002</v>
      </c>
      <c r="I48" s="190">
        <f t="shared" ref="I48:I51" si="19">L48/N48</f>
        <v>0</v>
      </c>
      <c r="J48" s="190">
        <v>0.92009799999999997</v>
      </c>
      <c r="K48" s="190">
        <v>0.87970000000000004</v>
      </c>
      <c r="L48" s="190">
        <v>0</v>
      </c>
      <c r="M48" s="190">
        <v>0.1594333</v>
      </c>
      <c r="N48" s="190">
        <v>0.8405667</v>
      </c>
      <c r="O48" s="190">
        <f t="shared" ref="O48:O51" si="20">R48/T48</f>
        <v>0</v>
      </c>
      <c r="P48" s="190">
        <v>0.92449999999999999</v>
      </c>
      <c r="Q48" s="190">
        <v>0.87870000000000004</v>
      </c>
      <c r="R48" s="190">
        <v>0</v>
      </c>
      <c r="S48" s="190">
        <v>0.15963330000000001</v>
      </c>
      <c r="T48" s="190">
        <v>0.84036670000000002</v>
      </c>
    </row>
    <row r="49" spans="1:20" x14ac:dyDescent="0.2">
      <c r="A49" s="214"/>
      <c r="B49" s="167">
        <v>3</v>
      </c>
      <c r="C49" s="173">
        <f t="shared" si="18"/>
        <v>0</v>
      </c>
      <c r="D49" s="173">
        <v>0.92449999999999999</v>
      </c>
      <c r="E49" s="173">
        <v>0.75560000000000005</v>
      </c>
      <c r="F49" s="190">
        <v>0</v>
      </c>
      <c r="G49" s="190">
        <v>0.16120000000000001</v>
      </c>
      <c r="H49" s="190">
        <v>0.83879999999999999</v>
      </c>
      <c r="I49" s="190">
        <f t="shared" si="19"/>
        <v>0</v>
      </c>
      <c r="J49" s="190">
        <v>0.92009799999999997</v>
      </c>
      <c r="K49" s="190">
        <v>0.8206</v>
      </c>
      <c r="L49" s="190">
        <v>0</v>
      </c>
      <c r="M49" s="190">
        <v>0.16006670000000001</v>
      </c>
      <c r="N49" s="190">
        <v>0.83993329999999999</v>
      </c>
      <c r="O49" s="190">
        <f t="shared" si="20"/>
        <v>0</v>
      </c>
      <c r="P49" s="190">
        <v>0.92449999999999999</v>
      </c>
      <c r="Q49" s="190">
        <v>0.75560000000000005</v>
      </c>
      <c r="R49" s="190">
        <v>0</v>
      </c>
      <c r="S49" s="190">
        <v>0.16120000000000001</v>
      </c>
      <c r="T49" s="190">
        <v>0.83879999999999999</v>
      </c>
    </row>
    <row r="50" spans="1:20" x14ac:dyDescent="0.2">
      <c r="A50" s="214"/>
      <c r="B50" s="167">
        <v>4</v>
      </c>
      <c r="C50" s="173">
        <f t="shared" si="18"/>
        <v>0</v>
      </c>
      <c r="D50" s="173">
        <v>0.92449999999999999</v>
      </c>
      <c r="E50" s="173">
        <v>0.6623</v>
      </c>
      <c r="F50" s="190">
        <v>0</v>
      </c>
      <c r="G50" s="190">
        <v>0.1584333</v>
      </c>
      <c r="H50" s="190">
        <v>0.8415667</v>
      </c>
      <c r="I50" s="190">
        <f t="shared" si="19"/>
        <v>0</v>
      </c>
      <c r="J50" s="190">
        <v>0.92009799999999997</v>
      </c>
      <c r="K50" s="190">
        <v>0.64680000000000004</v>
      </c>
      <c r="L50" s="190">
        <v>0</v>
      </c>
      <c r="M50" s="190">
        <v>0.16006670000000001</v>
      </c>
      <c r="N50" s="190">
        <v>0.83993329999999999</v>
      </c>
      <c r="O50" s="190">
        <f t="shared" si="20"/>
        <v>0</v>
      </c>
      <c r="P50" s="190">
        <v>0.92449999999999999</v>
      </c>
      <c r="Q50" s="190">
        <v>0.6623</v>
      </c>
      <c r="R50" s="190">
        <v>0</v>
      </c>
      <c r="S50" s="190">
        <v>0.1584333</v>
      </c>
      <c r="T50" s="190">
        <v>0.8415667</v>
      </c>
    </row>
    <row r="51" spans="1:20" x14ac:dyDescent="0.2">
      <c r="A51" s="214"/>
      <c r="B51" s="167">
        <v>5</v>
      </c>
      <c r="C51" s="173">
        <f t="shared" si="18"/>
        <v>0</v>
      </c>
      <c r="D51" s="173">
        <v>0.92449999999999999</v>
      </c>
      <c r="E51" s="173">
        <v>0.56589999999999996</v>
      </c>
      <c r="F51" s="170">
        <v>0</v>
      </c>
      <c r="G51" s="170">
        <v>0.15676670000000001</v>
      </c>
      <c r="H51" s="170">
        <v>0.84323329999999996</v>
      </c>
      <c r="I51" s="170">
        <f t="shared" si="19"/>
        <v>0</v>
      </c>
      <c r="J51" s="170">
        <v>0.92009799999999997</v>
      </c>
      <c r="K51" s="170">
        <v>0.5</v>
      </c>
      <c r="L51" s="190">
        <v>0</v>
      </c>
      <c r="M51" s="190">
        <v>0.15753329999999999</v>
      </c>
      <c r="N51" s="190">
        <v>0.84246670000000001</v>
      </c>
      <c r="O51" s="190">
        <f t="shared" si="20"/>
        <v>0</v>
      </c>
      <c r="P51" s="190">
        <v>0.92449999999999999</v>
      </c>
      <c r="Q51" s="190">
        <v>0.56589999999999996</v>
      </c>
      <c r="R51" s="190">
        <v>0</v>
      </c>
      <c r="S51" s="190">
        <v>0.15676670000000001</v>
      </c>
      <c r="T51" s="190">
        <v>0.84323329999999996</v>
      </c>
    </row>
    <row r="52" spans="1:20" ht="17" thickBot="1" x14ac:dyDescent="0.25">
      <c r="A52" s="138"/>
      <c r="B52" s="115"/>
      <c r="C52" s="175"/>
      <c r="D52" s="175"/>
      <c r="E52" s="175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</row>
    <row r="53" spans="1:20" x14ac:dyDescent="0.2">
      <c r="A53" s="214" t="s">
        <v>81</v>
      </c>
      <c r="B53" s="167">
        <v>1</v>
      </c>
      <c r="C53" s="173">
        <f t="shared" ref="C53:C56" si="21">F53/H53</f>
        <v>0</v>
      </c>
      <c r="D53" s="173">
        <v>0.89439999999999997</v>
      </c>
      <c r="E53" s="173">
        <v>0.59799999999999998</v>
      </c>
      <c r="F53" s="190">
        <v>0</v>
      </c>
      <c r="G53" s="190">
        <v>0.1601667</v>
      </c>
      <c r="H53" s="190">
        <v>0.8398333</v>
      </c>
      <c r="I53" s="190">
        <f t="shared" ref="I53:I56" si="22">L53/N53</f>
        <v>0</v>
      </c>
      <c r="J53" s="190">
        <v>0.89439999999999997</v>
      </c>
      <c r="K53" s="190">
        <v>0.61960000000000004</v>
      </c>
      <c r="L53" s="190">
        <v>0</v>
      </c>
      <c r="M53" s="190">
        <v>0.16033330000000001</v>
      </c>
      <c r="N53" s="190">
        <v>0.83966669999999999</v>
      </c>
      <c r="O53" s="190">
        <f t="shared" ref="O53:O56" si="23">R53/T53</f>
        <v>0</v>
      </c>
      <c r="P53" s="190">
        <v>0.89439999999999997</v>
      </c>
      <c r="Q53" s="190">
        <v>0.59799999999999998</v>
      </c>
      <c r="R53" s="190">
        <v>0</v>
      </c>
      <c r="S53" s="190">
        <v>0.1601667</v>
      </c>
      <c r="T53" s="190">
        <v>0.8398333</v>
      </c>
    </row>
    <row r="54" spans="1:20" x14ac:dyDescent="0.2">
      <c r="A54" s="214"/>
      <c r="B54" s="167">
        <v>2</v>
      </c>
      <c r="C54" s="173">
        <f t="shared" si="21"/>
        <v>0</v>
      </c>
      <c r="D54" s="173">
        <v>0.89439999999999997</v>
      </c>
      <c r="E54" s="173">
        <v>0.8417</v>
      </c>
      <c r="F54" s="170">
        <v>0</v>
      </c>
      <c r="G54" s="170">
        <v>0.15953329999999999</v>
      </c>
      <c r="H54" s="170">
        <v>0.84046670000000001</v>
      </c>
      <c r="I54" s="170" t="s">
        <v>24</v>
      </c>
      <c r="J54" s="170">
        <v>0.89439999999999997</v>
      </c>
      <c r="K54" s="170" t="s">
        <v>24</v>
      </c>
      <c r="L54" s="190" t="s">
        <v>24</v>
      </c>
      <c r="M54" s="190" t="s">
        <v>24</v>
      </c>
      <c r="N54" s="190" t="s">
        <v>24</v>
      </c>
      <c r="O54" s="190">
        <f t="shared" si="23"/>
        <v>0</v>
      </c>
      <c r="P54" s="190">
        <v>0.89439999999999997</v>
      </c>
      <c r="Q54" s="190">
        <v>0.8417</v>
      </c>
      <c r="R54" s="190">
        <v>0</v>
      </c>
      <c r="S54" s="190">
        <v>0.15953329999999999</v>
      </c>
      <c r="T54" s="190">
        <v>0.84046670000000001</v>
      </c>
    </row>
    <row r="55" spans="1:20" x14ac:dyDescent="0.2">
      <c r="A55" s="214"/>
      <c r="B55" s="167">
        <v>3</v>
      </c>
      <c r="C55" s="173" t="s">
        <v>24</v>
      </c>
      <c r="D55" s="173">
        <v>0.89439999999999997</v>
      </c>
      <c r="E55" s="173" t="s">
        <v>24</v>
      </c>
      <c r="F55" s="190" t="s">
        <v>24</v>
      </c>
      <c r="G55" s="190" t="s">
        <v>24</v>
      </c>
      <c r="H55" s="190" t="s">
        <v>24</v>
      </c>
      <c r="I55" s="190" t="s">
        <v>24</v>
      </c>
      <c r="J55" s="190">
        <v>0.89439999999999997</v>
      </c>
      <c r="K55" s="190" t="s">
        <v>24</v>
      </c>
      <c r="L55" s="190" t="s">
        <v>24</v>
      </c>
      <c r="M55" s="190" t="s">
        <v>24</v>
      </c>
      <c r="N55" s="190" t="s">
        <v>24</v>
      </c>
      <c r="O55" s="190" t="s">
        <v>24</v>
      </c>
      <c r="P55" s="190">
        <v>0.89439999999999997</v>
      </c>
      <c r="Q55" s="190" t="s">
        <v>24</v>
      </c>
      <c r="R55" s="190" t="s">
        <v>24</v>
      </c>
      <c r="S55" s="190" t="s">
        <v>24</v>
      </c>
      <c r="T55" s="190" t="s">
        <v>24</v>
      </c>
    </row>
    <row r="56" spans="1:20" x14ac:dyDescent="0.2">
      <c r="A56" s="214"/>
      <c r="B56" s="167">
        <v>4</v>
      </c>
      <c r="C56" s="173">
        <f t="shared" si="21"/>
        <v>0</v>
      </c>
      <c r="D56" s="173">
        <v>0.89439999999999997</v>
      </c>
      <c r="E56" s="173">
        <v>0.3473</v>
      </c>
      <c r="F56" s="170">
        <v>0</v>
      </c>
      <c r="G56" s="170">
        <v>0.16159999999999999</v>
      </c>
      <c r="H56" s="170">
        <v>0.83840000000000003</v>
      </c>
      <c r="I56" s="170">
        <f t="shared" si="22"/>
        <v>0</v>
      </c>
      <c r="J56" s="170">
        <v>0.89439999999999997</v>
      </c>
      <c r="K56" s="170">
        <v>0.36149999999999999</v>
      </c>
      <c r="L56" s="190">
        <v>0</v>
      </c>
      <c r="M56" s="190">
        <v>0.1589333</v>
      </c>
      <c r="N56" s="190">
        <v>0.84106669999999994</v>
      </c>
      <c r="O56" s="190">
        <f t="shared" si="23"/>
        <v>0</v>
      </c>
      <c r="P56" s="190">
        <v>0.89439999999999997</v>
      </c>
      <c r="Q56" s="190">
        <v>0.3473</v>
      </c>
      <c r="R56" s="190">
        <v>0</v>
      </c>
      <c r="S56" s="190">
        <v>0.16159999999999999</v>
      </c>
      <c r="T56" s="190">
        <v>0.83840000000000003</v>
      </c>
    </row>
    <row r="57" spans="1:20" x14ac:dyDescent="0.2">
      <c r="A57" s="214"/>
      <c r="B57" s="167">
        <v>5</v>
      </c>
      <c r="C57" s="173" t="s">
        <v>24</v>
      </c>
      <c r="D57" s="173">
        <v>0.89439999999999997</v>
      </c>
      <c r="E57" s="173" t="s">
        <v>24</v>
      </c>
      <c r="F57" s="170" t="s">
        <v>24</v>
      </c>
      <c r="G57" s="170" t="s">
        <v>24</v>
      </c>
      <c r="H57" s="170" t="s">
        <v>24</v>
      </c>
      <c r="I57" s="170" t="s">
        <v>24</v>
      </c>
      <c r="J57" s="170">
        <v>0.89439999999999997</v>
      </c>
      <c r="K57" s="170" t="s">
        <v>24</v>
      </c>
      <c r="L57" s="190" t="s">
        <v>24</v>
      </c>
      <c r="M57" s="190" t="s">
        <v>24</v>
      </c>
      <c r="N57" s="190" t="s">
        <v>24</v>
      </c>
      <c r="O57" s="190" t="s">
        <v>24</v>
      </c>
      <c r="P57" s="190">
        <v>0.89439999999999997</v>
      </c>
      <c r="Q57" s="190" t="s">
        <v>24</v>
      </c>
      <c r="R57" s="190" t="s">
        <v>24</v>
      </c>
      <c r="S57" s="190" t="s">
        <v>24</v>
      </c>
      <c r="T57" s="190" t="s">
        <v>24</v>
      </c>
    </row>
    <row r="58" spans="1:20" x14ac:dyDescent="0.2">
      <c r="A58" s="130"/>
      <c r="B58" s="167"/>
      <c r="C58" s="173"/>
      <c r="D58" s="173"/>
      <c r="E58" s="173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</row>
    <row r="59" spans="1:20" x14ac:dyDescent="0.2">
      <c r="A59" s="214" t="s">
        <v>82</v>
      </c>
      <c r="B59" s="167">
        <v>1</v>
      </c>
      <c r="C59" s="173">
        <f t="shared" ref="C59:C62" si="24">F59/H59</f>
        <v>0</v>
      </c>
      <c r="D59" s="173">
        <v>0.89439999999999997</v>
      </c>
      <c r="E59" s="173">
        <v>0.84850000000000003</v>
      </c>
      <c r="F59" s="190">
        <v>0</v>
      </c>
      <c r="G59" s="190">
        <v>0.16106670000000001</v>
      </c>
      <c r="H59" s="190">
        <v>0.83893329999999999</v>
      </c>
      <c r="I59" s="190" t="s">
        <v>24</v>
      </c>
      <c r="J59" s="190">
        <v>0.89439999999999997</v>
      </c>
      <c r="K59" s="190" t="s">
        <v>24</v>
      </c>
      <c r="L59" s="190" t="s">
        <v>24</v>
      </c>
      <c r="M59" s="191" t="s">
        <v>24</v>
      </c>
      <c r="N59" s="190" t="s">
        <v>24</v>
      </c>
      <c r="O59" s="190" t="s">
        <v>71</v>
      </c>
      <c r="P59" s="190">
        <v>0.89439999999999997</v>
      </c>
      <c r="Q59" s="190">
        <v>0.84850000000000003</v>
      </c>
      <c r="R59" s="190">
        <v>0.83889999999999998</v>
      </c>
      <c r="S59" s="190">
        <v>0.16106670000000001</v>
      </c>
      <c r="T59" s="190">
        <v>0</v>
      </c>
    </row>
    <row r="60" spans="1:20" x14ac:dyDescent="0.2">
      <c r="A60" s="214"/>
      <c r="B60" s="167">
        <v>2</v>
      </c>
      <c r="C60" s="173">
        <f t="shared" si="24"/>
        <v>0</v>
      </c>
      <c r="D60" s="173">
        <v>0.89439999999999997</v>
      </c>
      <c r="E60" s="173">
        <v>0.8417</v>
      </c>
      <c r="F60" s="170">
        <v>0</v>
      </c>
      <c r="G60" s="170">
        <v>0.16089999999999999</v>
      </c>
      <c r="H60" s="170">
        <v>0.83909999999999996</v>
      </c>
      <c r="I60" s="170" t="s">
        <v>24</v>
      </c>
      <c r="J60" s="170">
        <v>0.89439999999999997</v>
      </c>
      <c r="K60" s="170" t="s">
        <v>24</v>
      </c>
      <c r="L60" s="190" t="s">
        <v>24</v>
      </c>
      <c r="M60" s="190" t="s">
        <v>24</v>
      </c>
      <c r="N60" s="190" t="s">
        <v>24</v>
      </c>
      <c r="O60" s="190">
        <f t="shared" ref="O60:O62" si="25">R60/T60</f>
        <v>0</v>
      </c>
      <c r="P60" s="190">
        <v>0.89439999999999997</v>
      </c>
      <c r="Q60" s="190">
        <v>0.8417</v>
      </c>
      <c r="R60" s="190">
        <v>0</v>
      </c>
      <c r="S60" s="190">
        <v>0.16089999999999999</v>
      </c>
      <c r="T60" s="190">
        <v>0.83909999999999996</v>
      </c>
    </row>
    <row r="61" spans="1:20" x14ac:dyDescent="0.2">
      <c r="A61" s="214"/>
      <c r="B61" s="167">
        <v>3</v>
      </c>
      <c r="C61" s="173" t="s">
        <v>24</v>
      </c>
      <c r="D61" s="173">
        <v>0.89439999999999997</v>
      </c>
      <c r="E61" s="173" t="s">
        <v>24</v>
      </c>
      <c r="F61" s="190" t="s">
        <v>24</v>
      </c>
      <c r="G61" s="190" t="s">
        <v>24</v>
      </c>
      <c r="H61" s="190" t="s">
        <v>24</v>
      </c>
      <c r="I61" s="190" t="s">
        <v>24</v>
      </c>
      <c r="J61" s="190">
        <v>0.89439999999999997</v>
      </c>
      <c r="K61" s="190" t="s">
        <v>24</v>
      </c>
      <c r="L61" s="190" t="s">
        <v>24</v>
      </c>
      <c r="M61" s="190" t="s">
        <v>24</v>
      </c>
      <c r="N61" s="190" t="s">
        <v>24</v>
      </c>
      <c r="O61" s="190" t="s">
        <v>24</v>
      </c>
      <c r="P61" s="190">
        <v>0.89439999999999997</v>
      </c>
      <c r="Q61" s="190" t="s">
        <v>24</v>
      </c>
      <c r="R61" s="190" t="s">
        <v>24</v>
      </c>
      <c r="S61" s="190" t="s">
        <v>24</v>
      </c>
      <c r="T61" s="190" t="s">
        <v>24</v>
      </c>
    </row>
    <row r="62" spans="1:20" x14ac:dyDescent="0.2">
      <c r="A62" s="214"/>
      <c r="B62" s="167">
        <v>4</v>
      </c>
      <c r="C62" s="173">
        <f t="shared" si="24"/>
        <v>0</v>
      </c>
      <c r="D62" s="173">
        <v>0.89439999999999997</v>
      </c>
      <c r="E62" s="173">
        <v>0.3473</v>
      </c>
      <c r="F62" s="190">
        <v>0</v>
      </c>
      <c r="G62" s="190">
        <v>0.1629333</v>
      </c>
      <c r="H62" s="190">
        <v>0.83706670000000005</v>
      </c>
      <c r="I62" s="190">
        <f t="shared" ref="I62" si="26">L62/N62</f>
        <v>0</v>
      </c>
      <c r="J62" s="190">
        <v>0.89439999999999997</v>
      </c>
      <c r="K62" s="190">
        <v>0.36149999999999999</v>
      </c>
      <c r="L62" s="190">
        <v>0</v>
      </c>
      <c r="M62" s="190">
        <v>0.159</v>
      </c>
      <c r="N62" s="190">
        <v>0.84099999999999997</v>
      </c>
      <c r="O62" s="190">
        <f t="shared" si="25"/>
        <v>0</v>
      </c>
      <c r="P62" s="190">
        <v>0.89439999999999997</v>
      </c>
      <c r="Q62" s="190">
        <v>0.3473</v>
      </c>
      <c r="R62" s="190">
        <v>0</v>
      </c>
      <c r="S62" s="190">
        <v>0.1629333</v>
      </c>
      <c r="T62" s="190">
        <v>0.83706670000000005</v>
      </c>
    </row>
    <row r="63" spans="1:20" ht="17" thickBot="1" x14ac:dyDescent="0.25">
      <c r="A63" s="213"/>
      <c r="B63" s="115">
        <v>5</v>
      </c>
      <c r="C63" s="175" t="s">
        <v>24</v>
      </c>
      <c r="D63" s="175">
        <v>0.89439999999999997</v>
      </c>
      <c r="E63" s="175" t="s">
        <v>24</v>
      </c>
      <c r="F63" s="164" t="s">
        <v>24</v>
      </c>
      <c r="G63" s="164" t="s">
        <v>24</v>
      </c>
      <c r="H63" s="164" t="s">
        <v>24</v>
      </c>
      <c r="I63" s="164" t="s">
        <v>24</v>
      </c>
      <c r="J63" s="164">
        <v>0.89439999999999997</v>
      </c>
      <c r="K63" s="164" t="s">
        <v>24</v>
      </c>
      <c r="L63" s="164" t="s">
        <v>24</v>
      </c>
      <c r="M63" s="164" t="s">
        <v>24</v>
      </c>
      <c r="N63" s="164" t="s">
        <v>24</v>
      </c>
      <c r="O63" s="164" t="s">
        <v>24</v>
      </c>
      <c r="P63" s="164">
        <v>0.89439999999999997</v>
      </c>
      <c r="Q63" s="164" t="s">
        <v>24</v>
      </c>
      <c r="R63" s="163" t="s">
        <v>24</v>
      </c>
      <c r="S63" s="163" t="s">
        <v>24</v>
      </c>
      <c r="T63" s="163" t="s">
        <v>24</v>
      </c>
    </row>
    <row r="64" spans="1:20" x14ac:dyDescent="0.2">
      <c r="R64" s="11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4E72-50FE-DB44-A73A-0CD82E564909}">
  <dimension ref="A1:T63"/>
  <sheetViews>
    <sheetView showGridLines="0" workbookViewId="0">
      <selection activeCell="A2" sqref="A2:T63"/>
    </sheetView>
  </sheetViews>
  <sheetFormatPr baseColWidth="10" defaultColWidth="11" defaultRowHeight="16" x14ac:dyDescent="0.2"/>
  <cols>
    <col min="1" max="1" width="28" customWidth="1"/>
    <col min="2" max="2" width="9.83203125" customWidth="1"/>
    <col min="4" max="4" width="16" customWidth="1"/>
    <col min="5" max="5" width="12.6640625" customWidth="1"/>
    <col min="10" max="10" width="16.6640625" customWidth="1"/>
    <col min="11" max="11" width="13.5" customWidth="1"/>
    <col min="16" max="16" width="16.83203125" customWidth="1"/>
    <col min="17" max="17" width="13.6640625" customWidth="1"/>
  </cols>
  <sheetData>
    <row r="1" spans="1:20" ht="17" thickBot="1" x14ac:dyDescent="0.25">
      <c r="A1" s="211" t="s">
        <v>201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03"/>
      <c r="B3" s="103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35" thickBot="1" x14ac:dyDescent="0.25">
      <c r="A4" s="138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67" t="s">
        <v>188</v>
      </c>
      <c r="D5" s="168">
        <v>0.85723716666666672</v>
      </c>
      <c r="E5" s="168">
        <v>0.99288493333333339</v>
      </c>
      <c r="F5" s="166" t="s">
        <v>86</v>
      </c>
      <c r="G5" s="171"/>
      <c r="H5" s="171"/>
      <c r="I5" s="166" t="s">
        <v>181</v>
      </c>
      <c r="J5" s="168">
        <v>0.85517493333333328</v>
      </c>
      <c r="K5" s="168">
        <v>0.97193410000000002</v>
      </c>
      <c r="L5" s="166" t="s">
        <v>86</v>
      </c>
      <c r="M5" s="171"/>
      <c r="N5" s="171"/>
      <c r="O5" s="166" t="s">
        <v>181</v>
      </c>
      <c r="P5" s="168">
        <v>0.85723716666666672</v>
      </c>
      <c r="Q5" s="168">
        <v>0.89923846666666662</v>
      </c>
      <c r="R5" s="166" t="s">
        <v>86</v>
      </c>
      <c r="S5" s="171"/>
      <c r="T5" s="171"/>
    </row>
    <row r="6" spans="1:20" x14ac:dyDescent="0.2">
      <c r="A6" s="214"/>
      <c r="B6" s="167">
        <v>2</v>
      </c>
      <c r="C6" s="172" t="s">
        <v>179</v>
      </c>
      <c r="D6" s="173">
        <v>0.85723716666666672</v>
      </c>
      <c r="E6" s="173">
        <v>0.73355423333333336</v>
      </c>
      <c r="F6" s="171"/>
      <c r="G6" s="171"/>
      <c r="H6" s="171" t="s">
        <v>86</v>
      </c>
      <c r="I6" s="171" t="s">
        <v>180</v>
      </c>
      <c r="J6" s="173">
        <v>0.85517493333333328</v>
      </c>
      <c r="K6" s="173">
        <v>0.73234503333333334</v>
      </c>
      <c r="L6" s="171"/>
      <c r="M6" s="171"/>
      <c r="N6" s="171" t="s">
        <v>86</v>
      </c>
      <c r="O6" s="171" t="s">
        <v>180</v>
      </c>
      <c r="P6" s="173">
        <v>0.85723716666666672</v>
      </c>
      <c r="Q6" s="173">
        <v>0.74922833333333327</v>
      </c>
      <c r="R6" s="171"/>
      <c r="S6" s="171"/>
      <c r="T6" s="171"/>
    </row>
    <row r="7" spans="1:20" x14ac:dyDescent="0.2">
      <c r="A7" s="214"/>
      <c r="B7" s="167">
        <v>3</v>
      </c>
      <c r="C7" s="172" t="s">
        <v>181</v>
      </c>
      <c r="D7" s="173">
        <v>0.85723716666666672</v>
      </c>
      <c r="E7" s="173">
        <v>0.87537799999999999</v>
      </c>
      <c r="F7" s="171"/>
      <c r="G7" s="171"/>
      <c r="H7" s="171"/>
      <c r="I7" s="171" t="s">
        <v>180</v>
      </c>
      <c r="J7" s="173">
        <v>0.85517493333333328</v>
      </c>
      <c r="K7" s="173">
        <v>0.84441040000000001</v>
      </c>
      <c r="L7" s="171"/>
      <c r="M7" s="171"/>
      <c r="N7" s="171"/>
      <c r="O7" s="171" t="s">
        <v>180</v>
      </c>
      <c r="P7" s="173">
        <v>0.85723716666666672</v>
      </c>
      <c r="Q7" s="173">
        <v>0.80678396666666663</v>
      </c>
      <c r="R7" s="171"/>
      <c r="S7" s="171"/>
      <c r="T7" s="171" t="s">
        <v>86</v>
      </c>
    </row>
    <row r="8" spans="1:20" x14ac:dyDescent="0.2">
      <c r="A8" s="214"/>
      <c r="B8" s="167">
        <v>4</v>
      </c>
      <c r="C8" s="167" t="s">
        <v>181</v>
      </c>
      <c r="D8" s="168">
        <v>0.85723716666666672</v>
      </c>
      <c r="E8" s="168">
        <v>0.96443506666666667</v>
      </c>
      <c r="F8" s="166" t="s">
        <v>86</v>
      </c>
      <c r="G8" s="171"/>
      <c r="H8" s="171"/>
      <c r="I8" s="167" t="s">
        <v>181</v>
      </c>
      <c r="J8" s="168">
        <v>0.85517493333333328</v>
      </c>
      <c r="K8" s="168">
        <v>0.95364996666666668</v>
      </c>
      <c r="L8" s="166" t="s">
        <v>86</v>
      </c>
      <c r="M8" s="171"/>
      <c r="N8" s="171"/>
      <c r="O8" s="166" t="s">
        <v>181</v>
      </c>
      <c r="P8" s="168">
        <v>0.85723716666666672</v>
      </c>
      <c r="Q8" s="168">
        <v>0.94820723333333323</v>
      </c>
      <c r="R8" s="166" t="s">
        <v>86</v>
      </c>
      <c r="S8" s="171"/>
      <c r="T8" s="171"/>
    </row>
    <row r="9" spans="1:20" x14ac:dyDescent="0.2">
      <c r="A9" s="214"/>
      <c r="B9" s="167">
        <v>5</v>
      </c>
      <c r="C9" s="167" t="s">
        <v>181</v>
      </c>
      <c r="D9" s="168">
        <v>0.85723716666666672</v>
      </c>
      <c r="E9" s="168">
        <v>0.99975170000000002</v>
      </c>
      <c r="F9" s="166" t="s">
        <v>86</v>
      </c>
      <c r="G9" s="171"/>
      <c r="H9" s="171"/>
      <c r="I9" s="167" t="s">
        <v>181</v>
      </c>
      <c r="J9" s="168">
        <v>0.85517493333333328</v>
      </c>
      <c r="K9" s="168">
        <v>0.99826436666666662</v>
      </c>
      <c r="L9" s="166" t="s">
        <v>86</v>
      </c>
      <c r="M9" s="171"/>
      <c r="N9" s="171"/>
      <c r="O9" s="166" t="s">
        <v>181</v>
      </c>
      <c r="P9" s="168">
        <v>0.85723716666666672</v>
      </c>
      <c r="Q9" s="168">
        <v>0.99309426666666667</v>
      </c>
      <c r="R9" s="166" t="s">
        <v>86</v>
      </c>
      <c r="S9" s="171"/>
      <c r="T9" s="171"/>
    </row>
    <row r="10" spans="1:20" x14ac:dyDescent="0.2">
      <c r="A10" s="130"/>
      <c r="B10" s="167"/>
      <c r="C10" s="167"/>
      <c r="D10" s="173"/>
      <c r="E10" s="173"/>
      <c r="F10" s="171"/>
      <c r="G10" s="171"/>
      <c r="H10" s="171"/>
      <c r="I10" s="171"/>
      <c r="J10" s="173"/>
      <c r="K10" s="173"/>
      <c r="L10" s="171"/>
      <c r="M10" s="171"/>
      <c r="N10" s="171"/>
      <c r="O10" s="171"/>
      <c r="P10" s="173"/>
      <c r="Q10" s="173"/>
      <c r="R10" s="171"/>
      <c r="S10" s="171"/>
      <c r="T10" s="171"/>
    </row>
    <row r="11" spans="1:20" x14ac:dyDescent="0.2">
      <c r="A11" s="214" t="s">
        <v>74</v>
      </c>
      <c r="B11" s="167">
        <v>1</v>
      </c>
      <c r="C11" s="167" t="s">
        <v>181</v>
      </c>
      <c r="D11" s="173">
        <v>0.85723716666666672</v>
      </c>
      <c r="E11" s="173">
        <v>0.86365996666666678</v>
      </c>
      <c r="F11" s="171"/>
      <c r="G11" s="171"/>
      <c r="H11" s="171"/>
      <c r="I11" s="171" t="s">
        <v>180</v>
      </c>
      <c r="J11" s="173">
        <v>0.85517493333333328</v>
      </c>
      <c r="K11" s="173">
        <v>0.86270230000000003</v>
      </c>
      <c r="L11" s="171"/>
      <c r="M11" s="171" t="s">
        <v>86</v>
      </c>
      <c r="N11" s="171"/>
      <c r="O11" s="171" t="s">
        <v>180</v>
      </c>
      <c r="P11" s="173">
        <v>0.85723716666666672</v>
      </c>
      <c r="Q11" s="173">
        <v>0.86041863333333335</v>
      </c>
      <c r="R11" s="171"/>
      <c r="S11" s="171"/>
      <c r="T11" s="171"/>
    </row>
    <row r="12" spans="1:20" x14ac:dyDescent="0.2">
      <c r="A12" s="214"/>
      <c r="B12" s="167">
        <v>2</v>
      </c>
      <c r="C12" s="167" t="s">
        <v>189</v>
      </c>
      <c r="D12" s="173">
        <v>0.85723716666666672</v>
      </c>
      <c r="E12" s="173">
        <v>0.84575543333333325</v>
      </c>
      <c r="F12" s="171"/>
      <c r="G12" s="171"/>
      <c r="H12" s="171"/>
      <c r="I12" s="172" t="s">
        <v>180</v>
      </c>
      <c r="J12" s="173">
        <v>0.85517493333333328</v>
      </c>
      <c r="K12" s="173">
        <v>0.84673290000000001</v>
      </c>
      <c r="L12" s="171"/>
      <c r="M12" s="171"/>
      <c r="N12" s="171"/>
      <c r="O12" s="171" t="s">
        <v>180</v>
      </c>
      <c r="P12" s="173">
        <v>0.85723716666666672</v>
      </c>
      <c r="Q12" s="173">
        <v>0.84422016666666666</v>
      </c>
      <c r="R12" s="171"/>
      <c r="S12" s="171" t="s">
        <v>86</v>
      </c>
      <c r="T12" s="171"/>
    </row>
    <row r="13" spans="1:20" x14ac:dyDescent="0.2">
      <c r="A13" s="214"/>
      <c r="B13" s="167">
        <v>3</v>
      </c>
      <c r="C13" s="167" t="s">
        <v>190</v>
      </c>
      <c r="D13" s="173">
        <v>0.85723716666666672</v>
      </c>
      <c r="E13" s="173">
        <v>0.82822916666666668</v>
      </c>
      <c r="F13" s="171"/>
      <c r="G13" s="171"/>
      <c r="H13" s="171" t="s">
        <v>86</v>
      </c>
      <c r="I13" s="171" t="s">
        <v>180</v>
      </c>
      <c r="J13" s="173">
        <v>0.85517493333333328</v>
      </c>
      <c r="K13" s="173">
        <v>0.83488050000000003</v>
      </c>
      <c r="L13" s="171"/>
      <c r="M13" s="171"/>
      <c r="N13" s="171" t="s">
        <v>86</v>
      </c>
      <c r="O13" s="171" t="s">
        <v>180</v>
      </c>
      <c r="P13" s="173">
        <v>0.85723716666666672</v>
      </c>
      <c r="Q13" s="173">
        <v>0.8365746666666668</v>
      </c>
      <c r="R13" s="171"/>
      <c r="S13" s="171" t="s">
        <v>86</v>
      </c>
      <c r="T13" s="171"/>
    </row>
    <row r="14" spans="1:20" x14ac:dyDescent="0.2">
      <c r="A14" s="214"/>
      <c r="B14" s="167">
        <v>4</v>
      </c>
      <c r="C14" s="167" t="s">
        <v>180</v>
      </c>
      <c r="D14" s="173">
        <v>0.85723716666666672</v>
      </c>
      <c r="E14" s="173">
        <v>0.85573719999999998</v>
      </c>
      <c r="F14" s="171"/>
      <c r="G14" s="171" t="s">
        <v>86</v>
      </c>
      <c r="H14" s="171"/>
      <c r="I14" s="171" t="s">
        <v>180</v>
      </c>
      <c r="J14" s="173">
        <v>0.85517493333333328</v>
      </c>
      <c r="K14" s="173">
        <v>0.85355649999999994</v>
      </c>
      <c r="L14" s="171"/>
      <c r="M14" s="171" t="s">
        <v>86</v>
      </c>
      <c r="N14" s="171"/>
      <c r="O14" s="171" t="s">
        <v>180</v>
      </c>
      <c r="P14" s="173">
        <v>0.85723716666666672</v>
      </c>
      <c r="Q14" s="173">
        <v>0.85383626666666668</v>
      </c>
      <c r="R14" s="171"/>
      <c r="S14" s="171"/>
      <c r="T14" s="171"/>
    </row>
    <row r="15" spans="1:20" x14ac:dyDescent="0.2">
      <c r="A15" s="214"/>
      <c r="B15" s="167">
        <v>5</v>
      </c>
      <c r="C15" s="167" t="s">
        <v>181</v>
      </c>
      <c r="D15" s="173">
        <v>0.85723716666666672</v>
      </c>
      <c r="E15" s="173">
        <v>0.8735676</v>
      </c>
      <c r="F15" s="171"/>
      <c r="G15" s="171"/>
      <c r="H15" s="171"/>
      <c r="I15" s="171" t="s">
        <v>181</v>
      </c>
      <c r="J15" s="173">
        <v>0.85517493333333328</v>
      </c>
      <c r="K15" s="173">
        <v>0.86816933333333335</v>
      </c>
      <c r="L15" s="171"/>
      <c r="M15" s="171"/>
      <c r="N15" s="171"/>
      <c r="O15" s="171" t="s">
        <v>180</v>
      </c>
      <c r="P15" s="173">
        <v>0.85723716666666672</v>
      </c>
      <c r="Q15" s="173">
        <v>0.87348993333333336</v>
      </c>
      <c r="R15" s="171"/>
      <c r="S15" s="171"/>
      <c r="T15" s="171"/>
    </row>
    <row r="16" spans="1:20" ht="17" thickBot="1" x14ac:dyDescent="0.25">
      <c r="A16" s="138"/>
      <c r="B16" s="115"/>
      <c r="C16" s="115"/>
      <c r="D16" s="175"/>
      <c r="E16" s="175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</row>
    <row r="17" spans="1:20" x14ac:dyDescent="0.2">
      <c r="A17" s="214" t="s">
        <v>75</v>
      </c>
      <c r="B17" s="167">
        <v>1</v>
      </c>
      <c r="C17" s="172" t="s">
        <v>180</v>
      </c>
      <c r="D17" s="173">
        <v>0.82380563333333334</v>
      </c>
      <c r="E17" s="173">
        <v>0.69599060000000001</v>
      </c>
      <c r="F17" s="171"/>
      <c r="G17" s="171"/>
      <c r="H17" s="171" t="s">
        <v>86</v>
      </c>
      <c r="I17" s="171" t="s">
        <v>180</v>
      </c>
      <c r="J17" s="173">
        <v>0.82042746666666666</v>
      </c>
      <c r="K17" s="173">
        <v>0.69728000000000001</v>
      </c>
      <c r="L17" s="171"/>
      <c r="M17" s="171"/>
      <c r="N17" s="171" t="s">
        <v>86</v>
      </c>
      <c r="O17" s="171" t="s">
        <v>180</v>
      </c>
      <c r="P17" s="173">
        <v>0.82336686666666681</v>
      </c>
      <c r="Q17" s="173">
        <v>0.70616486666666667</v>
      </c>
      <c r="R17" s="171"/>
      <c r="S17" s="171"/>
      <c r="T17" s="171" t="s">
        <v>86</v>
      </c>
    </row>
    <row r="18" spans="1:20" x14ac:dyDescent="0.2">
      <c r="A18" s="214"/>
      <c r="B18" s="167">
        <v>2</v>
      </c>
      <c r="C18" s="172" t="s">
        <v>180</v>
      </c>
      <c r="D18" s="173">
        <v>0.82380563333333334</v>
      </c>
      <c r="E18" s="173">
        <v>0.69871623333333333</v>
      </c>
      <c r="F18" s="171"/>
      <c r="G18" s="171"/>
      <c r="H18" s="171" t="s">
        <v>86</v>
      </c>
      <c r="I18" s="171" t="s">
        <v>180</v>
      </c>
      <c r="J18" s="173">
        <v>0.82042746666666666</v>
      </c>
      <c r="K18" s="173">
        <v>0.69703466666666669</v>
      </c>
      <c r="L18" s="171"/>
      <c r="M18" s="171"/>
      <c r="N18" s="171" t="s">
        <v>86</v>
      </c>
      <c r="O18" s="171" t="s">
        <v>180</v>
      </c>
      <c r="P18" s="173">
        <v>0.82336686666666681</v>
      </c>
      <c r="Q18" s="173">
        <v>0.70932386666666669</v>
      </c>
      <c r="R18" s="171"/>
      <c r="S18" s="171"/>
      <c r="T18" s="171" t="s">
        <v>86</v>
      </c>
    </row>
    <row r="19" spans="1:20" x14ac:dyDescent="0.2">
      <c r="A19" s="214"/>
      <c r="B19" s="167">
        <v>3</v>
      </c>
      <c r="C19" s="172" t="s">
        <v>180</v>
      </c>
      <c r="D19" s="173">
        <v>0.82380563333333334</v>
      </c>
      <c r="E19" s="173">
        <v>0.82833236666666676</v>
      </c>
      <c r="F19" s="171"/>
      <c r="G19" s="171" t="s">
        <v>86</v>
      </c>
      <c r="H19" s="171"/>
      <c r="I19" s="171" t="s">
        <v>180</v>
      </c>
      <c r="J19" s="173">
        <v>0.82042746666666666</v>
      </c>
      <c r="K19" s="173">
        <v>0.80143520000000013</v>
      </c>
      <c r="L19" s="171"/>
      <c r="M19" s="171"/>
      <c r="N19" s="171" t="s">
        <v>86</v>
      </c>
      <c r="O19" s="171" t="s">
        <v>180</v>
      </c>
      <c r="P19" s="173">
        <v>0.82336686666666681</v>
      </c>
      <c r="Q19" s="173">
        <v>0.76702283333333343</v>
      </c>
      <c r="R19" s="171"/>
      <c r="S19" s="171"/>
      <c r="T19" s="171" t="s">
        <v>86</v>
      </c>
    </row>
    <row r="20" spans="1:20" x14ac:dyDescent="0.2">
      <c r="A20" s="214"/>
      <c r="B20" s="167">
        <v>4</v>
      </c>
      <c r="C20" s="167" t="s">
        <v>181</v>
      </c>
      <c r="D20" s="168">
        <v>0.82380563333333334</v>
      </c>
      <c r="E20" s="168">
        <v>0.95788906666666662</v>
      </c>
      <c r="F20" s="166" t="s">
        <v>86</v>
      </c>
      <c r="G20" s="171"/>
      <c r="H20" s="171"/>
      <c r="I20" s="166" t="s">
        <v>181</v>
      </c>
      <c r="J20" s="168">
        <v>0.82042746666666666</v>
      </c>
      <c r="K20" s="168">
        <v>0.94598806666666668</v>
      </c>
      <c r="L20" s="166" t="s">
        <v>86</v>
      </c>
      <c r="M20" s="171"/>
      <c r="N20" s="171"/>
      <c r="O20" s="166" t="s">
        <v>181</v>
      </c>
      <c r="P20" s="168">
        <v>0.82336686666666681</v>
      </c>
      <c r="Q20" s="168">
        <v>0.93640629999999991</v>
      </c>
      <c r="R20" s="166" t="s">
        <v>86</v>
      </c>
      <c r="S20" s="171"/>
      <c r="T20" s="171"/>
    </row>
    <row r="21" spans="1:20" x14ac:dyDescent="0.2">
      <c r="A21" s="214"/>
      <c r="B21" s="167">
        <v>5</v>
      </c>
      <c r="C21" s="167" t="s">
        <v>181</v>
      </c>
      <c r="D21" s="168">
        <v>0.82380563333333334</v>
      </c>
      <c r="E21" s="168">
        <v>0.9996689333333334</v>
      </c>
      <c r="F21" s="166" t="s">
        <v>86</v>
      </c>
      <c r="G21" s="171"/>
      <c r="H21" s="171"/>
      <c r="I21" s="166" t="s">
        <v>181</v>
      </c>
      <c r="J21" s="168">
        <v>0.82042746666666666</v>
      </c>
      <c r="K21" s="168">
        <v>0.9979866666666668</v>
      </c>
      <c r="L21" s="166" t="s">
        <v>86</v>
      </c>
      <c r="M21" s="171"/>
      <c r="N21" s="171"/>
      <c r="O21" s="166" t="s">
        <v>181</v>
      </c>
      <c r="P21" s="168">
        <v>0.82336686666666681</v>
      </c>
      <c r="Q21" s="168">
        <v>0.99212506666666667</v>
      </c>
      <c r="R21" s="166" t="s">
        <v>86</v>
      </c>
      <c r="S21" s="171"/>
      <c r="T21" s="171"/>
    </row>
    <row r="22" spans="1:20" x14ac:dyDescent="0.2">
      <c r="A22" s="130"/>
      <c r="B22" s="167"/>
      <c r="C22" s="167"/>
      <c r="D22" s="173"/>
      <c r="E22" s="173"/>
      <c r="F22" s="171"/>
      <c r="G22" s="171"/>
      <c r="H22" s="171"/>
      <c r="I22" s="171"/>
      <c r="J22" s="173"/>
      <c r="K22" s="173"/>
      <c r="L22" s="171"/>
      <c r="M22" s="171"/>
      <c r="N22" s="171"/>
      <c r="O22" s="171"/>
      <c r="P22" s="173"/>
      <c r="Q22" s="173"/>
      <c r="R22" s="171"/>
      <c r="S22" s="171"/>
      <c r="T22" s="171"/>
    </row>
    <row r="23" spans="1:20" x14ac:dyDescent="0.2">
      <c r="A23" s="214" t="s">
        <v>76</v>
      </c>
      <c r="B23" s="167">
        <v>1</v>
      </c>
      <c r="C23" s="172" t="s">
        <v>180</v>
      </c>
      <c r="D23" s="173">
        <v>0.82380563333333334</v>
      </c>
      <c r="E23" s="173">
        <v>0.81255336666666667</v>
      </c>
      <c r="F23" s="171"/>
      <c r="G23" s="171"/>
      <c r="H23" s="171"/>
      <c r="I23" s="171" t="s">
        <v>180</v>
      </c>
      <c r="J23" s="173">
        <v>0.82042746666666666</v>
      </c>
      <c r="K23" s="173">
        <v>0.81474559999999985</v>
      </c>
      <c r="L23" s="171"/>
      <c r="M23" s="171" t="s">
        <v>86</v>
      </c>
      <c r="N23" s="171"/>
      <c r="O23" s="171" t="s">
        <v>180</v>
      </c>
      <c r="P23" s="173">
        <v>0.82336686666666681</v>
      </c>
      <c r="Q23" s="173">
        <v>0.81585846666666662</v>
      </c>
      <c r="R23" s="171"/>
      <c r="S23" s="171" t="s">
        <v>86</v>
      </c>
      <c r="T23" s="171"/>
    </row>
    <row r="24" spans="1:20" x14ac:dyDescent="0.2">
      <c r="A24" s="214"/>
      <c r="B24" s="167">
        <v>2</v>
      </c>
      <c r="C24" s="172" t="s">
        <v>180</v>
      </c>
      <c r="D24" s="173">
        <v>0.82380563333333334</v>
      </c>
      <c r="E24" s="173">
        <v>0.80380323333333337</v>
      </c>
      <c r="F24" s="171"/>
      <c r="G24" s="171"/>
      <c r="H24" s="171" t="s">
        <v>86</v>
      </c>
      <c r="I24" s="171" t="s">
        <v>180</v>
      </c>
      <c r="J24" s="173">
        <v>0.82042746666666666</v>
      </c>
      <c r="K24" s="173">
        <v>0.8076441333333334</v>
      </c>
      <c r="L24" s="171"/>
      <c r="M24" s="171"/>
      <c r="N24" s="171"/>
      <c r="O24" s="171" t="s">
        <v>180</v>
      </c>
      <c r="P24" s="173">
        <v>0.82336686666666681</v>
      </c>
      <c r="Q24" s="173">
        <v>0.80575923333333332</v>
      </c>
      <c r="R24" s="171"/>
      <c r="S24" s="171"/>
      <c r="T24" s="171"/>
    </row>
    <row r="25" spans="1:20" x14ac:dyDescent="0.2">
      <c r="A25" s="214"/>
      <c r="B25" s="167">
        <v>3</v>
      </c>
      <c r="C25" s="172" t="s">
        <v>180</v>
      </c>
      <c r="D25" s="173">
        <v>0.82380563333333334</v>
      </c>
      <c r="E25" s="173">
        <v>0.79383653333333337</v>
      </c>
      <c r="F25" s="171"/>
      <c r="G25" s="171"/>
      <c r="H25" s="171" t="s">
        <v>86</v>
      </c>
      <c r="I25" s="171" t="s">
        <v>180</v>
      </c>
      <c r="J25" s="173">
        <v>0.82042746666666666</v>
      </c>
      <c r="K25" s="173">
        <v>0.80256146666666661</v>
      </c>
      <c r="L25" s="171"/>
      <c r="M25" s="171"/>
      <c r="N25" s="171"/>
      <c r="O25" s="171" t="s">
        <v>180</v>
      </c>
      <c r="P25" s="173">
        <v>0.82336686666666681</v>
      </c>
      <c r="Q25" s="173">
        <v>0.80529173333333326</v>
      </c>
      <c r="R25" s="171"/>
      <c r="S25" s="171"/>
      <c r="T25" s="171"/>
    </row>
    <row r="26" spans="1:20" x14ac:dyDescent="0.2">
      <c r="A26" s="214"/>
      <c r="B26" s="167">
        <v>4</v>
      </c>
      <c r="C26" s="172" t="s">
        <v>181</v>
      </c>
      <c r="D26" s="173">
        <v>0.82380563333333334</v>
      </c>
      <c r="E26" s="173">
        <v>0.83880563333333324</v>
      </c>
      <c r="F26" s="171"/>
      <c r="G26" s="171"/>
      <c r="H26" s="171"/>
      <c r="I26" s="171" t="s">
        <v>181</v>
      </c>
      <c r="J26" s="173">
        <v>0.82042746666666666</v>
      </c>
      <c r="K26" s="173">
        <v>0.83881213333333327</v>
      </c>
      <c r="L26" s="171"/>
      <c r="M26" s="171"/>
      <c r="N26" s="171"/>
      <c r="O26" s="171" t="s">
        <v>181</v>
      </c>
      <c r="P26" s="173">
        <v>0.82336686666666681</v>
      </c>
      <c r="Q26" s="173">
        <v>0.83314980000000005</v>
      </c>
      <c r="R26" s="171"/>
      <c r="S26" s="171"/>
      <c r="T26" s="171"/>
    </row>
    <row r="27" spans="1:20" ht="17" thickBot="1" x14ac:dyDescent="0.25">
      <c r="A27" s="213"/>
      <c r="B27" s="115">
        <v>5</v>
      </c>
      <c r="C27" s="114" t="s">
        <v>180</v>
      </c>
      <c r="D27" s="175">
        <v>0.82380563333333334</v>
      </c>
      <c r="E27" s="175">
        <v>0.79886043333333345</v>
      </c>
      <c r="F27" s="149"/>
      <c r="G27" s="149"/>
      <c r="H27" s="149" t="s">
        <v>86</v>
      </c>
      <c r="I27" s="149" t="s">
        <v>180</v>
      </c>
      <c r="J27" s="175">
        <v>0.82042746666666666</v>
      </c>
      <c r="K27" s="175">
        <v>0.80513993333333334</v>
      </c>
      <c r="L27" s="149"/>
      <c r="M27" s="149"/>
      <c r="N27" s="149"/>
      <c r="O27" s="149" t="s">
        <v>180</v>
      </c>
      <c r="P27" s="175">
        <v>0.82336686666666681</v>
      </c>
      <c r="Q27" s="175">
        <v>0.80348260000000005</v>
      </c>
      <c r="R27" s="149"/>
      <c r="S27" s="149"/>
      <c r="T27" s="149"/>
    </row>
    <row r="28" spans="1:20" x14ac:dyDescent="0.2">
      <c r="A28" s="130"/>
      <c r="B28" s="167"/>
      <c r="C28" s="167"/>
      <c r="D28" s="173"/>
      <c r="E28" s="173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</row>
    <row r="29" spans="1:20" x14ac:dyDescent="0.2">
      <c r="A29" s="214" t="s">
        <v>77</v>
      </c>
      <c r="B29" s="167">
        <v>1</v>
      </c>
      <c r="C29" s="167" t="s">
        <v>181</v>
      </c>
      <c r="D29" s="168">
        <v>0.81998990000000005</v>
      </c>
      <c r="E29" s="168">
        <v>0.99229183333333337</v>
      </c>
      <c r="F29" s="166" t="s">
        <v>86</v>
      </c>
      <c r="G29" s="171"/>
      <c r="H29" s="171"/>
      <c r="I29" s="166" t="s">
        <v>181</v>
      </c>
      <c r="J29" s="168">
        <v>0.8295537999999999</v>
      </c>
      <c r="K29" s="168">
        <v>0.97335786666666679</v>
      </c>
      <c r="L29" s="166" t="s">
        <v>86</v>
      </c>
      <c r="M29" s="171"/>
      <c r="N29" s="171"/>
      <c r="O29" s="166" t="s">
        <v>181</v>
      </c>
      <c r="P29" s="168">
        <v>0.81981256666666669</v>
      </c>
      <c r="Q29" s="168">
        <v>0.90091510000000008</v>
      </c>
      <c r="R29" s="166" t="s">
        <v>86</v>
      </c>
      <c r="S29" s="171"/>
      <c r="T29" s="171"/>
    </row>
    <row r="30" spans="1:20" x14ac:dyDescent="0.2">
      <c r="A30" s="214"/>
      <c r="B30" s="167">
        <v>2</v>
      </c>
      <c r="C30" s="172" t="s">
        <v>180</v>
      </c>
      <c r="D30" s="173">
        <v>0.81998990000000005</v>
      </c>
      <c r="E30" s="173">
        <v>0.67292363333333327</v>
      </c>
      <c r="F30" s="171"/>
      <c r="G30" s="171"/>
      <c r="H30" s="171" t="s">
        <v>86</v>
      </c>
      <c r="I30" s="171" t="s">
        <v>180</v>
      </c>
      <c r="J30" s="173">
        <v>0.8295537999999999</v>
      </c>
      <c r="K30" s="173">
        <v>0.6904819333333333</v>
      </c>
      <c r="L30" s="171"/>
      <c r="M30" s="171"/>
      <c r="N30" s="171" t="s">
        <v>86</v>
      </c>
      <c r="O30" s="171" t="s">
        <v>180</v>
      </c>
      <c r="P30" s="173">
        <v>0.81981256666666669</v>
      </c>
      <c r="Q30" s="173">
        <v>0.67796423333333333</v>
      </c>
      <c r="R30" s="171"/>
      <c r="S30" s="171"/>
      <c r="T30" s="171" t="s">
        <v>86</v>
      </c>
    </row>
    <row r="31" spans="1:20" x14ac:dyDescent="0.2">
      <c r="A31" s="214"/>
      <c r="B31" s="167">
        <v>3</v>
      </c>
      <c r="C31" s="167" t="s">
        <v>181</v>
      </c>
      <c r="D31" s="168">
        <v>0.81998990000000005</v>
      </c>
      <c r="E31" s="168">
        <v>0.86275203333333328</v>
      </c>
      <c r="F31" s="166" t="s">
        <v>86</v>
      </c>
      <c r="G31" s="171"/>
      <c r="H31" s="171"/>
      <c r="I31" s="171" t="s">
        <v>180</v>
      </c>
      <c r="J31" s="173">
        <v>0.8295537999999999</v>
      </c>
      <c r="K31" s="173">
        <v>0.82212793333333334</v>
      </c>
      <c r="L31" s="171"/>
      <c r="M31" s="171"/>
      <c r="N31" s="171"/>
      <c r="O31" s="171" t="s">
        <v>180</v>
      </c>
      <c r="P31" s="173">
        <v>0.81981256666666669</v>
      </c>
      <c r="Q31" s="173">
        <v>0.78163099999999996</v>
      </c>
      <c r="R31" s="171"/>
      <c r="S31" s="171"/>
      <c r="T31" s="171" t="s">
        <v>86</v>
      </c>
    </row>
    <row r="32" spans="1:20" x14ac:dyDescent="0.2">
      <c r="A32" s="214"/>
      <c r="B32" s="167">
        <v>4</v>
      </c>
      <c r="C32" s="167" t="s">
        <v>181</v>
      </c>
      <c r="D32" s="168">
        <v>0.81998990000000005</v>
      </c>
      <c r="E32" s="168">
        <v>0.96349030000000002</v>
      </c>
      <c r="F32" s="166" t="s">
        <v>86</v>
      </c>
      <c r="G32" s="171"/>
      <c r="H32" s="171"/>
      <c r="I32" s="166" t="s">
        <v>181</v>
      </c>
      <c r="J32" s="168">
        <v>0.8295537999999999</v>
      </c>
      <c r="K32" s="168">
        <v>0.95317380000000007</v>
      </c>
      <c r="L32" s="166" t="s">
        <v>86</v>
      </c>
      <c r="M32" s="171"/>
      <c r="N32" s="171"/>
      <c r="O32" s="166" t="s">
        <v>181</v>
      </c>
      <c r="P32" s="168">
        <v>0.81981256666666669</v>
      </c>
      <c r="Q32" s="168">
        <v>0.94558480000000011</v>
      </c>
      <c r="R32" s="166" t="s">
        <v>86</v>
      </c>
      <c r="S32" s="171"/>
      <c r="T32" s="171"/>
    </row>
    <row r="33" spans="1:20" x14ac:dyDescent="0.2">
      <c r="A33" s="214"/>
      <c r="B33" s="167">
        <v>5</v>
      </c>
      <c r="C33" s="167" t="s">
        <v>181</v>
      </c>
      <c r="D33" s="168">
        <v>0.81998990000000005</v>
      </c>
      <c r="E33" s="168">
        <v>0.9996689333333334</v>
      </c>
      <c r="F33" s="166" t="s">
        <v>86</v>
      </c>
      <c r="G33" s="171"/>
      <c r="H33" s="171"/>
      <c r="I33" s="166" t="s">
        <v>181</v>
      </c>
      <c r="J33" s="168">
        <v>0.8295537999999999</v>
      </c>
      <c r="K33" s="168">
        <v>0.9979866666666668</v>
      </c>
      <c r="L33" s="166" t="s">
        <v>86</v>
      </c>
      <c r="M33" s="171"/>
      <c r="N33" s="171"/>
      <c r="O33" s="166" t="s">
        <v>181</v>
      </c>
      <c r="P33" s="168">
        <v>0.81981256666666669</v>
      </c>
      <c r="Q33" s="168">
        <v>0.9930336666666667</v>
      </c>
      <c r="R33" s="166" t="s">
        <v>86</v>
      </c>
      <c r="S33" s="171"/>
      <c r="T33" s="171"/>
    </row>
    <row r="34" spans="1:20" x14ac:dyDescent="0.2">
      <c r="A34" s="130"/>
      <c r="B34" s="167"/>
      <c r="C34" s="167"/>
      <c r="D34" s="173"/>
      <c r="E34" s="173"/>
      <c r="F34" s="171"/>
      <c r="G34" s="171"/>
      <c r="H34" s="171"/>
      <c r="I34" s="171"/>
      <c r="J34" s="173"/>
      <c r="K34" s="173"/>
      <c r="L34" s="171"/>
      <c r="M34" s="171"/>
      <c r="N34" s="171"/>
      <c r="O34" s="171"/>
      <c r="P34" s="173"/>
      <c r="Q34" s="173"/>
      <c r="R34" s="171"/>
      <c r="S34" s="171"/>
      <c r="T34" s="171"/>
    </row>
    <row r="35" spans="1:20" x14ac:dyDescent="0.2">
      <c r="A35" s="214" t="s">
        <v>78</v>
      </c>
      <c r="B35" s="167">
        <v>1</v>
      </c>
      <c r="C35" s="172" t="s">
        <v>181</v>
      </c>
      <c r="D35" s="173">
        <v>0.81998990000000005</v>
      </c>
      <c r="E35" s="173">
        <v>0.85672036666666662</v>
      </c>
      <c r="F35" s="171"/>
      <c r="G35" s="171"/>
      <c r="H35" s="171"/>
      <c r="I35" s="171" t="s">
        <v>180</v>
      </c>
      <c r="J35" s="173">
        <v>0.8295537999999999</v>
      </c>
      <c r="K35" s="173">
        <v>0.55573240000000002</v>
      </c>
      <c r="L35" s="171"/>
      <c r="M35" s="171"/>
      <c r="N35" s="171"/>
      <c r="O35" s="171" t="s">
        <v>192</v>
      </c>
      <c r="P35" s="173">
        <v>0.81981256666666669</v>
      </c>
      <c r="Q35" s="173">
        <v>0.82503256666666669</v>
      </c>
      <c r="R35" s="171"/>
      <c r="S35" s="171"/>
      <c r="T35" s="171"/>
    </row>
    <row r="36" spans="1:20" x14ac:dyDescent="0.2">
      <c r="A36" s="214"/>
      <c r="B36" s="167">
        <v>2</v>
      </c>
      <c r="C36" s="172" t="s">
        <v>180</v>
      </c>
      <c r="D36" s="173">
        <v>0.81998990000000005</v>
      </c>
      <c r="E36" s="173">
        <v>0.80736253333333341</v>
      </c>
      <c r="F36" s="171"/>
      <c r="G36" s="171"/>
      <c r="H36" s="171"/>
      <c r="I36" s="171" t="s">
        <v>180</v>
      </c>
      <c r="J36" s="173">
        <v>0.8295537999999999</v>
      </c>
      <c r="K36" s="173">
        <v>0.80849146666666671</v>
      </c>
      <c r="L36" s="171"/>
      <c r="M36" s="171"/>
      <c r="N36" s="171"/>
      <c r="O36" s="171" t="s">
        <v>182</v>
      </c>
      <c r="P36" s="173">
        <v>0.81981256666666669</v>
      </c>
      <c r="Q36" s="173">
        <v>0.82496606666666672</v>
      </c>
      <c r="R36" s="171"/>
      <c r="S36" s="171"/>
      <c r="T36" s="171"/>
    </row>
    <row r="37" spans="1:20" x14ac:dyDescent="0.2">
      <c r="A37" s="214"/>
      <c r="B37" s="167">
        <v>3</v>
      </c>
      <c r="C37" s="172" t="s">
        <v>180</v>
      </c>
      <c r="D37" s="173">
        <v>0.81998990000000005</v>
      </c>
      <c r="E37" s="173">
        <v>0.80639839999999996</v>
      </c>
      <c r="F37" s="171"/>
      <c r="G37" s="171"/>
      <c r="H37" s="171"/>
      <c r="I37" s="171" t="s">
        <v>180</v>
      </c>
      <c r="J37" s="173">
        <v>0.8295537999999999</v>
      </c>
      <c r="K37" s="173">
        <v>0.80934686666666666</v>
      </c>
      <c r="L37" s="171"/>
      <c r="M37" s="171"/>
      <c r="N37" s="171"/>
      <c r="O37" s="171" t="s">
        <v>180</v>
      </c>
      <c r="P37" s="173">
        <v>0.81981256666666669</v>
      </c>
      <c r="Q37" s="173">
        <v>0.81260363333333341</v>
      </c>
      <c r="R37" s="171"/>
      <c r="S37" s="171"/>
      <c r="T37" s="171"/>
    </row>
    <row r="38" spans="1:20" x14ac:dyDescent="0.2">
      <c r="A38" s="214"/>
      <c r="B38" s="167">
        <v>4</v>
      </c>
      <c r="C38" s="167" t="s">
        <v>181</v>
      </c>
      <c r="D38" s="168">
        <v>0.81998990000000005</v>
      </c>
      <c r="E38" s="168">
        <v>0.84693033333333334</v>
      </c>
      <c r="F38" s="166" t="s">
        <v>86</v>
      </c>
      <c r="G38" s="171"/>
      <c r="H38" s="171"/>
      <c r="I38" s="171" t="s">
        <v>180</v>
      </c>
      <c r="J38" s="173">
        <v>0.8295537999999999</v>
      </c>
      <c r="K38" s="173">
        <v>0.83542536666666667</v>
      </c>
      <c r="L38" s="171"/>
      <c r="M38" s="171" t="s">
        <v>86</v>
      </c>
      <c r="N38" s="171"/>
      <c r="O38" s="171" t="s">
        <v>181</v>
      </c>
      <c r="P38" s="173">
        <v>0.81981256666666669</v>
      </c>
      <c r="Q38" s="173">
        <v>0.84256153333333328</v>
      </c>
      <c r="R38" s="171"/>
      <c r="S38" s="171"/>
      <c r="T38" s="171"/>
    </row>
    <row r="39" spans="1:20" x14ac:dyDescent="0.2">
      <c r="A39" s="214"/>
      <c r="B39" s="167">
        <v>5</v>
      </c>
      <c r="C39" s="167" t="s">
        <v>181</v>
      </c>
      <c r="D39" s="168">
        <v>0.81998990000000005</v>
      </c>
      <c r="E39" s="168">
        <v>0.87024800000000002</v>
      </c>
      <c r="F39" s="166" t="s">
        <v>86</v>
      </c>
      <c r="G39" s="171"/>
      <c r="H39" s="171"/>
      <c r="I39" s="166" t="s">
        <v>181</v>
      </c>
      <c r="J39" s="168">
        <v>0.8295537999999999</v>
      </c>
      <c r="K39" s="168">
        <v>0.86856776666666669</v>
      </c>
      <c r="L39" s="166" t="s">
        <v>86</v>
      </c>
      <c r="M39" s="171"/>
      <c r="N39" s="171"/>
      <c r="O39" s="166" t="s">
        <v>184</v>
      </c>
      <c r="P39" s="168">
        <v>0.81981256666666669</v>
      </c>
      <c r="Q39" s="168">
        <v>0.86845640000000002</v>
      </c>
      <c r="R39" s="166" t="s">
        <v>86</v>
      </c>
      <c r="S39" s="171"/>
      <c r="T39" s="171"/>
    </row>
    <row r="40" spans="1:20" ht="17" thickBot="1" x14ac:dyDescent="0.25">
      <c r="A40" s="138"/>
      <c r="B40" s="115"/>
      <c r="C40" s="115"/>
      <c r="D40" s="175"/>
      <c r="E40" s="115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</row>
    <row r="41" spans="1:20" x14ac:dyDescent="0.2">
      <c r="A41" s="214" t="s">
        <v>79</v>
      </c>
      <c r="B41" s="167">
        <v>1</v>
      </c>
      <c r="C41" s="167" t="s">
        <v>181</v>
      </c>
      <c r="D41" s="168">
        <v>0.85109460000000003</v>
      </c>
      <c r="E41" s="168">
        <v>0.9671050333333332</v>
      </c>
      <c r="F41" s="166" t="s">
        <v>86</v>
      </c>
      <c r="G41" s="171"/>
      <c r="H41" s="171"/>
      <c r="I41" s="171" t="s">
        <v>182</v>
      </c>
      <c r="J41" s="173">
        <v>0.84863790000000006</v>
      </c>
      <c r="K41" s="173">
        <v>0.89542066666666675</v>
      </c>
      <c r="L41" s="171"/>
      <c r="M41" s="171"/>
      <c r="N41" s="171"/>
      <c r="O41" s="171" t="s">
        <v>180</v>
      </c>
      <c r="P41" s="173">
        <v>0.8510945333333334</v>
      </c>
      <c r="Q41" s="173">
        <v>0.84588606666666666</v>
      </c>
      <c r="R41" s="171"/>
      <c r="S41" s="171"/>
      <c r="T41" s="171"/>
    </row>
    <row r="42" spans="1:20" x14ac:dyDescent="0.2">
      <c r="A42" s="214"/>
      <c r="B42" s="167">
        <v>2</v>
      </c>
      <c r="C42" s="172" t="s">
        <v>180</v>
      </c>
      <c r="D42" s="173">
        <v>0.85109460000000003</v>
      </c>
      <c r="E42" s="173">
        <v>0.67097723333333337</v>
      </c>
      <c r="F42" s="171"/>
      <c r="G42" s="171"/>
      <c r="H42" s="171" t="s">
        <v>86</v>
      </c>
      <c r="I42" s="171" t="s">
        <v>180</v>
      </c>
      <c r="J42" s="173">
        <v>0.84863790000000006</v>
      </c>
      <c r="K42" s="173">
        <v>0.7171067333333333</v>
      </c>
      <c r="L42" s="171"/>
      <c r="M42" s="171"/>
      <c r="N42" s="171" t="s">
        <v>86</v>
      </c>
      <c r="O42" s="171" t="s">
        <v>180</v>
      </c>
      <c r="P42" s="173">
        <v>0.8510945333333334</v>
      </c>
      <c r="Q42" s="173">
        <v>0.74176426666666673</v>
      </c>
      <c r="R42" s="171"/>
      <c r="S42" s="171"/>
      <c r="T42" s="171" t="s">
        <v>86</v>
      </c>
    </row>
    <row r="43" spans="1:20" x14ac:dyDescent="0.2">
      <c r="A43" s="214"/>
      <c r="B43" s="167">
        <v>3</v>
      </c>
      <c r="C43" s="172" t="s">
        <v>180</v>
      </c>
      <c r="D43" s="173">
        <v>0.85109460000000003</v>
      </c>
      <c r="E43" s="173">
        <v>0.86422253333333332</v>
      </c>
      <c r="F43" s="171"/>
      <c r="G43" s="171"/>
      <c r="H43" s="171" t="s">
        <v>86</v>
      </c>
      <c r="I43" s="171" t="s">
        <v>180</v>
      </c>
      <c r="J43" s="173">
        <v>0.84863790000000006</v>
      </c>
      <c r="K43" s="173">
        <v>0.82892723333333329</v>
      </c>
      <c r="L43" s="171"/>
      <c r="M43" s="171"/>
      <c r="N43" s="171" t="s">
        <v>86</v>
      </c>
      <c r="O43" s="171" t="s">
        <v>180</v>
      </c>
      <c r="P43" s="173">
        <v>0.8510945333333334</v>
      </c>
      <c r="Q43" s="173">
        <v>0.78588673333333325</v>
      </c>
      <c r="R43" s="171"/>
      <c r="S43" s="171"/>
      <c r="T43" s="171" t="s">
        <v>86</v>
      </c>
    </row>
    <row r="44" spans="1:20" x14ac:dyDescent="0.2">
      <c r="A44" s="214"/>
      <c r="B44" s="167">
        <v>4</v>
      </c>
      <c r="C44" s="167" t="s">
        <v>181</v>
      </c>
      <c r="D44" s="168">
        <v>0.85109460000000003</v>
      </c>
      <c r="E44" s="168">
        <v>0.94371583333333342</v>
      </c>
      <c r="F44" s="166" t="s">
        <v>86</v>
      </c>
      <c r="G44" s="171"/>
      <c r="H44" s="171"/>
      <c r="I44" s="166" t="s">
        <v>181</v>
      </c>
      <c r="J44" s="168">
        <v>0.84863790000000006</v>
      </c>
      <c r="K44" s="168">
        <v>0.94850273333333346</v>
      </c>
      <c r="L44" s="166" t="s">
        <v>86</v>
      </c>
      <c r="M44" s="171"/>
      <c r="N44" s="171"/>
      <c r="O44" s="166" t="s">
        <v>181</v>
      </c>
      <c r="P44" s="168">
        <v>0.8510945333333334</v>
      </c>
      <c r="Q44" s="168">
        <v>0.9419035</v>
      </c>
      <c r="R44" s="166" t="s">
        <v>86</v>
      </c>
      <c r="S44" s="171"/>
      <c r="T44" s="171"/>
    </row>
    <row r="45" spans="1:20" x14ac:dyDescent="0.2">
      <c r="A45" s="214"/>
      <c r="B45" s="167">
        <v>5</v>
      </c>
      <c r="C45" s="167" t="s">
        <v>181</v>
      </c>
      <c r="D45" s="168">
        <v>0.85109460000000003</v>
      </c>
      <c r="E45" s="168">
        <v>0.98344506666666665</v>
      </c>
      <c r="F45" s="166" t="s">
        <v>86</v>
      </c>
      <c r="G45" s="171"/>
      <c r="H45" s="171"/>
      <c r="I45" s="166" t="s">
        <v>181</v>
      </c>
      <c r="J45" s="168">
        <v>0.84863790000000006</v>
      </c>
      <c r="K45" s="168">
        <v>0.9338363666666667</v>
      </c>
      <c r="L45" s="166" t="s">
        <v>86</v>
      </c>
      <c r="M45" s="171"/>
      <c r="N45" s="171"/>
      <c r="O45" s="166" t="s">
        <v>181</v>
      </c>
      <c r="P45" s="168">
        <v>0.8510945333333334</v>
      </c>
      <c r="Q45" s="168">
        <v>0.97922460000000011</v>
      </c>
      <c r="R45" s="166" t="s">
        <v>86</v>
      </c>
      <c r="S45" s="171"/>
      <c r="T45" s="171"/>
    </row>
    <row r="46" spans="1:20" x14ac:dyDescent="0.2">
      <c r="A46" s="130"/>
      <c r="B46" s="167"/>
      <c r="C46" s="167"/>
      <c r="D46" s="173"/>
      <c r="E46" s="173"/>
      <c r="F46" s="171"/>
      <c r="G46" s="171"/>
      <c r="H46" s="171"/>
      <c r="I46" s="171"/>
      <c r="J46" s="173"/>
      <c r="K46" s="173"/>
      <c r="L46" s="171"/>
      <c r="M46" s="171"/>
      <c r="N46" s="171"/>
      <c r="O46" s="171"/>
      <c r="P46" s="173"/>
      <c r="Q46" s="173"/>
      <c r="R46" s="171"/>
      <c r="S46" s="171"/>
      <c r="T46" s="171"/>
    </row>
    <row r="47" spans="1:20" x14ac:dyDescent="0.2">
      <c r="A47" s="214" t="s">
        <v>80</v>
      </c>
      <c r="B47" s="167">
        <v>1</v>
      </c>
      <c r="C47" s="172" t="s">
        <v>180</v>
      </c>
      <c r="D47" s="173">
        <v>0.85109460000000003</v>
      </c>
      <c r="E47" s="173">
        <v>0.82015596666666679</v>
      </c>
      <c r="F47" s="171"/>
      <c r="G47" s="171"/>
      <c r="H47" s="171"/>
      <c r="I47" s="171" t="s">
        <v>180</v>
      </c>
      <c r="J47" s="173">
        <v>0.84863790000000006</v>
      </c>
      <c r="K47" s="173">
        <v>0.7825612999999999</v>
      </c>
      <c r="L47" s="171"/>
      <c r="M47" s="171"/>
      <c r="N47" s="171"/>
      <c r="O47" s="171" t="s">
        <v>180</v>
      </c>
      <c r="P47" s="173">
        <v>0.8510945333333334</v>
      </c>
      <c r="Q47" s="173">
        <v>0.85812576666666673</v>
      </c>
      <c r="R47" s="171"/>
      <c r="S47" s="171" t="s">
        <v>86</v>
      </c>
      <c r="T47" s="171"/>
    </row>
    <row r="48" spans="1:20" x14ac:dyDescent="0.2">
      <c r="A48" s="214"/>
      <c r="B48" s="167">
        <v>2</v>
      </c>
      <c r="C48" s="172" t="s">
        <v>183</v>
      </c>
      <c r="D48" s="173">
        <v>0.85109460000000003</v>
      </c>
      <c r="E48" s="173">
        <v>0.84272203333333329</v>
      </c>
      <c r="F48" s="171"/>
      <c r="G48" s="171"/>
      <c r="H48" s="171"/>
      <c r="I48" s="171" t="s">
        <v>180</v>
      </c>
      <c r="J48" s="173">
        <v>0.84863790000000006</v>
      </c>
      <c r="K48" s="173">
        <v>0.84095586666666666</v>
      </c>
      <c r="L48" s="171"/>
      <c r="M48" s="171"/>
      <c r="N48" s="171"/>
      <c r="O48" s="171" t="s">
        <v>180</v>
      </c>
      <c r="P48" s="173">
        <v>0.8510945333333334</v>
      </c>
      <c r="Q48" s="173">
        <v>0.83786796666666674</v>
      </c>
      <c r="R48" s="171"/>
      <c r="S48" s="171"/>
      <c r="T48" s="171"/>
    </row>
    <row r="49" spans="1:20" x14ac:dyDescent="0.2">
      <c r="A49" s="214"/>
      <c r="B49" s="167">
        <v>3</v>
      </c>
      <c r="C49" s="172" t="s">
        <v>180</v>
      </c>
      <c r="D49" s="173">
        <v>0.85109460000000003</v>
      </c>
      <c r="E49" s="173">
        <v>0.83083753333333332</v>
      </c>
      <c r="F49" s="171"/>
      <c r="G49" s="171"/>
      <c r="H49" s="171"/>
      <c r="I49" s="171" t="s">
        <v>180</v>
      </c>
      <c r="J49" s="173">
        <v>0.84863790000000006</v>
      </c>
      <c r="K49" s="173">
        <v>0.83298953333333337</v>
      </c>
      <c r="L49" s="171"/>
      <c r="M49" s="171"/>
      <c r="N49" s="171"/>
      <c r="O49" s="171" t="s">
        <v>180</v>
      </c>
      <c r="P49" s="173">
        <v>0.8510945333333334</v>
      </c>
      <c r="Q49" s="173">
        <v>0.83401176666666677</v>
      </c>
      <c r="R49" s="171"/>
      <c r="S49" s="171"/>
      <c r="T49" s="171"/>
    </row>
    <row r="50" spans="1:20" x14ac:dyDescent="0.2">
      <c r="A50" s="214"/>
      <c r="B50" s="167">
        <v>4</v>
      </c>
      <c r="C50" s="172" t="s">
        <v>181</v>
      </c>
      <c r="D50" s="173">
        <v>0.85109460000000003</v>
      </c>
      <c r="E50" s="173">
        <v>0.86122803333333342</v>
      </c>
      <c r="F50" s="171"/>
      <c r="G50" s="171"/>
      <c r="H50" s="171"/>
      <c r="I50" s="171" t="s">
        <v>180</v>
      </c>
      <c r="J50" s="173">
        <v>0.84863790000000006</v>
      </c>
      <c r="K50" s="173">
        <v>0.84379360000000003</v>
      </c>
      <c r="L50" s="171"/>
      <c r="M50" s="171"/>
      <c r="N50" s="171"/>
      <c r="O50" s="171" t="s">
        <v>180</v>
      </c>
      <c r="P50" s="173">
        <v>0.8510945333333334</v>
      </c>
      <c r="Q50" s="173">
        <v>0.84594926666666659</v>
      </c>
      <c r="R50" s="171"/>
      <c r="S50" s="171"/>
      <c r="T50" s="171"/>
    </row>
    <row r="51" spans="1:20" x14ac:dyDescent="0.2">
      <c r="A51" s="214"/>
      <c r="B51" s="167">
        <v>5</v>
      </c>
      <c r="C51" s="172" t="s">
        <v>180</v>
      </c>
      <c r="D51" s="173">
        <v>0.85109460000000003</v>
      </c>
      <c r="E51" s="173">
        <v>0.86360743333333334</v>
      </c>
      <c r="F51" s="171"/>
      <c r="G51" s="171"/>
      <c r="H51" s="171"/>
      <c r="I51" s="171" t="s">
        <v>181</v>
      </c>
      <c r="J51" s="173">
        <v>0.84863790000000006</v>
      </c>
      <c r="K51" s="173">
        <v>0.86750896666666666</v>
      </c>
      <c r="L51" s="171"/>
      <c r="M51" s="171"/>
      <c r="N51" s="171"/>
      <c r="O51" s="171" t="s">
        <v>180</v>
      </c>
      <c r="P51" s="173">
        <v>0.8510945333333334</v>
      </c>
      <c r="Q51" s="173">
        <v>0.87091723333333337</v>
      </c>
      <c r="R51" s="171"/>
      <c r="S51" s="171"/>
      <c r="T51" s="171"/>
    </row>
    <row r="52" spans="1:20" ht="17" thickBot="1" x14ac:dyDescent="0.25">
      <c r="A52" s="138"/>
      <c r="B52" s="115"/>
      <c r="C52" s="115"/>
      <c r="D52" s="175"/>
      <c r="E52" s="115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</row>
    <row r="53" spans="1:20" x14ac:dyDescent="0.2">
      <c r="A53" s="214" t="s">
        <v>81</v>
      </c>
      <c r="B53" s="167">
        <v>1</v>
      </c>
      <c r="C53" s="167" t="s">
        <v>181</v>
      </c>
      <c r="D53" s="168">
        <v>0.76659536666666661</v>
      </c>
      <c r="E53" s="168">
        <v>0.99229183333333326</v>
      </c>
      <c r="F53" s="166" t="s">
        <v>86</v>
      </c>
      <c r="G53" s="171"/>
      <c r="H53" s="171"/>
      <c r="I53" s="166" t="s">
        <v>181</v>
      </c>
      <c r="J53" s="168">
        <v>0.76203216666666673</v>
      </c>
      <c r="K53" s="168">
        <v>0.97335776666666662</v>
      </c>
      <c r="L53" s="166" t="s">
        <v>86</v>
      </c>
      <c r="M53" s="171"/>
      <c r="N53" s="171"/>
      <c r="O53" s="166" t="s">
        <v>181</v>
      </c>
      <c r="P53" s="168">
        <v>0.76488429999999996</v>
      </c>
      <c r="Q53" s="168">
        <v>0.89481706666666672</v>
      </c>
      <c r="R53" s="166" t="s">
        <v>86</v>
      </c>
      <c r="S53" s="171"/>
      <c r="T53" s="171"/>
    </row>
    <row r="54" spans="1:20" x14ac:dyDescent="0.2">
      <c r="A54" s="214"/>
      <c r="B54" s="167">
        <v>2</v>
      </c>
      <c r="C54" s="172" t="s">
        <v>180</v>
      </c>
      <c r="D54" s="173">
        <v>0.76659536666666661</v>
      </c>
      <c r="E54" s="173">
        <v>0.61084076666666665</v>
      </c>
      <c r="F54" s="171"/>
      <c r="G54" s="171"/>
      <c r="H54" s="171" t="s">
        <v>86</v>
      </c>
      <c r="I54" s="171" t="s">
        <v>180</v>
      </c>
      <c r="J54" s="173">
        <v>0.76203216666666673</v>
      </c>
      <c r="K54" s="173">
        <v>0.55612220000000001</v>
      </c>
      <c r="L54" s="171"/>
      <c r="M54" s="171"/>
      <c r="N54" s="171" t="s">
        <v>86</v>
      </c>
      <c r="O54" s="171" t="s">
        <v>180</v>
      </c>
      <c r="P54" s="173">
        <v>0.76488429999999996</v>
      </c>
      <c r="Q54" s="173">
        <v>0.5162561333333332</v>
      </c>
      <c r="R54" s="171"/>
      <c r="S54" s="171"/>
      <c r="T54" s="171" t="s">
        <v>86</v>
      </c>
    </row>
    <row r="55" spans="1:20" x14ac:dyDescent="0.2">
      <c r="A55" s="214"/>
      <c r="B55" s="167">
        <v>3</v>
      </c>
      <c r="C55" s="167" t="s">
        <v>181</v>
      </c>
      <c r="D55" s="168">
        <v>0.76659536666666661</v>
      </c>
      <c r="E55" s="168">
        <v>0.79174953333333331</v>
      </c>
      <c r="F55" s="166" t="s">
        <v>86</v>
      </c>
      <c r="G55" s="171"/>
      <c r="H55" s="171"/>
      <c r="I55" s="166" t="s">
        <v>180</v>
      </c>
      <c r="J55" s="168">
        <v>0.76203216666666673</v>
      </c>
      <c r="K55" s="168">
        <v>0.77145019999999997</v>
      </c>
      <c r="L55" s="166" t="s">
        <v>86</v>
      </c>
      <c r="M55" s="171"/>
      <c r="N55" s="171"/>
      <c r="O55" s="171" t="s">
        <v>180</v>
      </c>
      <c r="P55" s="173">
        <v>0.76488429999999996</v>
      </c>
      <c r="Q55" s="173">
        <v>0.74472813333333343</v>
      </c>
      <c r="R55" s="171"/>
      <c r="S55" s="171"/>
      <c r="T55" s="171"/>
    </row>
    <row r="56" spans="1:20" x14ac:dyDescent="0.2">
      <c r="A56" s="214"/>
      <c r="B56" s="167">
        <v>4</v>
      </c>
      <c r="C56" s="167" t="s">
        <v>191</v>
      </c>
      <c r="D56" s="168">
        <v>0.76659536666666661</v>
      </c>
      <c r="E56" s="168">
        <v>0.95741666666666669</v>
      </c>
      <c r="F56" s="166" t="s">
        <v>86</v>
      </c>
      <c r="G56" s="171"/>
      <c r="H56" s="171"/>
      <c r="I56" s="166" t="s">
        <v>181</v>
      </c>
      <c r="J56" s="168">
        <v>0.76203216666666673</v>
      </c>
      <c r="K56" s="168">
        <v>0.94491019999999992</v>
      </c>
      <c r="L56" s="166" t="s">
        <v>86</v>
      </c>
      <c r="M56" s="171"/>
      <c r="N56" s="171"/>
      <c r="O56" s="166" t="s">
        <v>181</v>
      </c>
      <c r="P56" s="168">
        <v>0.76488429999999996</v>
      </c>
      <c r="Q56" s="168">
        <v>0.93514546666666665</v>
      </c>
      <c r="R56" s="166" t="s">
        <v>86</v>
      </c>
      <c r="S56" s="171"/>
      <c r="T56" s="171"/>
    </row>
    <row r="57" spans="1:20" x14ac:dyDescent="0.2">
      <c r="A57" s="214"/>
      <c r="B57" s="167">
        <v>5</v>
      </c>
      <c r="C57" s="167" t="s">
        <v>181</v>
      </c>
      <c r="D57" s="168">
        <v>0.76659536666666661</v>
      </c>
      <c r="E57" s="168">
        <v>0.9996689333333334</v>
      </c>
      <c r="F57" s="166" t="s">
        <v>86</v>
      </c>
      <c r="G57" s="171"/>
      <c r="H57" s="171"/>
      <c r="I57" s="166" t="s">
        <v>181</v>
      </c>
      <c r="J57" s="168">
        <v>0.76203216666666673</v>
      </c>
      <c r="K57" s="168">
        <v>0.9979866666666668</v>
      </c>
      <c r="L57" s="166" t="s">
        <v>86</v>
      </c>
      <c r="M57" s="171"/>
      <c r="N57" s="171"/>
      <c r="O57" s="166" t="s">
        <v>181</v>
      </c>
      <c r="P57" s="168">
        <v>0.76488429999999996</v>
      </c>
      <c r="Q57" s="168">
        <v>0.99212506666666667</v>
      </c>
      <c r="R57" s="166" t="s">
        <v>86</v>
      </c>
      <c r="S57" s="171"/>
      <c r="T57" s="171"/>
    </row>
    <row r="58" spans="1:20" x14ac:dyDescent="0.2">
      <c r="A58" s="130"/>
      <c r="B58" s="167"/>
      <c r="C58" s="167"/>
      <c r="D58" s="173"/>
      <c r="E58" s="173"/>
      <c r="F58" s="171"/>
      <c r="G58" s="171"/>
      <c r="H58" s="171"/>
      <c r="I58" s="171"/>
      <c r="J58" s="173"/>
      <c r="K58" s="173"/>
      <c r="L58" s="171"/>
      <c r="M58" s="171"/>
      <c r="N58" s="171"/>
      <c r="O58" s="171"/>
      <c r="P58" s="173"/>
      <c r="Q58" s="173"/>
      <c r="R58" s="171"/>
      <c r="S58" s="171"/>
      <c r="T58" s="171"/>
    </row>
    <row r="59" spans="1:20" x14ac:dyDescent="0.2">
      <c r="A59" s="214" t="s">
        <v>82</v>
      </c>
      <c r="B59" s="167">
        <v>1</v>
      </c>
      <c r="C59" s="172" t="s">
        <v>180</v>
      </c>
      <c r="D59" s="173">
        <v>0.76659536666666661</v>
      </c>
      <c r="E59" s="173">
        <v>0.75223856666666666</v>
      </c>
      <c r="F59" s="171"/>
      <c r="G59" s="171"/>
      <c r="H59" s="171"/>
      <c r="I59" s="171" t="s">
        <v>180</v>
      </c>
      <c r="J59" s="173">
        <v>0.76203216666666673</v>
      </c>
      <c r="K59" s="173">
        <v>0.74527556666666672</v>
      </c>
      <c r="L59" s="171"/>
      <c r="M59" s="171"/>
      <c r="N59" s="171"/>
      <c r="O59" s="171" t="s">
        <v>180</v>
      </c>
      <c r="P59" s="173">
        <v>0.76488429999999996</v>
      </c>
      <c r="Q59" s="173">
        <v>0.75065429999999989</v>
      </c>
      <c r="R59" s="171"/>
      <c r="S59" s="171"/>
      <c r="T59" s="171" t="s">
        <v>86</v>
      </c>
    </row>
    <row r="60" spans="1:20" x14ac:dyDescent="0.2">
      <c r="A60" s="214"/>
      <c r="B60" s="167">
        <v>2</v>
      </c>
      <c r="C60" s="172" t="s">
        <v>180</v>
      </c>
      <c r="D60" s="173">
        <v>0.76659536666666661</v>
      </c>
      <c r="E60" s="173">
        <v>0.61084076666666665</v>
      </c>
      <c r="F60" s="171"/>
      <c r="G60" s="171"/>
      <c r="H60" s="171" t="s">
        <v>86</v>
      </c>
      <c r="I60" s="171" t="s">
        <v>180</v>
      </c>
      <c r="J60" s="173">
        <v>0.76203216666666673</v>
      </c>
      <c r="K60" s="173">
        <v>0.58463283333333338</v>
      </c>
      <c r="L60" s="171"/>
      <c r="M60" s="171"/>
      <c r="N60" s="171" t="s">
        <v>86</v>
      </c>
      <c r="O60" s="171" t="s">
        <v>180</v>
      </c>
      <c r="P60" s="173">
        <v>0.76488429999999996</v>
      </c>
      <c r="Q60" s="173">
        <v>0.52314666666666665</v>
      </c>
      <c r="R60" s="171"/>
      <c r="S60" s="171"/>
      <c r="T60" s="171" t="s">
        <v>86</v>
      </c>
    </row>
    <row r="61" spans="1:20" x14ac:dyDescent="0.2">
      <c r="A61" s="214"/>
      <c r="B61" s="167">
        <v>3</v>
      </c>
      <c r="C61" s="167" t="s">
        <v>181</v>
      </c>
      <c r="D61" s="168">
        <v>0.76659536666666661</v>
      </c>
      <c r="E61" s="168">
        <v>0.79174953333333331</v>
      </c>
      <c r="F61" s="166" t="s">
        <v>86</v>
      </c>
      <c r="G61" s="171"/>
      <c r="H61" s="171"/>
      <c r="I61" s="171" t="s">
        <v>181</v>
      </c>
      <c r="J61" s="173">
        <v>0.76203216666666673</v>
      </c>
      <c r="K61" s="173">
        <v>0.77145019999999997</v>
      </c>
      <c r="L61" s="171"/>
      <c r="M61" s="171"/>
      <c r="N61" s="171"/>
      <c r="O61" s="171" t="s">
        <v>180</v>
      </c>
      <c r="P61" s="173">
        <v>0.76488429999999996</v>
      </c>
      <c r="Q61" s="173">
        <v>0.74441060000000003</v>
      </c>
      <c r="R61" s="171"/>
      <c r="S61" s="171"/>
      <c r="T61" s="171"/>
    </row>
    <row r="62" spans="1:20" x14ac:dyDescent="0.2">
      <c r="A62" s="214"/>
      <c r="B62" s="167">
        <v>4</v>
      </c>
      <c r="C62" s="167" t="s">
        <v>181</v>
      </c>
      <c r="D62" s="168">
        <v>0.76659536666666661</v>
      </c>
      <c r="E62" s="168">
        <v>0.95741666666666669</v>
      </c>
      <c r="F62" s="166" t="s">
        <v>86</v>
      </c>
      <c r="G62" s="171"/>
      <c r="H62" s="171"/>
      <c r="I62" s="166" t="s">
        <v>188</v>
      </c>
      <c r="J62" s="168">
        <v>0.76203216666666673</v>
      </c>
      <c r="K62" s="168">
        <v>0.94491019999999992</v>
      </c>
      <c r="L62" s="166" t="s">
        <v>86</v>
      </c>
      <c r="M62" s="171"/>
      <c r="N62" s="171"/>
      <c r="O62" s="166" t="s">
        <v>181</v>
      </c>
      <c r="P62" s="168">
        <v>0.76488429999999996</v>
      </c>
      <c r="Q62" s="168">
        <v>0.93514546666666665</v>
      </c>
      <c r="R62" s="166" t="s">
        <v>86</v>
      </c>
      <c r="S62" s="171"/>
      <c r="T62" s="171"/>
    </row>
    <row r="63" spans="1:20" ht="17" thickBot="1" x14ac:dyDescent="0.25">
      <c r="A63" s="213"/>
      <c r="B63" s="115">
        <v>5</v>
      </c>
      <c r="C63" s="115" t="s">
        <v>181</v>
      </c>
      <c r="D63" s="196">
        <v>0.76659536666666661</v>
      </c>
      <c r="E63" s="196">
        <v>0.9996689333333334</v>
      </c>
      <c r="F63" s="153" t="s">
        <v>86</v>
      </c>
      <c r="G63" s="149"/>
      <c r="H63" s="149"/>
      <c r="I63" s="153" t="s">
        <v>181</v>
      </c>
      <c r="J63" s="196">
        <v>0.76203216666666673</v>
      </c>
      <c r="K63" s="196">
        <v>0.9979866666666668</v>
      </c>
      <c r="L63" s="153" t="s">
        <v>86</v>
      </c>
      <c r="M63" s="149"/>
      <c r="N63" s="149"/>
      <c r="O63" s="153" t="s">
        <v>181</v>
      </c>
      <c r="P63" s="196">
        <v>0.76488429999999996</v>
      </c>
      <c r="Q63" s="196">
        <v>0.99212506666666667</v>
      </c>
      <c r="R63" s="153" t="s">
        <v>86</v>
      </c>
      <c r="S63" s="149"/>
      <c r="T63" s="149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CD19-D719-9348-8457-CF0C82B3216D}">
  <dimension ref="A1:W63"/>
  <sheetViews>
    <sheetView showGridLines="0" workbookViewId="0">
      <selection activeCell="A2" sqref="A2:T6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201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78" t="s">
        <v>71</v>
      </c>
      <c r="D5" s="178">
        <v>0.85723716666666672</v>
      </c>
      <c r="E5" s="178">
        <v>0.99288493333333339</v>
      </c>
      <c r="F5" s="188">
        <v>0.99256670000000002</v>
      </c>
      <c r="G5" s="197">
        <v>7.4333330000000003E-3</v>
      </c>
      <c r="H5" s="197">
        <v>0</v>
      </c>
      <c r="I5" s="197" t="s">
        <v>71</v>
      </c>
      <c r="J5" s="197">
        <v>0.85517493333333328</v>
      </c>
      <c r="K5" s="197">
        <v>0.97193410000000002</v>
      </c>
      <c r="L5" s="188">
        <v>0.99106669999999997</v>
      </c>
      <c r="M5" s="197">
        <v>8.9333329999999999E-3</v>
      </c>
      <c r="N5" s="197">
        <v>0</v>
      </c>
      <c r="O5" s="197" t="s">
        <v>71</v>
      </c>
      <c r="P5" s="197">
        <v>0.85723716666666672</v>
      </c>
      <c r="Q5" s="197">
        <v>0.89923846666666662</v>
      </c>
      <c r="R5" s="188">
        <v>0.99153329999999995</v>
      </c>
      <c r="S5" s="197">
        <v>8.4666670000000006E-3</v>
      </c>
      <c r="T5" s="197">
        <v>0</v>
      </c>
    </row>
    <row r="6" spans="1:23" x14ac:dyDescent="0.2">
      <c r="A6" s="214"/>
      <c r="B6" s="167">
        <v>2</v>
      </c>
      <c r="C6" s="198">
        <f t="shared" ref="C6" si="0">F6/H6</f>
        <v>0</v>
      </c>
      <c r="D6" s="198">
        <v>0.85723716666666672</v>
      </c>
      <c r="E6" s="198">
        <v>0.73355423333333336</v>
      </c>
      <c r="F6" s="197">
        <v>0</v>
      </c>
      <c r="G6" s="197">
        <v>1.003333E-2</v>
      </c>
      <c r="H6" s="197">
        <v>0.98996669999999998</v>
      </c>
      <c r="I6" s="197">
        <f t="shared" ref="I6:I7" si="1">L6/N6</f>
        <v>0</v>
      </c>
      <c r="J6" s="197">
        <v>0.85517493333333328</v>
      </c>
      <c r="K6" s="197">
        <v>0.73234503333333334</v>
      </c>
      <c r="L6" s="197">
        <v>0</v>
      </c>
      <c r="M6" s="197">
        <v>8.4666670000000006E-3</v>
      </c>
      <c r="N6" s="197">
        <v>0.99153329999999995</v>
      </c>
      <c r="O6" s="197">
        <f t="shared" ref="O6:O7" si="2">R6/T6</f>
        <v>0</v>
      </c>
      <c r="P6" s="197">
        <v>0.85723716666666672</v>
      </c>
      <c r="Q6" s="197">
        <v>0.74922833333333327</v>
      </c>
      <c r="R6" s="197">
        <v>0</v>
      </c>
      <c r="S6" s="197">
        <v>9.0666670000000005E-3</v>
      </c>
      <c r="T6" s="197">
        <v>0.99093330000000002</v>
      </c>
    </row>
    <row r="7" spans="1:23" x14ac:dyDescent="0.2">
      <c r="A7" s="214"/>
      <c r="B7" s="167">
        <v>3</v>
      </c>
      <c r="C7" s="198" t="s">
        <v>71</v>
      </c>
      <c r="D7" s="198">
        <v>0.85723716666666672</v>
      </c>
      <c r="E7" s="198">
        <v>0.87537799999999999</v>
      </c>
      <c r="F7" s="197">
        <v>0.91093329999999995</v>
      </c>
      <c r="G7" s="197">
        <v>8.9066670000000001E-2</v>
      </c>
      <c r="H7" s="197">
        <v>0</v>
      </c>
      <c r="I7" s="197">
        <f t="shared" si="1"/>
        <v>0</v>
      </c>
      <c r="J7" s="197">
        <v>0.85517493333333328</v>
      </c>
      <c r="K7" s="197">
        <v>0.84441040000000001</v>
      </c>
      <c r="L7" s="197">
        <v>0</v>
      </c>
      <c r="M7" s="197">
        <v>0.4914</v>
      </c>
      <c r="N7" s="197">
        <v>0.50860000000000005</v>
      </c>
      <c r="O7" s="197">
        <f t="shared" si="2"/>
        <v>0</v>
      </c>
      <c r="P7" s="197">
        <v>0.85723716666666672</v>
      </c>
      <c r="Q7" s="197">
        <v>0.80678396666666663</v>
      </c>
      <c r="R7" s="197">
        <v>0</v>
      </c>
      <c r="S7" s="197">
        <v>8.9999999999999993E-3</v>
      </c>
      <c r="T7" s="188">
        <v>0.99050000000000005</v>
      </c>
    </row>
    <row r="8" spans="1:23" x14ac:dyDescent="0.2">
      <c r="A8" s="214"/>
      <c r="B8" s="167">
        <v>4</v>
      </c>
      <c r="C8" s="178" t="s">
        <v>71</v>
      </c>
      <c r="D8" s="178">
        <v>0.85723716666666672</v>
      </c>
      <c r="E8" s="178">
        <v>0.96443506666666667</v>
      </c>
      <c r="F8" s="188">
        <v>0.99060000000000004</v>
      </c>
      <c r="G8" s="197">
        <v>9.4000000000000004E-3</v>
      </c>
      <c r="H8" s="197">
        <v>0</v>
      </c>
      <c r="I8" s="188" t="s">
        <v>71</v>
      </c>
      <c r="J8" s="188">
        <v>0.85517493333333328</v>
      </c>
      <c r="K8" s="188">
        <v>0.95364996666666668</v>
      </c>
      <c r="L8" s="188">
        <v>0.99080000000000001</v>
      </c>
      <c r="M8" s="197">
        <v>9.1999999999999998E-3</v>
      </c>
      <c r="N8" s="197">
        <v>0</v>
      </c>
      <c r="O8" s="197" t="s">
        <v>71</v>
      </c>
      <c r="P8" s="197">
        <v>0.85723716666666672</v>
      </c>
      <c r="Q8" s="197">
        <v>0.94820723333333323</v>
      </c>
      <c r="R8" s="199">
        <v>0.99156670000000002</v>
      </c>
      <c r="S8" s="197">
        <v>8.4333329999999995E-3</v>
      </c>
      <c r="T8" s="197">
        <v>0</v>
      </c>
    </row>
    <row r="9" spans="1:23" x14ac:dyDescent="0.2">
      <c r="A9" s="214"/>
      <c r="B9" s="167">
        <v>5</v>
      </c>
      <c r="C9" s="178" t="s">
        <v>71</v>
      </c>
      <c r="D9" s="178">
        <v>0.85723716666666672</v>
      </c>
      <c r="E9" s="178">
        <v>0.99975170000000002</v>
      </c>
      <c r="F9" s="186">
        <v>0.99073330000000004</v>
      </c>
      <c r="G9" s="187">
        <v>9.2666669999999993E-3</v>
      </c>
      <c r="H9" s="187">
        <v>0</v>
      </c>
      <c r="I9" s="186" t="s">
        <v>71</v>
      </c>
      <c r="J9" s="186">
        <v>0.85517493333333328</v>
      </c>
      <c r="K9" s="186">
        <v>0.99826436666666662</v>
      </c>
      <c r="L9" s="188">
        <v>0.99113329999999999</v>
      </c>
      <c r="M9" s="197">
        <v>8.866667E-3</v>
      </c>
      <c r="N9" s="197">
        <v>0</v>
      </c>
      <c r="O9" s="197" t="s">
        <v>71</v>
      </c>
      <c r="P9" s="197">
        <v>0.85723716666666672</v>
      </c>
      <c r="Q9" s="197">
        <v>0.99309426666666667</v>
      </c>
      <c r="R9" s="188">
        <v>0.99129999999999996</v>
      </c>
      <c r="S9" s="197">
        <v>8.6999999999999994E-3</v>
      </c>
      <c r="T9" s="197">
        <v>0</v>
      </c>
    </row>
    <row r="10" spans="1:23" x14ac:dyDescent="0.2">
      <c r="A10" s="130"/>
      <c r="B10" s="167"/>
      <c r="C10" s="198"/>
      <c r="D10" s="198"/>
      <c r="E10" s="198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</row>
    <row r="11" spans="1:23" x14ac:dyDescent="0.2">
      <c r="A11" s="214" t="s">
        <v>74</v>
      </c>
      <c r="B11" s="167">
        <v>1</v>
      </c>
      <c r="C11" s="198" t="s">
        <v>71</v>
      </c>
      <c r="D11" s="198">
        <v>0.85723716666666672</v>
      </c>
      <c r="E11" s="198">
        <v>0.86365996666666678</v>
      </c>
      <c r="F11" s="197">
        <v>0.32693329999999998</v>
      </c>
      <c r="G11" s="197">
        <v>0.67306670000000002</v>
      </c>
      <c r="H11" s="197">
        <v>0</v>
      </c>
      <c r="I11" s="197" t="s">
        <v>71</v>
      </c>
      <c r="J11" s="197">
        <v>0.85517493333333328</v>
      </c>
      <c r="K11" s="197">
        <v>0.86270230000000003</v>
      </c>
      <c r="L11" s="197">
        <v>0</v>
      </c>
      <c r="M11" s="188">
        <v>1</v>
      </c>
      <c r="N11" s="197">
        <v>0</v>
      </c>
      <c r="O11" s="197" t="s">
        <v>71</v>
      </c>
      <c r="P11" s="197">
        <v>0.85723716666666672</v>
      </c>
      <c r="Q11" s="197">
        <v>0.86041863333333335</v>
      </c>
      <c r="R11" s="197">
        <v>4.7166670000000001E-2</v>
      </c>
      <c r="S11" s="197">
        <v>0.95283329999999999</v>
      </c>
      <c r="T11" s="197">
        <v>0</v>
      </c>
    </row>
    <row r="12" spans="1:23" x14ac:dyDescent="0.2">
      <c r="A12" s="214"/>
      <c r="B12" s="167">
        <v>2</v>
      </c>
      <c r="C12" s="198">
        <f t="shared" ref="C12:C13" si="3">F12/H12</f>
        <v>0</v>
      </c>
      <c r="D12" s="198">
        <v>0.85723716666666672</v>
      </c>
      <c r="E12" s="198">
        <v>0.84575543333333325</v>
      </c>
      <c r="F12" s="197">
        <v>0</v>
      </c>
      <c r="G12" s="197">
        <v>0.57850000000000001</v>
      </c>
      <c r="H12" s="197">
        <v>0.42149999999999999</v>
      </c>
      <c r="I12" s="188">
        <f t="shared" ref="I12:I13" si="4">L12/N12</f>
        <v>0</v>
      </c>
      <c r="J12" s="188">
        <v>0.85517493333333328</v>
      </c>
      <c r="K12" s="188">
        <v>0.84673290000000001</v>
      </c>
      <c r="L12" s="197">
        <v>0</v>
      </c>
      <c r="M12" s="197">
        <v>0.84323329999999996</v>
      </c>
      <c r="N12" s="197">
        <v>0.15676670000000001</v>
      </c>
      <c r="O12" s="197">
        <f t="shared" ref="O12:O13" si="5">R12/T12</f>
        <v>0</v>
      </c>
      <c r="P12" s="197">
        <v>0.85723716666666672</v>
      </c>
      <c r="Q12" s="197">
        <v>0.84422016666666666</v>
      </c>
      <c r="R12" s="197">
        <v>0</v>
      </c>
      <c r="S12" s="197">
        <v>0.30323329999999998</v>
      </c>
      <c r="T12" s="197">
        <v>0.69676669999999996</v>
      </c>
      <c r="W12" t="s">
        <v>178</v>
      </c>
    </row>
    <row r="13" spans="1:23" x14ac:dyDescent="0.2">
      <c r="A13" s="214"/>
      <c r="B13" s="167">
        <v>3</v>
      </c>
      <c r="C13" s="198">
        <f t="shared" si="3"/>
        <v>0</v>
      </c>
      <c r="D13" s="198">
        <v>0.85723716666666672</v>
      </c>
      <c r="E13" s="198">
        <v>0.82822916666666668</v>
      </c>
      <c r="F13" s="197">
        <v>0</v>
      </c>
      <c r="G13" s="197">
        <v>8.3999999999999995E-3</v>
      </c>
      <c r="H13" s="188">
        <v>0.99160000000000004</v>
      </c>
      <c r="I13" s="197">
        <f t="shared" si="4"/>
        <v>0</v>
      </c>
      <c r="J13" s="197">
        <v>0.85517493333333328</v>
      </c>
      <c r="K13" s="197">
        <v>0.83488050000000003</v>
      </c>
      <c r="L13" s="197">
        <v>0</v>
      </c>
      <c r="M13" s="197">
        <v>3.7233330000000002E-2</v>
      </c>
      <c r="N13" s="188">
        <v>0.96276669999999998</v>
      </c>
      <c r="O13" s="197">
        <f t="shared" si="5"/>
        <v>0</v>
      </c>
      <c r="P13" s="197">
        <v>0.85723716666666672</v>
      </c>
      <c r="Q13" s="197">
        <v>0.8365746666666668</v>
      </c>
      <c r="R13" s="197">
        <v>0</v>
      </c>
      <c r="S13" s="197">
        <v>3.7233330000000002E-2</v>
      </c>
      <c r="T13" s="197">
        <v>0.96276669999999998</v>
      </c>
    </row>
    <row r="14" spans="1:23" x14ac:dyDescent="0.2">
      <c r="A14" s="214"/>
      <c r="B14" s="167">
        <v>4</v>
      </c>
      <c r="C14" s="198" t="s">
        <v>71</v>
      </c>
      <c r="D14" s="198">
        <v>0.85723716666666672</v>
      </c>
      <c r="E14" s="198">
        <v>0.85573719999999998</v>
      </c>
      <c r="F14" s="187">
        <v>0</v>
      </c>
      <c r="G14" s="186">
        <v>1</v>
      </c>
      <c r="H14" s="187">
        <v>0</v>
      </c>
      <c r="I14" s="187" t="s">
        <v>71</v>
      </c>
      <c r="J14" s="187">
        <v>0.85517493333333328</v>
      </c>
      <c r="K14" s="187">
        <v>0.85355649999999994</v>
      </c>
      <c r="L14" s="197">
        <v>0</v>
      </c>
      <c r="M14" s="188">
        <v>1</v>
      </c>
      <c r="N14" s="197">
        <v>0</v>
      </c>
      <c r="O14" s="197" t="s">
        <v>71</v>
      </c>
      <c r="P14" s="197">
        <v>0.85723716666666672</v>
      </c>
      <c r="Q14" s="197">
        <v>0.85383626666666668</v>
      </c>
      <c r="R14" s="197">
        <v>0</v>
      </c>
      <c r="S14" s="197">
        <v>1</v>
      </c>
      <c r="T14" s="197">
        <v>0</v>
      </c>
    </row>
    <row r="15" spans="1:23" x14ac:dyDescent="0.2">
      <c r="A15" s="214"/>
      <c r="B15" s="167">
        <v>5</v>
      </c>
      <c r="C15" s="198" t="s">
        <v>71</v>
      </c>
      <c r="D15" s="198">
        <v>0.85723716666666672</v>
      </c>
      <c r="E15" s="198">
        <v>0.8735676</v>
      </c>
      <c r="F15" s="187">
        <v>0.78476670000000004</v>
      </c>
      <c r="G15" s="187">
        <v>0.21523329999999999</v>
      </c>
      <c r="H15" s="187">
        <v>0</v>
      </c>
      <c r="I15" s="187" t="s">
        <v>71</v>
      </c>
      <c r="J15" s="187">
        <v>0.85517493333333328</v>
      </c>
      <c r="K15" s="187">
        <v>0.86816933333333335</v>
      </c>
      <c r="L15" s="197">
        <v>0.82966669999999998</v>
      </c>
      <c r="M15" s="197">
        <v>0.17033329999999999</v>
      </c>
      <c r="N15" s="197">
        <v>0</v>
      </c>
      <c r="O15" s="197" t="s">
        <v>71</v>
      </c>
      <c r="P15" s="197">
        <v>0.85723716666666672</v>
      </c>
      <c r="Q15" s="197">
        <v>0.87348993333333336</v>
      </c>
      <c r="R15" s="197">
        <v>0.6046667</v>
      </c>
      <c r="S15" s="197">
        <v>0.3953333</v>
      </c>
      <c r="T15" s="197">
        <v>0</v>
      </c>
    </row>
    <row r="16" spans="1:23" ht="17" thickBot="1" x14ac:dyDescent="0.25">
      <c r="A16" s="138"/>
      <c r="B16" s="115"/>
      <c r="C16" s="201"/>
      <c r="D16" s="201"/>
      <c r="E16" s="20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</row>
    <row r="17" spans="1:20" x14ac:dyDescent="0.2">
      <c r="A17" s="214" t="s">
        <v>75</v>
      </c>
      <c r="B17" s="167">
        <v>1</v>
      </c>
      <c r="C17" s="198">
        <f t="shared" ref="C17:C18" si="6">F17/H17</f>
        <v>0</v>
      </c>
      <c r="D17" s="198">
        <v>0.82380563333333334</v>
      </c>
      <c r="E17" s="198">
        <v>0.69599060000000001</v>
      </c>
      <c r="F17" s="197">
        <v>0</v>
      </c>
      <c r="G17" s="197">
        <v>9.8333329999999997E-3</v>
      </c>
      <c r="H17" s="188">
        <v>0.99016669999999996</v>
      </c>
      <c r="I17" s="197">
        <f t="shared" ref="I17:I19" si="7">L17/N17</f>
        <v>0</v>
      </c>
      <c r="J17" s="197">
        <v>0.82042746666666666</v>
      </c>
      <c r="K17" s="197">
        <v>0.69728000000000001</v>
      </c>
      <c r="L17" s="197">
        <v>0</v>
      </c>
      <c r="M17" s="197">
        <v>8.7333329999999994E-3</v>
      </c>
      <c r="N17" s="197">
        <v>0.99126669999999995</v>
      </c>
      <c r="O17" s="197">
        <f t="shared" ref="O17:O19" si="8">R17/T17</f>
        <v>0</v>
      </c>
      <c r="P17" s="197">
        <v>0.82336686666666681</v>
      </c>
      <c r="Q17" s="197">
        <v>0.70616486666666667</v>
      </c>
      <c r="R17" s="197">
        <v>0</v>
      </c>
      <c r="S17" s="197">
        <v>8.6E-3</v>
      </c>
      <c r="T17" s="199">
        <v>0.99139999999999995</v>
      </c>
    </row>
    <row r="18" spans="1:20" x14ac:dyDescent="0.2">
      <c r="A18" s="214"/>
      <c r="B18" s="167">
        <v>2</v>
      </c>
      <c r="C18" s="198">
        <f t="shared" si="6"/>
        <v>0</v>
      </c>
      <c r="D18" s="198">
        <v>0.82380563333333334</v>
      </c>
      <c r="E18" s="198">
        <v>0.69871623333333333</v>
      </c>
      <c r="F18" s="197">
        <v>0</v>
      </c>
      <c r="G18" s="197">
        <v>9.1000000000000004E-3</v>
      </c>
      <c r="H18" s="188">
        <v>0.9909</v>
      </c>
      <c r="I18" s="197">
        <f t="shared" si="7"/>
        <v>0</v>
      </c>
      <c r="J18" s="197">
        <v>0.82042746666666666</v>
      </c>
      <c r="K18" s="197">
        <v>0.69703466666666669</v>
      </c>
      <c r="L18" s="197">
        <v>0</v>
      </c>
      <c r="M18" s="197">
        <v>8.1333329999999995E-3</v>
      </c>
      <c r="N18" s="197">
        <v>0.99186669999999999</v>
      </c>
      <c r="O18" s="197">
        <f t="shared" si="8"/>
        <v>0</v>
      </c>
      <c r="P18" s="197">
        <v>0.82336686666666681</v>
      </c>
      <c r="Q18" s="197">
        <v>0.70932386666666669</v>
      </c>
      <c r="R18" s="197">
        <v>0</v>
      </c>
      <c r="S18" s="197">
        <v>8.2666670000000001E-3</v>
      </c>
      <c r="T18" s="199">
        <v>0.99173330000000004</v>
      </c>
    </row>
    <row r="19" spans="1:20" x14ac:dyDescent="0.2">
      <c r="A19" s="214"/>
      <c r="B19" s="167">
        <v>3</v>
      </c>
      <c r="C19" s="198" t="s">
        <v>71</v>
      </c>
      <c r="D19" s="198">
        <v>0.82380563333333334</v>
      </c>
      <c r="E19" s="198">
        <v>0.82833236666666676</v>
      </c>
      <c r="F19" s="197">
        <v>0</v>
      </c>
      <c r="G19" s="188">
        <v>1</v>
      </c>
      <c r="H19" s="197">
        <v>0</v>
      </c>
      <c r="I19" s="197">
        <f t="shared" si="7"/>
        <v>0</v>
      </c>
      <c r="J19" s="197">
        <v>0.82042746666666666</v>
      </c>
      <c r="K19" s="197">
        <v>0.80143520000000013</v>
      </c>
      <c r="L19" s="197">
        <v>0</v>
      </c>
      <c r="M19" s="197">
        <v>3.8866669999999999E-2</v>
      </c>
      <c r="N19" s="197">
        <v>0.96113329999999997</v>
      </c>
      <c r="O19" s="197">
        <f t="shared" si="8"/>
        <v>0</v>
      </c>
      <c r="P19" s="197">
        <v>0.82336686666666681</v>
      </c>
      <c r="Q19" s="197">
        <v>0.76702283333333343</v>
      </c>
      <c r="R19" s="197">
        <v>0</v>
      </c>
      <c r="S19" s="197">
        <v>9.0333329999999993E-3</v>
      </c>
      <c r="T19" s="188">
        <v>0.99096669999999998</v>
      </c>
    </row>
    <row r="20" spans="1:20" x14ac:dyDescent="0.2">
      <c r="A20" s="214"/>
      <c r="B20" s="167">
        <v>4</v>
      </c>
      <c r="C20" s="178" t="s">
        <v>71</v>
      </c>
      <c r="D20" s="178">
        <v>0.82380563333333334</v>
      </c>
      <c r="E20" s="178">
        <v>0.95788906666666662</v>
      </c>
      <c r="F20" s="186">
        <v>0.99</v>
      </c>
      <c r="G20" s="187">
        <v>0.01</v>
      </c>
      <c r="H20" s="187">
        <v>0</v>
      </c>
      <c r="I20" s="187" t="s">
        <v>71</v>
      </c>
      <c r="J20" s="187">
        <v>0.82042746666666666</v>
      </c>
      <c r="K20" s="187">
        <v>0.94598806666666668</v>
      </c>
      <c r="L20" s="188">
        <v>0.99126669999999995</v>
      </c>
      <c r="M20" s="197">
        <v>8.7333329999999994E-3</v>
      </c>
      <c r="N20" s="197">
        <v>0</v>
      </c>
      <c r="O20" s="197" t="s">
        <v>71</v>
      </c>
      <c r="P20" s="197">
        <v>0.82336686666666681</v>
      </c>
      <c r="Q20" s="197">
        <v>0.93640629999999991</v>
      </c>
      <c r="R20" s="199">
        <v>0.99136670000000005</v>
      </c>
      <c r="S20" s="197">
        <v>8.633333E-3</v>
      </c>
      <c r="T20" s="197">
        <v>0</v>
      </c>
    </row>
    <row r="21" spans="1:20" x14ac:dyDescent="0.2">
      <c r="A21" s="214"/>
      <c r="B21" s="167">
        <v>5</v>
      </c>
      <c r="C21" s="178" t="s">
        <v>71</v>
      </c>
      <c r="D21" s="178">
        <v>0.82380563333333334</v>
      </c>
      <c r="E21" s="178">
        <v>0.9996689333333334</v>
      </c>
      <c r="F21" s="186">
        <v>0.99196669999999998</v>
      </c>
      <c r="G21" s="187">
        <v>8.0333330000000001E-3</v>
      </c>
      <c r="H21" s="187">
        <v>0</v>
      </c>
      <c r="I21" s="186" t="s">
        <v>71</v>
      </c>
      <c r="J21" s="186">
        <v>0.82042746666666666</v>
      </c>
      <c r="K21" s="186">
        <v>0.9979866666666668</v>
      </c>
      <c r="L21" s="188">
        <v>0.99073330000000004</v>
      </c>
      <c r="M21" s="197">
        <v>9.2666669999999993E-3</v>
      </c>
      <c r="N21" s="197">
        <v>0</v>
      </c>
      <c r="O21" s="197" t="s">
        <v>71</v>
      </c>
      <c r="P21" s="197">
        <v>0.82336686666666681</v>
      </c>
      <c r="Q21" s="197">
        <v>0.99212506666666667</v>
      </c>
      <c r="R21" s="199">
        <v>0.99013329999999999</v>
      </c>
      <c r="S21" s="197">
        <v>9.8666670000000008E-3</v>
      </c>
      <c r="T21" s="197">
        <v>0</v>
      </c>
    </row>
    <row r="22" spans="1:20" x14ac:dyDescent="0.2">
      <c r="A22" s="130"/>
      <c r="B22" s="167"/>
      <c r="C22" s="198"/>
      <c r="D22" s="198"/>
      <c r="E22" s="198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</row>
    <row r="23" spans="1:20" x14ac:dyDescent="0.2">
      <c r="A23" s="214" t="s">
        <v>76</v>
      </c>
      <c r="B23" s="167">
        <v>1</v>
      </c>
      <c r="C23" s="198">
        <f t="shared" ref="C23:C27" si="9">F23/H23</f>
        <v>0</v>
      </c>
      <c r="D23" s="198">
        <v>0.82380563333333334</v>
      </c>
      <c r="E23" s="198">
        <v>0.81255336666666667</v>
      </c>
      <c r="F23" s="197">
        <v>0</v>
      </c>
      <c r="G23" s="197">
        <v>0.48830000000000001</v>
      </c>
      <c r="H23" s="197">
        <v>0.51170000000000004</v>
      </c>
      <c r="I23" s="188" t="s">
        <v>71</v>
      </c>
      <c r="J23" s="188">
        <v>0.82042746666666666</v>
      </c>
      <c r="K23" s="188">
        <v>0.81474559999999985</v>
      </c>
      <c r="L23" s="197">
        <v>0</v>
      </c>
      <c r="M23" s="197">
        <v>1</v>
      </c>
      <c r="N23" s="197">
        <v>0</v>
      </c>
      <c r="O23" s="188">
        <f t="shared" ref="O23:O27" si="10">R23/T23</f>
        <v>0</v>
      </c>
      <c r="P23" s="188">
        <v>0.82336686666666681</v>
      </c>
      <c r="Q23" s="188">
        <v>0.81585846666666662</v>
      </c>
      <c r="R23" s="197">
        <v>0</v>
      </c>
      <c r="S23" s="197">
        <v>0.95276669999999997</v>
      </c>
      <c r="T23" s="197">
        <v>4.7233329999999997E-2</v>
      </c>
    </row>
    <row r="24" spans="1:20" x14ac:dyDescent="0.2">
      <c r="A24" s="214"/>
      <c r="B24" s="167">
        <v>2</v>
      </c>
      <c r="C24" s="198">
        <f t="shared" si="9"/>
        <v>0</v>
      </c>
      <c r="D24" s="198">
        <v>0.82380563333333334</v>
      </c>
      <c r="E24" s="198">
        <v>0.80380323333333337</v>
      </c>
      <c r="F24" s="197">
        <v>0</v>
      </c>
      <c r="G24" s="197">
        <v>3.6666669999999998E-2</v>
      </c>
      <c r="H24" s="188">
        <v>0.96333329999999995</v>
      </c>
      <c r="I24" s="197">
        <f t="shared" ref="I24:I27" si="11">L24/N24</f>
        <v>0</v>
      </c>
      <c r="J24" s="197">
        <v>0.82042746666666666</v>
      </c>
      <c r="K24" s="197">
        <v>0.8076441333333334</v>
      </c>
      <c r="L24" s="197">
        <v>0</v>
      </c>
      <c r="M24" s="197">
        <v>0.4899</v>
      </c>
      <c r="N24" s="197">
        <v>0.5101</v>
      </c>
      <c r="O24" s="197">
        <f t="shared" si="10"/>
        <v>0</v>
      </c>
      <c r="P24" s="197">
        <v>0.82336686666666681</v>
      </c>
      <c r="Q24" s="197">
        <v>0.80575923333333332</v>
      </c>
      <c r="R24" s="197">
        <v>0</v>
      </c>
      <c r="S24" s="197">
        <v>9.01E-2</v>
      </c>
      <c r="T24" s="197">
        <v>0.90990000000000004</v>
      </c>
    </row>
    <row r="25" spans="1:20" x14ac:dyDescent="0.2">
      <c r="A25" s="214"/>
      <c r="B25" s="167">
        <v>3</v>
      </c>
      <c r="C25" s="198">
        <f t="shared" si="9"/>
        <v>0</v>
      </c>
      <c r="D25" s="198">
        <v>0.82380563333333334</v>
      </c>
      <c r="E25" s="198">
        <v>0.79383653333333337</v>
      </c>
      <c r="F25" s="197">
        <v>0</v>
      </c>
      <c r="G25" s="197">
        <v>9.1666669999999999E-3</v>
      </c>
      <c r="H25" s="188">
        <v>0.99083330000000003</v>
      </c>
      <c r="I25" s="197">
        <f t="shared" si="11"/>
        <v>0</v>
      </c>
      <c r="J25" s="197">
        <v>0.82042746666666666</v>
      </c>
      <c r="K25" s="197">
        <v>0.80256146666666661</v>
      </c>
      <c r="L25" s="197">
        <v>0</v>
      </c>
      <c r="M25" s="197">
        <v>8.6566669999999998E-2</v>
      </c>
      <c r="N25" s="197">
        <v>0.9134333</v>
      </c>
      <c r="O25" s="197">
        <f t="shared" si="10"/>
        <v>0</v>
      </c>
      <c r="P25" s="197">
        <v>0.82336686666666681</v>
      </c>
      <c r="Q25" s="197">
        <v>0.80529173333333326</v>
      </c>
      <c r="R25" s="197">
        <v>0</v>
      </c>
      <c r="S25" s="197">
        <v>8.9633329999999997E-2</v>
      </c>
      <c r="T25" s="197">
        <v>0.91036669999999997</v>
      </c>
    </row>
    <row r="26" spans="1:20" x14ac:dyDescent="0.2">
      <c r="A26" s="214"/>
      <c r="B26" s="167">
        <v>4</v>
      </c>
      <c r="C26" s="198">
        <f t="shared" si="9"/>
        <v>203.32313446276933</v>
      </c>
      <c r="D26" s="198">
        <v>0.82380563333333334</v>
      </c>
      <c r="E26" s="198">
        <v>0.83880563333333324</v>
      </c>
      <c r="F26" s="197">
        <v>0.91439090000000001</v>
      </c>
      <c r="G26" s="197">
        <v>8.1111849999999999E-2</v>
      </c>
      <c r="H26" s="197">
        <v>4.4972299999999996E-3</v>
      </c>
      <c r="I26" s="197" t="s">
        <v>71</v>
      </c>
      <c r="J26" s="197">
        <v>0.82042746666666666</v>
      </c>
      <c r="K26" s="197">
        <v>0.83881213333333327</v>
      </c>
      <c r="L26" s="197">
        <v>0.9111667</v>
      </c>
      <c r="M26" s="197">
        <v>8.8833330000000002E-2</v>
      </c>
      <c r="N26" s="197">
        <v>0</v>
      </c>
      <c r="O26" s="197" t="s">
        <v>71</v>
      </c>
      <c r="P26" s="197">
        <v>0.82336686666666681</v>
      </c>
      <c r="Q26" s="197">
        <v>0.83314980000000005</v>
      </c>
      <c r="R26" s="197">
        <v>0.32906669999999999</v>
      </c>
      <c r="S26" s="197">
        <v>0.67093329999999995</v>
      </c>
      <c r="T26" s="197">
        <v>0</v>
      </c>
    </row>
    <row r="27" spans="1:20" x14ac:dyDescent="0.2">
      <c r="A27" s="214"/>
      <c r="B27" s="167">
        <v>5</v>
      </c>
      <c r="C27" s="198">
        <f t="shared" si="9"/>
        <v>0</v>
      </c>
      <c r="D27" s="198">
        <v>0.82380563333333334</v>
      </c>
      <c r="E27" s="198">
        <v>0.79886043333333345</v>
      </c>
      <c r="F27" s="187">
        <v>0</v>
      </c>
      <c r="G27" s="187">
        <v>9.6333330000000009E-3</v>
      </c>
      <c r="H27" s="187">
        <v>0.99036670000000004</v>
      </c>
      <c r="I27" s="187">
        <f t="shared" si="11"/>
        <v>0</v>
      </c>
      <c r="J27" s="187">
        <v>0.82042746666666666</v>
      </c>
      <c r="K27" s="187">
        <v>0.80513993333333334</v>
      </c>
      <c r="L27" s="197">
        <v>0</v>
      </c>
      <c r="M27" s="197">
        <v>0.30356670000000002</v>
      </c>
      <c r="N27" s="197">
        <v>0.69643330000000003</v>
      </c>
      <c r="O27" s="197">
        <f t="shared" si="10"/>
        <v>0</v>
      </c>
      <c r="P27" s="197">
        <v>0.82336686666666681</v>
      </c>
      <c r="Q27" s="197">
        <v>0.80348260000000005</v>
      </c>
      <c r="R27" s="197">
        <v>0</v>
      </c>
      <c r="S27" s="197">
        <v>9.0833330000000004E-2</v>
      </c>
      <c r="T27" s="197">
        <v>0.90916669999999999</v>
      </c>
    </row>
    <row r="28" spans="1:20" ht="17" thickBot="1" x14ac:dyDescent="0.25">
      <c r="A28" s="138"/>
      <c r="B28" s="115"/>
      <c r="C28" s="201"/>
      <c r="D28" s="201"/>
      <c r="E28" s="20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</row>
    <row r="29" spans="1:20" x14ac:dyDescent="0.2">
      <c r="A29" s="214" t="s">
        <v>77</v>
      </c>
      <c r="B29" s="167">
        <v>1</v>
      </c>
      <c r="C29" s="178" t="s">
        <v>71</v>
      </c>
      <c r="D29" s="178">
        <v>0.81998990000000005</v>
      </c>
      <c r="E29" s="178">
        <v>0.99229183333333337</v>
      </c>
      <c r="F29" s="188">
        <v>0.99186669999999999</v>
      </c>
      <c r="G29" s="197">
        <v>8.1333329999999995E-3</v>
      </c>
      <c r="H29" s="197">
        <v>0</v>
      </c>
      <c r="I29" s="188" t="s">
        <v>71</v>
      </c>
      <c r="J29" s="188">
        <v>0.8295537999999999</v>
      </c>
      <c r="K29" s="188">
        <v>0.97335786666666679</v>
      </c>
      <c r="L29" s="188">
        <v>0.99153329999999995</v>
      </c>
      <c r="M29" s="197">
        <v>8.4666670000000006E-3</v>
      </c>
      <c r="N29" s="197">
        <v>0</v>
      </c>
      <c r="O29" s="188" t="s">
        <v>71</v>
      </c>
      <c r="P29" s="188">
        <v>0.81981256666666669</v>
      </c>
      <c r="Q29" s="188">
        <v>0.90091510000000008</v>
      </c>
      <c r="R29" s="188">
        <v>0.99060000000000004</v>
      </c>
      <c r="S29" s="197">
        <v>9.4000000000000004E-3</v>
      </c>
      <c r="T29" s="197">
        <v>0</v>
      </c>
    </row>
    <row r="30" spans="1:20" x14ac:dyDescent="0.2">
      <c r="A30" s="214"/>
      <c r="B30" s="167">
        <v>2</v>
      </c>
      <c r="C30" s="198">
        <f t="shared" ref="C30" si="12">F30/H30</f>
        <v>0</v>
      </c>
      <c r="D30" s="198">
        <v>0.81998990000000005</v>
      </c>
      <c r="E30" s="198">
        <v>0.67292363333333327</v>
      </c>
      <c r="F30" s="197">
        <v>0</v>
      </c>
      <c r="G30" s="197">
        <v>8.8333330000000005E-3</v>
      </c>
      <c r="H30" s="188">
        <v>0.99116669999999996</v>
      </c>
      <c r="I30" s="197">
        <f t="shared" ref="I30:I31" si="13">L30/N30</f>
        <v>0</v>
      </c>
      <c r="J30" s="197">
        <v>0.8295537999999999</v>
      </c>
      <c r="K30" s="197">
        <v>0.6904819333333333</v>
      </c>
      <c r="L30" s="197">
        <v>0</v>
      </c>
      <c r="M30" s="197">
        <v>8.2333330000000007E-3</v>
      </c>
      <c r="N30" s="188">
        <v>0.9917667</v>
      </c>
      <c r="O30" s="197">
        <f t="shared" ref="O30:O31" si="14">R30/T30</f>
        <v>0</v>
      </c>
      <c r="P30" s="197">
        <v>0.81981256666666669</v>
      </c>
      <c r="Q30" s="197">
        <v>0.67796423333333333</v>
      </c>
      <c r="R30" s="197">
        <v>0</v>
      </c>
      <c r="S30" s="197">
        <v>9.6666670000000003E-3</v>
      </c>
      <c r="T30" s="200">
        <v>0.99033329999999997</v>
      </c>
    </row>
    <row r="31" spans="1:20" x14ac:dyDescent="0.2">
      <c r="A31" s="214"/>
      <c r="B31" s="167">
        <v>3</v>
      </c>
      <c r="C31" s="198" t="s">
        <v>71</v>
      </c>
      <c r="D31" s="198">
        <v>0.81998990000000005</v>
      </c>
      <c r="E31" s="198">
        <v>0.86275203333333328</v>
      </c>
      <c r="F31" s="188">
        <v>0.96306670000000005</v>
      </c>
      <c r="G31" s="197">
        <v>3.693333E-2</v>
      </c>
      <c r="H31" s="197">
        <v>0</v>
      </c>
      <c r="I31" s="197">
        <f t="shared" si="13"/>
        <v>0</v>
      </c>
      <c r="J31" s="197">
        <v>0.8295537999999999</v>
      </c>
      <c r="K31" s="197">
        <v>0.82212793333333334</v>
      </c>
      <c r="L31" s="197">
        <v>0</v>
      </c>
      <c r="M31" s="197">
        <v>0.84250000000000003</v>
      </c>
      <c r="N31" s="197">
        <v>0.1575</v>
      </c>
      <c r="O31" s="197">
        <f t="shared" si="14"/>
        <v>0</v>
      </c>
      <c r="P31" s="197">
        <v>0.81981256666666669</v>
      </c>
      <c r="Q31" s="197">
        <v>0.78163099999999996</v>
      </c>
      <c r="R31" s="197">
        <v>0</v>
      </c>
      <c r="S31" s="197">
        <v>8.2333330000000007E-3</v>
      </c>
      <c r="T31" s="200">
        <v>0.9917667</v>
      </c>
    </row>
    <row r="32" spans="1:20" x14ac:dyDescent="0.2">
      <c r="A32" s="214"/>
      <c r="B32" s="167">
        <v>4</v>
      </c>
      <c r="C32" s="178" t="s">
        <v>71</v>
      </c>
      <c r="D32" s="178">
        <v>0.81998990000000005</v>
      </c>
      <c r="E32" s="178">
        <v>0.96349030000000002</v>
      </c>
      <c r="F32" s="186">
        <v>0.99056670000000002</v>
      </c>
      <c r="G32" s="187">
        <v>9.4333330000000003E-3</v>
      </c>
      <c r="H32" s="187">
        <v>0</v>
      </c>
      <c r="I32" s="186" t="s">
        <v>71</v>
      </c>
      <c r="J32" s="186">
        <v>0.8295537999999999</v>
      </c>
      <c r="K32" s="186">
        <v>0.95317380000000007</v>
      </c>
      <c r="L32" s="188">
        <v>0.99150000000000005</v>
      </c>
      <c r="M32" s="197">
        <v>8.5000000000000006E-3</v>
      </c>
      <c r="N32" s="197">
        <v>0</v>
      </c>
      <c r="O32" s="188" t="s">
        <v>71</v>
      </c>
      <c r="P32" s="188">
        <v>0.81981256666666669</v>
      </c>
      <c r="Q32" s="188">
        <v>0.94558480000000011</v>
      </c>
      <c r="R32" s="199">
        <v>0.99053329999999995</v>
      </c>
      <c r="S32" s="197">
        <v>9.4666669999999998E-3</v>
      </c>
      <c r="T32" s="197">
        <v>0</v>
      </c>
    </row>
    <row r="33" spans="1:20" x14ac:dyDescent="0.2">
      <c r="A33" s="214"/>
      <c r="B33" s="167">
        <v>5</v>
      </c>
      <c r="C33" s="178" t="s">
        <v>71</v>
      </c>
      <c r="D33" s="178">
        <v>0.81998990000000005</v>
      </c>
      <c r="E33" s="178">
        <v>0.9996689333333334</v>
      </c>
      <c r="F33" s="186">
        <v>0.99163330000000005</v>
      </c>
      <c r="G33" s="187">
        <v>8.3666669999999995E-3</v>
      </c>
      <c r="H33" s="187">
        <v>0</v>
      </c>
      <c r="I33" s="186" t="s">
        <v>71</v>
      </c>
      <c r="J33" s="186">
        <v>0.8295537999999999</v>
      </c>
      <c r="K33" s="186">
        <v>0.9979866666666668</v>
      </c>
      <c r="L33" s="188">
        <v>0.99019999999999997</v>
      </c>
      <c r="M33" s="197">
        <v>9.7999999999999997E-3</v>
      </c>
      <c r="N33" s="197">
        <v>0</v>
      </c>
      <c r="O33" s="188" t="s">
        <v>71</v>
      </c>
      <c r="P33" s="188">
        <v>0.81981256666666669</v>
      </c>
      <c r="Q33" s="188">
        <v>0.9930336666666667</v>
      </c>
      <c r="R33" s="199">
        <v>0.99046670000000003</v>
      </c>
      <c r="S33" s="197">
        <v>9.5333329999999997E-3</v>
      </c>
      <c r="T33" s="197">
        <v>0</v>
      </c>
    </row>
    <row r="34" spans="1:20" x14ac:dyDescent="0.2">
      <c r="A34" s="130"/>
      <c r="B34" s="167"/>
      <c r="C34" s="198"/>
      <c r="D34" s="198"/>
      <c r="E34" s="198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</row>
    <row r="35" spans="1:20" x14ac:dyDescent="0.2">
      <c r="A35" s="214" t="s">
        <v>78</v>
      </c>
      <c r="B35" s="167">
        <v>1</v>
      </c>
      <c r="C35" s="178" t="s">
        <v>71</v>
      </c>
      <c r="D35" s="178">
        <v>0.81998990000000005</v>
      </c>
      <c r="E35" s="178">
        <v>0.85672036666666662</v>
      </c>
      <c r="F35" s="197">
        <v>0.85593330000000001</v>
      </c>
      <c r="G35" s="197">
        <v>0.14406669999999999</v>
      </c>
      <c r="H35" s="197">
        <v>0</v>
      </c>
      <c r="I35" s="197">
        <f t="shared" ref="I35:I37" si="15">L35/N35</f>
        <v>0.98774082824833143</v>
      </c>
      <c r="J35" s="197">
        <v>0.8295537999999999</v>
      </c>
      <c r="K35" s="197">
        <v>0.55573240000000002</v>
      </c>
      <c r="L35" s="197">
        <v>0.34376669999999998</v>
      </c>
      <c r="M35" s="197">
        <v>0.30819999999999997</v>
      </c>
      <c r="N35" s="197">
        <v>0.34803329999999999</v>
      </c>
      <c r="O35" s="197" t="e">
        <f>R35/T35</f>
        <v>#DIV/0!</v>
      </c>
      <c r="P35" s="197">
        <v>0.81981256666666669</v>
      </c>
      <c r="Q35" s="197">
        <v>0.82503256666666669</v>
      </c>
      <c r="R35" s="197">
        <v>9.1233330000000001E-2</v>
      </c>
      <c r="S35" s="197">
        <v>0.90876670000000004</v>
      </c>
      <c r="T35" s="197">
        <v>0</v>
      </c>
    </row>
    <row r="36" spans="1:20" x14ac:dyDescent="0.2">
      <c r="A36" s="214"/>
      <c r="B36" s="167">
        <v>2</v>
      </c>
      <c r="C36" s="198">
        <f t="shared" ref="C36:C37" si="16">F36/H36</f>
        <v>0.27072652381356493</v>
      </c>
      <c r="D36" s="198">
        <v>0.81998990000000005</v>
      </c>
      <c r="E36" s="198">
        <v>0.80736253333333341</v>
      </c>
      <c r="F36" s="197">
        <v>0.1336667</v>
      </c>
      <c r="G36" s="197">
        <v>0.37259999999999999</v>
      </c>
      <c r="H36" s="197">
        <v>0.49373329999999999</v>
      </c>
      <c r="I36" s="197">
        <f t="shared" si="15"/>
        <v>0</v>
      </c>
      <c r="J36" s="197">
        <v>0.8295537999999999</v>
      </c>
      <c r="K36" s="197">
        <v>0.80849146666666671</v>
      </c>
      <c r="L36" s="197">
        <v>0</v>
      </c>
      <c r="M36" s="197">
        <v>0.14336670000000001</v>
      </c>
      <c r="N36" s="197">
        <v>0.85663330000000004</v>
      </c>
      <c r="O36" s="197">
        <f>R36/T36</f>
        <v>3.6212077382964885</v>
      </c>
      <c r="P36" s="197">
        <v>0.81981256666666669</v>
      </c>
      <c r="Q36" s="197">
        <v>0.82496606666666672</v>
      </c>
      <c r="R36" s="197">
        <v>0.48946669999999998</v>
      </c>
      <c r="S36" s="197">
        <v>0.3753667</v>
      </c>
      <c r="T36" s="197">
        <v>0.1351667</v>
      </c>
    </row>
    <row r="37" spans="1:20" x14ac:dyDescent="0.2">
      <c r="A37" s="214"/>
      <c r="B37" s="167">
        <v>3</v>
      </c>
      <c r="C37" s="198">
        <f t="shared" si="16"/>
        <v>0.11901127485295807</v>
      </c>
      <c r="D37" s="198">
        <v>0.81998990000000005</v>
      </c>
      <c r="E37" s="198">
        <v>0.80639839999999996</v>
      </c>
      <c r="F37" s="197">
        <v>8.0566670000000007E-2</v>
      </c>
      <c r="G37" s="197">
        <v>0.24246670000000001</v>
      </c>
      <c r="H37" s="197">
        <v>0.67696670000000003</v>
      </c>
      <c r="I37" s="197">
        <f t="shared" si="15"/>
        <v>0</v>
      </c>
      <c r="J37" s="197">
        <v>0.8295537999999999</v>
      </c>
      <c r="K37" s="197">
        <v>0.80934686666666666</v>
      </c>
      <c r="L37" s="197">
        <v>0</v>
      </c>
      <c r="M37" s="197">
        <v>0.30083330000000003</v>
      </c>
      <c r="N37" s="197">
        <v>0.69916670000000003</v>
      </c>
      <c r="O37" s="197">
        <f t="shared" ref="O37" si="17">R37/T37</f>
        <v>1.2127149290700292</v>
      </c>
      <c r="P37" s="197">
        <v>0.81981256666666669</v>
      </c>
      <c r="Q37" s="197">
        <v>0.81260363333333341</v>
      </c>
      <c r="R37" s="197">
        <v>0.53856669999999995</v>
      </c>
      <c r="S37" s="197">
        <v>1.7333330000000001E-2</v>
      </c>
      <c r="T37" s="197">
        <v>0.44409999999999999</v>
      </c>
    </row>
    <row r="38" spans="1:20" x14ac:dyDescent="0.2">
      <c r="A38" s="214"/>
      <c r="B38" s="167">
        <v>4</v>
      </c>
      <c r="C38" s="178" t="s">
        <v>71</v>
      </c>
      <c r="D38" s="178">
        <v>0.81998990000000005</v>
      </c>
      <c r="E38" s="178">
        <v>0.84693033333333334</v>
      </c>
      <c r="F38" s="188">
        <v>0.96040000000000003</v>
      </c>
      <c r="G38" s="197">
        <v>3.9600000000000003E-2</v>
      </c>
      <c r="H38" s="197">
        <v>0</v>
      </c>
      <c r="I38" s="197" t="s">
        <v>71</v>
      </c>
      <c r="J38" s="197">
        <v>0.8295537999999999</v>
      </c>
      <c r="K38" s="197">
        <v>0.83542536666666667</v>
      </c>
      <c r="L38" s="197">
        <v>4.4600000000000001E-2</v>
      </c>
      <c r="M38" s="188">
        <v>0.95540000000000003</v>
      </c>
      <c r="N38" s="197">
        <v>0</v>
      </c>
      <c r="O38" s="197" t="s">
        <v>71</v>
      </c>
      <c r="P38" s="197">
        <v>0.81981256666666669</v>
      </c>
      <c r="Q38" s="197">
        <v>0.84256153333333328</v>
      </c>
      <c r="R38" s="197">
        <v>0.78353329999999999</v>
      </c>
      <c r="S38" s="197">
        <v>0.21646670000000001</v>
      </c>
      <c r="T38" s="197">
        <v>0</v>
      </c>
    </row>
    <row r="39" spans="1:20" x14ac:dyDescent="0.2">
      <c r="A39" s="214"/>
      <c r="B39" s="167">
        <v>5</v>
      </c>
      <c r="C39" s="178" t="s">
        <v>71</v>
      </c>
      <c r="D39" s="178">
        <v>0.81998990000000005</v>
      </c>
      <c r="E39" s="178">
        <v>0.87024800000000002</v>
      </c>
      <c r="F39" s="186">
        <v>0.96366669999999999</v>
      </c>
      <c r="G39" s="187">
        <v>3.6333329999999997E-2</v>
      </c>
      <c r="H39" s="187">
        <v>0</v>
      </c>
      <c r="I39" s="186" t="s">
        <v>71</v>
      </c>
      <c r="J39" s="186">
        <v>0.8295537999999999</v>
      </c>
      <c r="K39" s="186">
        <v>0.86856776666666669</v>
      </c>
      <c r="L39" s="188">
        <v>0.96146670000000001</v>
      </c>
      <c r="M39" s="197">
        <v>3.8533329999999998E-2</v>
      </c>
      <c r="N39" s="197">
        <v>0</v>
      </c>
      <c r="O39" s="188" t="s">
        <v>71</v>
      </c>
      <c r="P39" s="188">
        <v>0.81981256666666669</v>
      </c>
      <c r="Q39" s="188">
        <v>0.86845640000000002</v>
      </c>
      <c r="R39" s="188">
        <v>0.99166670000000001</v>
      </c>
      <c r="S39" s="197">
        <v>8.3333330000000001E-3</v>
      </c>
      <c r="T39" s="197">
        <v>0</v>
      </c>
    </row>
    <row r="40" spans="1:20" ht="17" thickBot="1" x14ac:dyDescent="0.25">
      <c r="A40" s="138"/>
      <c r="B40" s="115"/>
      <c r="C40" s="201"/>
      <c r="D40" s="201"/>
      <c r="E40" s="20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</row>
    <row r="41" spans="1:20" x14ac:dyDescent="0.2">
      <c r="A41" s="214" t="s">
        <v>79</v>
      </c>
      <c r="B41" s="167">
        <v>1</v>
      </c>
      <c r="C41" s="178" t="s">
        <v>71</v>
      </c>
      <c r="D41" s="178">
        <v>0.85109460000000003</v>
      </c>
      <c r="E41" s="178">
        <v>0.9671050333333332</v>
      </c>
      <c r="F41" s="188">
        <v>0.99150000000000005</v>
      </c>
      <c r="G41" s="197">
        <v>8.5000000000000006E-3</v>
      </c>
      <c r="H41" s="197">
        <v>0</v>
      </c>
      <c r="I41" s="197">
        <f t="shared" ref="I41:I43" si="18">L41/N41</f>
        <v>5.3114257413819459</v>
      </c>
      <c r="J41" s="197">
        <v>0.84863790000000006</v>
      </c>
      <c r="K41" s="197">
        <v>0.89542066666666675</v>
      </c>
      <c r="L41" s="197">
        <v>0.80273329999999998</v>
      </c>
      <c r="M41" s="197">
        <v>4.613333E-2</v>
      </c>
      <c r="N41" s="197">
        <v>0.1511333</v>
      </c>
      <c r="O41" s="197">
        <f t="shared" ref="O41:O43" si="19">R41/T41</f>
        <v>0.98447102311505763</v>
      </c>
      <c r="P41" s="197">
        <v>0.8510945333333334</v>
      </c>
      <c r="Q41" s="197">
        <v>0.84588606666666666</v>
      </c>
      <c r="R41" s="197">
        <v>0.46489999999999998</v>
      </c>
      <c r="S41" s="197">
        <v>6.2866669999999999E-2</v>
      </c>
      <c r="T41" s="197">
        <v>0.47223330000000002</v>
      </c>
    </row>
    <row r="42" spans="1:20" x14ac:dyDescent="0.2">
      <c r="A42" s="214"/>
      <c r="B42" s="167">
        <v>2</v>
      </c>
      <c r="C42" s="198">
        <f t="shared" ref="C42:C43" si="20">F42/H42</f>
        <v>0</v>
      </c>
      <c r="D42" s="198">
        <v>0.85109460000000003</v>
      </c>
      <c r="E42" s="198">
        <v>0.67097723333333337</v>
      </c>
      <c r="F42" s="197">
        <v>0</v>
      </c>
      <c r="G42" s="197">
        <v>9.1000000000000004E-3</v>
      </c>
      <c r="H42" s="197">
        <v>0.9909</v>
      </c>
      <c r="I42" s="197">
        <f t="shared" si="18"/>
        <v>0</v>
      </c>
      <c r="J42" s="197">
        <v>0.84863790000000006</v>
      </c>
      <c r="K42" s="197">
        <v>0.7171067333333333</v>
      </c>
      <c r="L42" s="197">
        <v>0</v>
      </c>
      <c r="M42" s="197">
        <v>9.6333330000000009E-3</v>
      </c>
      <c r="N42" s="188">
        <v>0.99036670000000004</v>
      </c>
      <c r="O42" s="197">
        <f t="shared" si="19"/>
        <v>0</v>
      </c>
      <c r="P42" s="197">
        <v>0.8510945333333334</v>
      </c>
      <c r="Q42" s="197">
        <v>0.74176426666666673</v>
      </c>
      <c r="R42" s="197">
        <v>0</v>
      </c>
      <c r="S42" s="197">
        <v>9.1999999999999998E-3</v>
      </c>
      <c r="T42" s="188">
        <v>0.99080000000000001</v>
      </c>
    </row>
    <row r="43" spans="1:20" x14ac:dyDescent="0.2">
      <c r="A43" s="214"/>
      <c r="B43" s="167">
        <v>3</v>
      </c>
      <c r="C43" s="198">
        <f t="shared" si="20"/>
        <v>0</v>
      </c>
      <c r="D43" s="198">
        <v>0.85109460000000003</v>
      </c>
      <c r="E43" s="198">
        <v>0.86422253333333332</v>
      </c>
      <c r="F43" s="197">
        <v>0</v>
      </c>
      <c r="G43" s="197">
        <v>7.7000000000000002E-3</v>
      </c>
      <c r="H43" s="197">
        <v>0.99229999999999996</v>
      </c>
      <c r="I43" s="197">
        <f t="shared" si="18"/>
        <v>0</v>
      </c>
      <c r="J43" s="197">
        <v>0.84863790000000006</v>
      </c>
      <c r="K43" s="197">
        <v>0.82892723333333329</v>
      </c>
      <c r="L43" s="197">
        <v>0</v>
      </c>
      <c r="M43" s="197">
        <v>8.4666670000000006E-3</v>
      </c>
      <c r="N43" s="188">
        <v>0.99153329999999995</v>
      </c>
      <c r="O43" s="197">
        <f t="shared" si="19"/>
        <v>0</v>
      </c>
      <c r="P43" s="197">
        <v>0.8510945333333334</v>
      </c>
      <c r="Q43" s="197">
        <v>0.78588673333333325</v>
      </c>
      <c r="R43" s="197">
        <v>0</v>
      </c>
      <c r="S43" s="197">
        <v>8.5333330000000006E-3</v>
      </c>
      <c r="T43" s="188">
        <v>0.99146670000000003</v>
      </c>
    </row>
    <row r="44" spans="1:20" x14ac:dyDescent="0.2">
      <c r="A44" s="214"/>
      <c r="B44" s="167">
        <v>4</v>
      </c>
      <c r="C44" s="178" t="s">
        <v>71</v>
      </c>
      <c r="D44" s="178">
        <v>0.85109460000000003</v>
      </c>
      <c r="E44" s="178">
        <v>0.94371583333333342</v>
      </c>
      <c r="F44" s="186">
        <v>0.99046670000000003</v>
      </c>
      <c r="G44" s="187">
        <v>9.5333329999999997E-3</v>
      </c>
      <c r="H44" s="187">
        <v>0</v>
      </c>
      <c r="I44" s="186" t="s">
        <v>71</v>
      </c>
      <c r="J44" s="186">
        <v>0.84863790000000006</v>
      </c>
      <c r="K44" s="186">
        <v>0.94850273333333346</v>
      </c>
      <c r="L44" s="188">
        <v>0.98986669999999999</v>
      </c>
      <c r="M44" s="197">
        <v>1.0133329999999999E-2</v>
      </c>
      <c r="N44" s="197">
        <v>0</v>
      </c>
      <c r="O44" s="197" t="s">
        <v>71</v>
      </c>
      <c r="P44" s="197">
        <v>0.8510945333333334</v>
      </c>
      <c r="Q44" s="197">
        <v>0.9419035</v>
      </c>
      <c r="R44" s="188">
        <v>0.99186669999999999</v>
      </c>
      <c r="S44" s="197">
        <v>8.1333329999999995E-3</v>
      </c>
      <c r="T44" s="197">
        <v>0</v>
      </c>
    </row>
    <row r="45" spans="1:20" x14ac:dyDescent="0.2">
      <c r="A45" s="214"/>
      <c r="B45" s="167">
        <v>5</v>
      </c>
      <c r="C45" s="178" t="s">
        <v>71</v>
      </c>
      <c r="D45" s="178">
        <v>0.85109460000000003</v>
      </c>
      <c r="E45" s="178">
        <v>0.98344506666666665</v>
      </c>
      <c r="F45" s="186">
        <v>0.99036670000000004</v>
      </c>
      <c r="G45" s="187">
        <v>9.6333330000000009E-3</v>
      </c>
      <c r="H45" s="187">
        <v>0</v>
      </c>
      <c r="I45" s="186" t="s">
        <v>71</v>
      </c>
      <c r="J45" s="186">
        <v>0.84863790000000006</v>
      </c>
      <c r="K45" s="186">
        <v>0.9338363666666667</v>
      </c>
      <c r="L45" s="188">
        <v>0.99133329999999997</v>
      </c>
      <c r="M45" s="197">
        <v>8.6666669999999994E-3</v>
      </c>
      <c r="N45" s="197">
        <v>0</v>
      </c>
      <c r="O45" s="197" t="s">
        <v>71</v>
      </c>
      <c r="P45" s="197">
        <v>0.8510945333333334</v>
      </c>
      <c r="Q45" s="197">
        <v>0.97922460000000011</v>
      </c>
      <c r="R45" s="188">
        <v>0.99136670000000005</v>
      </c>
      <c r="S45" s="197">
        <v>8.633333E-3</v>
      </c>
      <c r="T45" s="197">
        <v>0</v>
      </c>
    </row>
    <row r="46" spans="1:20" x14ac:dyDescent="0.2">
      <c r="A46" s="130"/>
      <c r="B46" s="167"/>
      <c r="C46" s="198"/>
      <c r="D46" s="198"/>
      <c r="E46" s="198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</row>
    <row r="47" spans="1:20" x14ac:dyDescent="0.2">
      <c r="A47" s="214" t="s">
        <v>80</v>
      </c>
      <c r="B47" s="167">
        <v>1</v>
      </c>
      <c r="C47" s="198">
        <f>F47/H47</f>
        <v>0.15450554045578088</v>
      </c>
      <c r="D47" s="198">
        <v>0.85109460000000003</v>
      </c>
      <c r="E47" s="198">
        <v>0.82015596666666679</v>
      </c>
      <c r="F47" s="197">
        <v>7.3899999999999993E-2</v>
      </c>
      <c r="G47" s="197">
        <v>0.44779999999999998</v>
      </c>
      <c r="H47" s="197">
        <v>0.4783</v>
      </c>
      <c r="I47" s="197">
        <f t="shared" ref="I47:I51" si="21">L47/N47</f>
        <v>0</v>
      </c>
      <c r="J47" s="197">
        <v>0.84863790000000006</v>
      </c>
      <c r="K47" s="197">
        <v>0.7825612999999999</v>
      </c>
      <c r="L47" s="197">
        <v>0</v>
      </c>
      <c r="M47" s="197">
        <v>0.58323329999999995</v>
      </c>
      <c r="N47" s="197">
        <v>0.41676669999999999</v>
      </c>
      <c r="O47" s="197" t="s">
        <v>71</v>
      </c>
      <c r="P47" s="197">
        <v>0.8510945333333334</v>
      </c>
      <c r="Q47" s="197">
        <v>0.85812576666666673</v>
      </c>
      <c r="R47" s="197">
        <v>0</v>
      </c>
      <c r="S47" s="197">
        <v>1</v>
      </c>
      <c r="T47" s="197">
        <v>0</v>
      </c>
    </row>
    <row r="48" spans="1:20" x14ac:dyDescent="0.2">
      <c r="A48" s="214"/>
      <c r="B48" s="167">
        <v>2</v>
      </c>
      <c r="C48" s="178">
        <f t="shared" ref="C48:C51" si="22">F48/H48</f>
        <v>0</v>
      </c>
      <c r="D48" s="178">
        <v>0.85109460000000003</v>
      </c>
      <c r="E48" s="178">
        <v>0.84272203333333329</v>
      </c>
      <c r="F48" s="197">
        <v>0</v>
      </c>
      <c r="G48" s="197">
        <v>0.57223329999999994</v>
      </c>
      <c r="H48" s="197">
        <v>0.4277667</v>
      </c>
      <c r="I48" s="197">
        <f t="shared" si="21"/>
        <v>0</v>
      </c>
      <c r="J48" s="197">
        <v>0.84863790000000006</v>
      </c>
      <c r="K48" s="197">
        <v>0.84095586666666666</v>
      </c>
      <c r="L48" s="197">
        <v>0</v>
      </c>
      <c r="M48" s="197">
        <v>0.67246669999999997</v>
      </c>
      <c r="N48" s="197">
        <v>0.32753330000000003</v>
      </c>
      <c r="O48" s="197">
        <f t="shared" ref="O48:O50" si="23">R48/T48</f>
        <v>0</v>
      </c>
      <c r="P48" s="197">
        <v>0.8510945333333334</v>
      </c>
      <c r="Q48" s="197">
        <v>0.83786796666666674</v>
      </c>
      <c r="R48" s="197">
        <v>0</v>
      </c>
      <c r="S48" s="197">
        <v>0.30693330000000002</v>
      </c>
      <c r="T48" s="197">
        <v>0.69306670000000004</v>
      </c>
    </row>
    <row r="49" spans="1:20" x14ac:dyDescent="0.2">
      <c r="A49" s="214"/>
      <c r="B49" s="167">
        <v>3</v>
      </c>
      <c r="C49" s="198">
        <f t="shared" si="22"/>
        <v>0</v>
      </c>
      <c r="D49" s="198">
        <v>0.85109460000000003</v>
      </c>
      <c r="E49" s="198">
        <v>0.83083753333333332</v>
      </c>
      <c r="F49" s="197">
        <v>0</v>
      </c>
      <c r="G49" s="197">
        <v>0.58063330000000002</v>
      </c>
      <c r="H49" s="197">
        <v>0.41936669999999998</v>
      </c>
      <c r="I49" s="197">
        <f t="shared" si="21"/>
        <v>0</v>
      </c>
      <c r="J49" s="197">
        <v>0.84863790000000006</v>
      </c>
      <c r="K49" s="197">
        <v>0.83298953333333337</v>
      </c>
      <c r="L49" s="197">
        <v>0</v>
      </c>
      <c r="M49" s="197">
        <v>0.67420000000000002</v>
      </c>
      <c r="N49" s="197">
        <v>0.32579999999999998</v>
      </c>
      <c r="O49" s="197">
        <f t="shared" si="23"/>
        <v>0</v>
      </c>
      <c r="P49" s="197">
        <v>0.8510945333333334</v>
      </c>
      <c r="Q49" s="197">
        <v>0.83401176666666677</v>
      </c>
      <c r="R49" s="197">
        <v>0</v>
      </c>
      <c r="S49" s="197">
        <v>0.30486669999999999</v>
      </c>
      <c r="T49" s="197">
        <v>0.69513329999999995</v>
      </c>
    </row>
    <row r="50" spans="1:20" x14ac:dyDescent="0.2">
      <c r="A50" s="214"/>
      <c r="B50" s="167">
        <v>4</v>
      </c>
      <c r="C50" s="198" t="s">
        <v>71</v>
      </c>
      <c r="D50" s="198">
        <v>0.85109460000000003</v>
      </c>
      <c r="E50" s="198">
        <v>0.86122803333333342</v>
      </c>
      <c r="F50" s="197">
        <v>0.32266669999999997</v>
      </c>
      <c r="G50" s="197">
        <v>0.67733330000000003</v>
      </c>
      <c r="H50" s="197">
        <v>0</v>
      </c>
      <c r="I50" s="197">
        <f t="shared" si="21"/>
        <v>0</v>
      </c>
      <c r="J50" s="197">
        <v>0.84863790000000006</v>
      </c>
      <c r="K50" s="197">
        <v>0.84379360000000003</v>
      </c>
      <c r="L50" s="197">
        <v>0</v>
      </c>
      <c r="M50" s="197">
        <v>0.76513330000000002</v>
      </c>
      <c r="N50" s="197">
        <v>0.23486670000000001</v>
      </c>
      <c r="O50" s="197">
        <f t="shared" si="23"/>
        <v>0.15666946308724833</v>
      </c>
      <c r="P50" s="197">
        <v>0.8510945333333334</v>
      </c>
      <c r="Q50" s="197">
        <v>0.84594926666666659</v>
      </c>
      <c r="R50" s="197">
        <v>7.4700000000000003E-2</v>
      </c>
      <c r="S50" s="197">
        <v>0.44850000000000001</v>
      </c>
      <c r="T50" s="197">
        <v>0.4768</v>
      </c>
    </row>
    <row r="51" spans="1:20" x14ac:dyDescent="0.2">
      <c r="A51" s="214"/>
      <c r="B51" s="167">
        <v>5</v>
      </c>
      <c r="C51" s="198">
        <f t="shared" si="22"/>
        <v>1.0482011366287389</v>
      </c>
      <c r="D51" s="198">
        <v>0.85109460000000003</v>
      </c>
      <c r="E51" s="198">
        <v>0.86360743333333334</v>
      </c>
      <c r="F51" s="187">
        <v>0.51176670000000002</v>
      </c>
      <c r="G51" s="187">
        <v>0.48823329999999998</v>
      </c>
      <c r="H51" s="187">
        <v>0.48823329999999998</v>
      </c>
      <c r="I51" s="187" t="e">
        <f t="shared" si="21"/>
        <v>#DIV/0!</v>
      </c>
      <c r="J51" s="187">
        <v>0.84863790000000006</v>
      </c>
      <c r="K51" s="187">
        <v>0.86750896666666666</v>
      </c>
      <c r="L51" s="197">
        <v>0.7901667</v>
      </c>
      <c r="M51" s="197">
        <v>0.2098333</v>
      </c>
      <c r="N51" s="197">
        <v>0</v>
      </c>
      <c r="O51" s="197" t="s">
        <v>71</v>
      </c>
      <c r="P51" s="197">
        <v>0.8510945333333334</v>
      </c>
      <c r="Q51" s="197">
        <v>0.87091723333333337</v>
      </c>
      <c r="R51" s="197">
        <v>0.91059999999999997</v>
      </c>
      <c r="S51" s="197">
        <v>8.9399999999999993E-2</v>
      </c>
      <c r="T51" s="197">
        <v>0</v>
      </c>
    </row>
    <row r="52" spans="1:20" ht="17" thickBot="1" x14ac:dyDescent="0.25">
      <c r="A52" s="138"/>
      <c r="B52" s="115"/>
      <c r="C52" s="201"/>
      <c r="D52" s="201"/>
      <c r="E52" s="20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</row>
    <row r="53" spans="1:20" x14ac:dyDescent="0.2">
      <c r="A53" s="214" t="s">
        <v>81</v>
      </c>
      <c r="B53" s="167">
        <v>1</v>
      </c>
      <c r="C53" s="178" t="s">
        <v>71</v>
      </c>
      <c r="D53" s="178">
        <v>0.76659536666666661</v>
      </c>
      <c r="E53" s="178">
        <v>0.99229183333333326</v>
      </c>
      <c r="F53" s="188">
        <v>0.99053329999999995</v>
      </c>
      <c r="G53" s="197">
        <v>9.4666669999999998E-3</v>
      </c>
      <c r="H53" s="197">
        <v>0</v>
      </c>
      <c r="I53" s="188" t="s">
        <v>71</v>
      </c>
      <c r="J53" s="188">
        <v>0.76203216666666673</v>
      </c>
      <c r="K53" s="188">
        <v>0.97335776666666662</v>
      </c>
      <c r="L53" s="188">
        <v>0.99056670000000002</v>
      </c>
      <c r="M53" s="197">
        <v>9.4333330000000003E-3</v>
      </c>
      <c r="N53" s="197">
        <v>0</v>
      </c>
      <c r="O53" s="188" t="s">
        <v>71</v>
      </c>
      <c r="P53" s="188">
        <v>0.76488429999999996</v>
      </c>
      <c r="Q53" s="188">
        <v>0.89481706666666672</v>
      </c>
      <c r="R53" s="188">
        <v>0.99096669999999998</v>
      </c>
      <c r="S53" s="197">
        <v>9.0333329999999993E-3</v>
      </c>
      <c r="T53" s="197">
        <v>0</v>
      </c>
    </row>
    <row r="54" spans="1:20" x14ac:dyDescent="0.2">
      <c r="A54" s="214"/>
      <c r="B54" s="167">
        <v>2</v>
      </c>
      <c r="C54" s="198">
        <f t="shared" ref="C54" si="24">F54/H54</f>
        <v>0</v>
      </c>
      <c r="D54" s="198">
        <v>0.76659536666666661</v>
      </c>
      <c r="E54" s="198">
        <v>0.61084076666666665</v>
      </c>
      <c r="F54" s="187">
        <v>0</v>
      </c>
      <c r="G54" s="187">
        <v>8.7666670000000006E-3</v>
      </c>
      <c r="H54" s="187">
        <v>0.99123329999999998</v>
      </c>
      <c r="I54" s="187">
        <f t="shared" ref="I54" si="25">L54/N54</f>
        <v>0</v>
      </c>
      <c r="J54" s="187">
        <v>0.76203216666666673</v>
      </c>
      <c r="K54" s="187">
        <v>0.55612220000000001</v>
      </c>
      <c r="L54" s="197">
        <v>0</v>
      </c>
      <c r="M54" s="197">
        <v>7.9333330000000007E-3</v>
      </c>
      <c r="N54" s="188">
        <v>0.99206669999999997</v>
      </c>
      <c r="O54" s="197">
        <f t="shared" ref="O54:O55" si="26">R54/T54</f>
        <v>0</v>
      </c>
      <c r="P54" s="197">
        <v>0.76488429999999996</v>
      </c>
      <c r="Q54" s="197">
        <v>0.5162561333333332</v>
      </c>
      <c r="R54" s="197">
        <v>0</v>
      </c>
      <c r="S54" s="197">
        <v>9.7333330000000003E-3</v>
      </c>
      <c r="T54" s="188">
        <v>0.99026670000000006</v>
      </c>
    </row>
    <row r="55" spans="1:20" x14ac:dyDescent="0.2">
      <c r="A55" s="214"/>
      <c r="B55" s="167">
        <v>3</v>
      </c>
      <c r="C55" s="178" t="s">
        <v>71</v>
      </c>
      <c r="D55" s="178">
        <v>0.76659536666666661</v>
      </c>
      <c r="E55" s="178">
        <v>0.79174953333333331</v>
      </c>
      <c r="F55" s="188">
        <v>0.96336670000000002</v>
      </c>
      <c r="G55" s="197">
        <v>3.6633329999999999E-2</v>
      </c>
      <c r="H55" s="197">
        <v>0</v>
      </c>
      <c r="I55" s="197" t="s">
        <v>71</v>
      </c>
      <c r="J55" s="197">
        <v>0.76203216666666673</v>
      </c>
      <c r="K55" s="197">
        <v>0.77145019999999997</v>
      </c>
      <c r="L55" s="197">
        <v>0.15716669999999999</v>
      </c>
      <c r="M55" s="197">
        <v>0.84283330000000001</v>
      </c>
      <c r="N55" s="197">
        <v>0</v>
      </c>
      <c r="O55" s="197">
        <f t="shared" si="26"/>
        <v>0</v>
      </c>
      <c r="P55" s="197">
        <v>0.76488429999999996</v>
      </c>
      <c r="Q55" s="197">
        <v>0.74472813333333343</v>
      </c>
      <c r="R55" s="197">
        <v>0</v>
      </c>
      <c r="S55" s="197">
        <v>9.1333330000000004E-2</v>
      </c>
      <c r="T55" s="188">
        <v>0.90866670000000005</v>
      </c>
    </row>
    <row r="56" spans="1:20" x14ac:dyDescent="0.2">
      <c r="A56" s="214"/>
      <c r="B56" s="167">
        <v>4</v>
      </c>
      <c r="C56" s="178" t="s">
        <v>71</v>
      </c>
      <c r="D56" s="178">
        <v>0.76659536666666661</v>
      </c>
      <c r="E56" s="178">
        <v>0.95741666666666669</v>
      </c>
      <c r="F56" s="186">
        <v>0.99143329999999996</v>
      </c>
      <c r="G56" s="187">
        <v>8.566667E-3</v>
      </c>
      <c r="H56" s="187">
        <v>0</v>
      </c>
      <c r="I56" s="186" t="s">
        <v>71</v>
      </c>
      <c r="J56" s="186">
        <v>0.76203216666666673</v>
      </c>
      <c r="K56" s="186">
        <v>0.94491019999999992</v>
      </c>
      <c r="L56" s="188">
        <v>0.99126669999999995</v>
      </c>
      <c r="M56" s="197">
        <v>8.7333329999999994E-3</v>
      </c>
      <c r="N56" s="197">
        <v>0</v>
      </c>
      <c r="O56" s="188" t="s">
        <v>71</v>
      </c>
      <c r="P56" s="188">
        <v>0.76488429999999996</v>
      </c>
      <c r="Q56" s="188">
        <v>0.93514546666666665</v>
      </c>
      <c r="R56" s="188">
        <v>0.99050000000000005</v>
      </c>
      <c r="S56" s="197">
        <v>9.4999999999999998E-3</v>
      </c>
      <c r="T56" s="197">
        <v>0</v>
      </c>
    </row>
    <row r="57" spans="1:20" x14ac:dyDescent="0.2">
      <c r="A57" s="214"/>
      <c r="B57" s="167">
        <v>5</v>
      </c>
      <c r="C57" s="178" t="s">
        <v>71</v>
      </c>
      <c r="D57" s="178">
        <v>0.76659536666666661</v>
      </c>
      <c r="E57" s="178">
        <v>0.9996689333333334</v>
      </c>
      <c r="F57" s="186">
        <v>0.99163330000000005</v>
      </c>
      <c r="G57" s="187">
        <v>8.3666669999999995E-3</v>
      </c>
      <c r="H57" s="187">
        <v>0</v>
      </c>
      <c r="I57" s="186" t="s">
        <v>71</v>
      </c>
      <c r="J57" s="186">
        <v>0.76203216666666673</v>
      </c>
      <c r="K57" s="186">
        <v>0.9979866666666668</v>
      </c>
      <c r="L57" s="188">
        <v>0.99073330000000004</v>
      </c>
      <c r="M57" s="197">
        <v>9.2666669999999993E-3</v>
      </c>
      <c r="N57" s="197">
        <v>0</v>
      </c>
      <c r="O57" s="188" t="s">
        <v>71</v>
      </c>
      <c r="P57" s="188">
        <v>0.76488429999999996</v>
      </c>
      <c r="Q57" s="188">
        <v>0.99212506666666667</v>
      </c>
      <c r="R57" s="188">
        <v>0.99070000000000003</v>
      </c>
      <c r="S57" s="197">
        <v>9.2999999999999992E-3</v>
      </c>
      <c r="T57" s="197">
        <v>0</v>
      </c>
    </row>
    <row r="58" spans="1:20" x14ac:dyDescent="0.2">
      <c r="A58" s="130"/>
      <c r="B58" s="167"/>
      <c r="C58" s="198"/>
      <c r="D58" s="198"/>
      <c r="E58" s="198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</row>
    <row r="59" spans="1:20" x14ac:dyDescent="0.2">
      <c r="A59" s="214" t="s">
        <v>82</v>
      </c>
      <c r="B59" s="167">
        <v>1</v>
      </c>
      <c r="C59" s="198">
        <f t="shared" ref="C59:C60" si="27">F59/H59</f>
        <v>0</v>
      </c>
      <c r="D59" s="198">
        <v>0.76659536666666661</v>
      </c>
      <c r="E59" s="198">
        <v>0.75223856666666666</v>
      </c>
      <c r="F59" s="197">
        <v>0</v>
      </c>
      <c r="G59" s="197">
        <v>0.30146669999999998</v>
      </c>
      <c r="H59" s="197">
        <v>0.69853330000000002</v>
      </c>
      <c r="I59" s="197">
        <f t="shared" ref="I59:I60" si="28">L59/N59</f>
        <v>0</v>
      </c>
      <c r="J59" s="197">
        <v>0.76203216666666673</v>
      </c>
      <c r="K59" s="197">
        <v>0.74527556666666672</v>
      </c>
      <c r="L59" s="197">
        <v>0</v>
      </c>
      <c r="M59" s="197">
        <v>8.9966669999999999E-2</v>
      </c>
      <c r="N59" s="197">
        <v>0.91003330000000004</v>
      </c>
      <c r="O59" s="197">
        <f t="shared" ref="O59:O61" si="29">R59/T59</f>
        <v>0</v>
      </c>
      <c r="P59" s="197">
        <v>0.76488429999999996</v>
      </c>
      <c r="Q59" s="197">
        <v>0.75065429999999989</v>
      </c>
      <c r="R59" s="197">
        <v>0</v>
      </c>
      <c r="S59" s="197">
        <v>0.1689667</v>
      </c>
      <c r="T59" s="197">
        <v>0.83103329999999997</v>
      </c>
    </row>
    <row r="60" spans="1:20" x14ac:dyDescent="0.2">
      <c r="A60" s="214"/>
      <c r="B60" s="167">
        <v>2</v>
      </c>
      <c r="C60" s="198">
        <f t="shared" si="27"/>
        <v>0</v>
      </c>
      <c r="D60" s="198">
        <v>0.76659536666666661</v>
      </c>
      <c r="E60" s="198">
        <v>0.61084076666666665</v>
      </c>
      <c r="F60" s="187">
        <v>0</v>
      </c>
      <c r="G60" s="187">
        <v>8.4333329999999995E-3</v>
      </c>
      <c r="H60" s="186">
        <v>0.99156670000000002</v>
      </c>
      <c r="I60" s="186">
        <f t="shared" si="28"/>
        <v>0</v>
      </c>
      <c r="J60" s="186">
        <v>0.76203216666666673</v>
      </c>
      <c r="K60" s="186">
        <v>0.58463283333333338</v>
      </c>
      <c r="L60" s="197">
        <v>0</v>
      </c>
      <c r="M60" s="197">
        <v>9.6666670000000003E-3</v>
      </c>
      <c r="N60" s="188">
        <v>0.99033329999999997</v>
      </c>
      <c r="O60" s="197">
        <f t="shared" si="29"/>
        <v>0</v>
      </c>
      <c r="P60" s="197">
        <v>0.76488429999999996</v>
      </c>
      <c r="Q60" s="197">
        <v>0.52314666666666665</v>
      </c>
      <c r="R60" s="197">
        <v>0</v>
      </c>
      <c r="S60" s="197">
        <v>1.0200000000000001E-2</v>
      </c>
      <c r="T60" s="188">
        <v>0.98980000000000001</v>
      </c>
    </row>
    <row r="61" spans="1:20" x14ac:dyDescent="0.2">
      <c r="A61" s="214"/>
      <c r="B61" s="167">
        <v>3</v>
      </c>
      <c r="C61" s="178" t="s">
        <v>71</v>
      </c>
      <c r="D61" s="178">
        <v>0.76659536666666661</v>
      </c>
      <c r="E61" s="178">
        <v>0.79174953333333331</v>
      </c>
      <c r="F61" s="188">
        <v>0.96419999999999995</v>
      </c>
      <c r="G61" s="197">
        <v>3.5799999999999998E-2</v>
      </c>
      <c r="H61" s="197">
        <v>0</v>
      </c>
      <c r="I61" s="197" t="s">
        <v>71</v>
      </c>
      <c r="J61" s="197">
        <v>0.76203216666666673</v>
      </c>
      <c r="K61" s="197">
        <v>0.77145019999999997</v>
      </c>
      <c r="L61" s="197">
        <v>0.15596670000000001</v>
      </c>
      <c r="M61" s="197">
        <v>0.84403329999999999</v>
      </c>
      <c r="N61" s="197">
        <v>0</v>
      </c>
      <c r="O61" s="197">
        <f t="shared" si="29"/>
        <v>0</v>
      </c>
      <c r="P61" s="197">
        <v>0.76488429999999996</v>
      </c>
      <c r="Q61" s="197">
        <v>0.74441060000000003</v>
      </c>
      <c r="R61" s="197">
        <v>0</v>
      </c>
      <c r="S61" s="197">
        <v>8.7499999999999994E-2</v>
      </c>
      <c r="T61" s="197">
        <v>0.91249999999999998</v>
      </c>
    </row>
    <row r="62" spans="1:20" x14ac:dyDescent="0.2">
      <c r="A62" s="214"/>
      <c r="B62" s="167">
        <v>4</v>
      </c>
      <c r="C62" s="178" t="s">
        <v>71</v>
      </c>
      <c r="D62" s="178">
        <v>0.76659536666666661</v>
      </c>
      <c r="E62" s="178">
        <v>0.95741666666666669</v>
      </c>
      <c r="F62" s="188">
        <v>0.99093330000000002</v>
      </c>
      <c r="G62" s="197">
        <v>9.0666670000000005E-3</v>
      </c>
      <c r="H62" s="197">
        <v>0</v>
      </c>
      <c r="I62" s="197" t="s">
        <v>71</v>
      </c>
      <c r="J62" s="197">
        <v>0.76203216666666673</v>
      </c>
      <c r="K62" s="197">
        <v>0.94491019999999992</v>
      </c>
      <c r="L62" s="197">
        <v>0.99123329999999998</v>
      </c>
      <c r="M62" s="197">
        <v>8.7666670000000006E-3</v>
      </c>
      <c r="N62" s="197">
        <v>0</v>
      </c>
      <c r="O62" s="188" t="s">
        <v>71</v>
      </c>
      <c r="P62" s="188">
        <v>0.76488429999999996</v>
      </c>
      <c r="Q62" s="188">
        <v>0.93514546666666665</v>
      </c>
      <c r="R62" s="188">
        <v>0.9909</v>
      </c>
      <c r="S62" s="197">
        <v>9.1000000000000004E-3</v>
      </c>
      <c r="T62" s="197">
        <v>0</v>
      </c>
    </row>
    <row r="63" spans="1:20" ht="17" thickBot="1" x14ac:dyDescent="0.25">
      <c r="A63" s="213"/>
      <c r="B63" s="115">
        <v>5</v>
      </c>
      <c r="C63" s="179" t="s">
        <v>71</v>
      </c>
      <c r="D63" s="179">
        <v>0.76659536666666661</v>
      </c>
      <c r="E63" s="179">
        <v>0.9996689333333334</v>
      </c>
      <c r="F63" s="146">
        <v>0.99063330000000005</v>
      </c>
      <c r="G63" s="148">
        <v>9.3666670000000004E-3</v>
      </c>
      <c r="H63" s="148">
        <v>0</v>
      </c>
      <c r="I63" s="146" t="s">
        <v>71</v>
      </c>
      <c r="J63" s="146">
        <v>0.76203216666666673</v>
      </c>
      <c r="K63" s="146">
        <v>0.9979866666666668</v>
      </c>
      <c r="L63" s="148">
        <v>0.99053329999999995</v>
      </c>
      <c r="M63" s="148">
        <v>9.4666669999999998E-3</v>
      </c>
      <c r="N63" s="148">
        <v>0</v>
      </c>
      <c r="O63" s="146" t="s">
        <v>71</v>
      </c>
      <c r="P63" s="146">
        <v>0.76488429999999996</v>
      </c>
      <c r="Q63" s="146">
        <v>0.99212506666666667</v>
      </c>
      <c r="R63" s="147">
        <v>0.99119999999999997</v>
      </c>
      <c r="S63" s="151">
        <v>8.8000000000000005E-3</v>
      </c>
      <c r="T63" s="151">
        <v>0</v>
      </c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3057-16E3-4640-ADA3-8A521ED531B4}">
  <dimension ref="A1:T63"/>
  <sheetViews>
    <sheetView showGridLines="0" topLeftCell="A40" workbookViewId="0">
      <selection activeCell="T63" sqref="A2:T63"/>
    </sheetView>
  </sheetViews>
  <sheetFormatPr baseColWidth="10" defaultRowHeight="16" x14ac:dyDescent="0.2"/>
  <cols>
    <col min="1" max="1" width="27.6640625" customWidth="1"/>
  </cols>
  <sheetData>
    <row r="1" spans="1:20" ht="17" thickBot="1" x14ac:dyDescent="0.25">
      <c r="A1" s="211" t="s">
        <v>202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52" thickBot="1" x14ac:dyDescent="0.25">
      <c r="A4" s="138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180</v>
      </c>
      <c r="D5" s="172">
        <v>0.8589</v>
      </c>
      <c r="E5" s="172">
        <v>0.24129999999999999</v>
      </c>
      <c r="F5" s="180"/>
      <c r="G5" s="180"/>
      <c r="H5" s="180"/>
      <c r="I5" s="181" t="s">
        <v>180</v>
      </c>
      <c r="J5" s="181">
        <v>0.86029999999999995</v>
      </c>
      <c r="K5" s="176">
        <v>0.24467649499999999</v>
      </c>
      <c r="L5" s="180"/>
      <c r="M5" s="180"/>
      <c r="N5" s="180"/>
      <c r="O5" s="181" t="s">
        <v>180</v>
      </c>
      <c r="P5" s="176">
        <v>0.8589</v>
      </c>
      <c r="Q5" s="176">
        <v>0.27389999999999998</v>
      </c>
      <c r="R5" s="180"/>
      <c r="S5" s="180"/>
      <c r="T5" s="180"/>
    </row>
    <row r="6" spans="1:20" x14ac:dyDescent="0.2">
      <c r="A6" s="214"/>
      <c r="B6" s="167">
        <v>2</v>
      </c>
      <c r="C6" s="172" t="s">
        <v>180</v>
      </c>
      <c r="D6" s="172">
        <v>0.8589</v>
      </c>
      <c r="E6" s="173">
        <v>0.38</v>
      </c>
      <c r="F6" s="180"/>
      <c r="G6" s="180"/>
      <c r="H6" s="180"/>
      <c r="I6" s="181" t="s">
        <v>180</v>
      </c>
      <c r="J6" s="181">
        <v>0.86029999999999995</v>
      </c>
      <c r="K6" s="176">
        <v>0.44209999999999999</v>
      </c>
      <c r="L6" s="180"/>
      <c r="M6" s="180"/>
      <c r="N6" s="180"/>
      <c r="O6" s="181" t="s">
        <v>180</v>
      </c>
      <c r="P6" s="176">
        <v>0.8589</v>
      </c>
      <c r="Q6" s="176">
        <v>0.4662</v>
      </c>
      <c r="R6" s="180"/>
      <c r="S6" s="180"/>
      <c r="T6" s="180"/>
    </row>
    <row r="7" spans="1:20" x14ac:dyDescent="0.2">
      <c r="A7" s="214"/>
      <c r="B7" s="167">
        <v>3</v>
      </c>
      <c r="C7" s="172" t="s">
        <v>180</v>
      </c>
      <c r="D7" s="172">
        <v>0.8589</v>
      </c>
      <c r="E7" s="172">
        <v>0.5292</v>
      </c>
      <c r="F7" s="180"/>
      <c r="G7" s="180"/>
      <c r="H7" s="180"/>
      <c r="I7" s="181" t="s">
        <v>180</v>
      </c>
      <c r="J7" s="181">
        <v>0.86029999999999995</v>
      </c>
      <c r="K7" s="176">
        <v>0.61380000000000001</v>
      </c>
      <c r="L7" s="180"/>
      <c r="M7" s="180"/>
      <c r="N7" s="180"/>
      <c r="O7" s="181" t="s">
        <v>180</v>
      </c>
      <c r="P7" s="176">
        <v>0.8589</v>
      </c>
      <c r="Q7" s="176">
        <v>0.66690000000000005</v>
      </c>
      <c r="R7" s="180"/>
      <c r="S7" s="180"/>
      <c r="T7" s="180"/>
    </row>
    <row r="8" spans="1:20" x14ac:dyDescent="0.2">
      <c r="A8" s="214"/>
      <c r="B8" s="167">
        <v>4</v>
      </c>
      <c r="C8" s="172" t="s">
        <v>180</v>
      </c>
      <c r="D8" s="172">
        <v>0.8589</v>
      </c>
      <c r="E8" s="172">
        <v>0.81740000000000002</v>
      </c>
      <c r="F8" s="180"/>
      <c r="G8" s="180"/>
      <c r="H8" s="180"/>
      <c r="I8" s="181" t="s">
        <v>180</v>
      </c>
      <c r="J8" s="181">
        <v>0.86029999999999995</v>
      </c>
      <c r="K8" s="176">
        <v>0.82320000000000004</v>
      </c>
      <c r="L8" s="180"/>
      <c r="M8" s="180"/>
      <c r="N8" s="180"/>
      <c r="O8" s="181" t="s">
        <v>180</v>
      </c>
      <c r="P8" s="176">
        <v>0.8589</v>
      </c>
      <c r="Q8" s="176">
        <v>0.83450000000000002</v>
      </c>
      <c r="R8" s="180"/>
      <c r="S8" s="180"/>
      <c r="T8" s="180"/>
    </row>
    <row r="9" spans="1:20" x14ac:dyDescent="0.2">
      <c r="A9" s="214"/>
      <c r="B9" s="167">
        <v>5</v>
      </c>
      <c r="C9" s="172" t="s">
        <v>180</v>
      </c>
      <c r="D9" s="172">
        <v>0.8589</v>
      </c>
      <c r="E9" s="172">
        <v>0.75919999999999999</v>
      </c>
      <c r="F9" s="182"/>
      <c r="G9" s="182"/>
      <c r="H9" s="182"/>
      <c r="I9" s="171" t="s">
        <v>180</v>
      </c>
      <c r="J9" s="171">
        <v>0.86029999999999995</v>
      </c>
      <c r="K9" s="170">
        <v>0.78080000000000005</v>
      </c>
      <c r="L9" s="180"/>
      <c r="M9" s="180"/>
      <c r="N9" s="180"/>
      <c r="O9" s="181" t="s">
        <v>180</v>
      </c>
      <c r="P9" s="176">
        <v>0.8589</v>
      </c>
      <c r="Q9" s="176">
        <v>0.78900000000000003</v>
      </c>
      <c r="R9" s="180"/>
      <c r="S9" s="180"/>
      <c r="T9" s="180"/>
    </row>
    <row r="10" spans="1:20" x14ac:dyDescent="0.2">
      <c r="A10" s="130"/>
      <c r="B10" s="167"/>
      <c r="C10" s="172"/>
      <c r="D10" s="172"/>
      <c r="E10" s="172"/>
      <c r="F10" s="180"/>
      <c r="G10" s="180"/>
      <c r="H10" s="180"/>
      <c r="I10" s="180"/>
      <c r="J10" s="180"/>
      <c r="K10" s="176"/>
      <c r="L10" s="180"/>
      <c r="M10" s="180"/>
      <c r="N10" s="180"/>
      <c r="O10" s="181"/>
      <c r="P10" s="176"/>
      <c r="Q10" s="176"/>
      <c r="R10" s="180"/>
      <c r="S10" s="180"/>
      <c r="T10" s="180"/>
    </row>
    <row r="11" spans="1:20" x14ac:dyDescent="0.2">
      <c r="A11" s="214" t="s">
        <v>74</v>
      </c>
      <c r="B11" s="167">
        <v>1</v>
      </c>
      <c r="C11" s="172" t="s">
        <v>181</v>
      </c>
      <c r="D11" s="172">
        <v>0.8589</v>
      </c>
      <c r="E11" s="172">
        <v>0.90739999999999998</v>
      </c>
      <c r="F11" s="180"/>
      <c r="G11" s="180"/>
      <c r="H11" s="180"/>
      <c r="I11" s="180" t="s">
        <v>181</v>
      </c>
      <c r="J11" s="180">
        <v>0.86029999999999995</v>
      </c>
      <c r="K11" s="176">
        <v>0.91569999999999996</v>
      </c>
      <c r="L11" s="180"/>
      <c r="M11" s="180"/>
      <c r="N11" s="180"/>
      <c r="O11" s="181" t="s">
        <v>181</v>
      </c>
      <c r="P11" s="176">
        <v>0.8589</v>
      </c>
      <c r="Q11" s="176">
        <v>0.92390000000000005</v>
      </c>
      <c r="R11" s="180"/>
      <c r="S11" s="180"/>
      <c r="T11" s="180"/>
    </row>
    <row r="12" spans="1:20" x14ac:dyDescent="0.2">
      <c r="A12" s="214"/>
      <c r="B12" s="167">
        <v>2</v>
      </c>
      <c r="C12" s="172" t="s">
        <v>181</v>
      </c>
      <c r="D12" s="172">
        <v>0.8589</v>
      </c>
      <c r="E12" s="172">
        <v>0.90680000000000005</v>
      </c>
      <c r="F12" s="180"/>
      <c r="G12" s="180"/>
      <c r="H12" s="180"/>
      <c r="I12" s="181" t="s">
        <v>181</v>
      </c>
      <c r="J12" s="181">
        <v>0.86029999999999995</v>
      </c>
      <c r="K12" s="176">
        <v>0.91810000000000003</v>
      </c>
      <c r="L12" s="180"/>
      <c r="M12" s="183"/>
      <c r="N12" s="180"/>
      <c r="O12" s="181" t="s">
        <v>181</v>
      </c>
      <c r="P12" s="176">
        <v>0.8589</v>
      </c>
      <c r="Q12" s="176">
        <v>0.92659999999999998</v>
      </c>
      <c r="R12" s="180"/>
      <c r="S12" s="180"/>
      <c r="T12" s="180"/>
    </row>
    <row r="13" spans="1:20" x14ac:dyDescent="0.2">
      <c r="A13" s="214"/>
      <c r="B13" s="167">
        <v>3</v>
      </c>
      <c r="C13" s="172" t="s">
        <v>181</v>
      </c>
      <c r="D13" s="172">
        <v>0.8589</v>
      </c>
      <c r="E13" s="172">
        <v>0.90359999999999996</v>
      </c>
      <c r="F13" s="180"/>
      <c r="G13" s="180"/>
      <c r="H13" s="180"/>
      <c r="I13" s="181" t="s">
        <v>181</v>
      </c>
      <c r="J13" s="181">
        <v>0.86029999999999995</v>
      </c>
      <c r="K13" s="176">
        <v>0.90800000000000003</v>
      </c>
      <c r="L13" s="180"/>
      <c r="M13" s="180"/>
      <c r="N13" s="180"/>
      <c r="O13" s="181" t="s">
        <v>181</v>
      </c>
      <c r="P13" s="176">
        <v>0.8589</v>
      </c>
      <c r="Q13" s="176">
        <v>0.91669999999999996</v>
      </c>
      <c r="R13" s="180"/>
      <c r="S13" s="180"/>
      <c r="T13" s="180"/>
    </row>
    <row r="14" spans="1:20" x14ac:dyDescent="0.2">
      <c r="A14" s="214"/>
      <c r="B14" s="167">
        <v>4</v>
      </c>
      <c r="C14" s="172" t="s">
        <v>181</v>
      </c>
      <c r="D14" s="172">
        <v>0.8589</v>
      </c>
      <c r="E14" s="172">
        <v>0.87270000000000003</v>
      </c>
      <c r="F14" s="182"/>
      <c r="G14" s="182"/>
      <c r="H14" s="182"/>
      <c r="I14" s="171" t="s">
        <v>181</v>
      </c>
      <c r="J14" s="171">
        <v>0.86029999999999995</v>
      </c>
      <c r="K14" s="170">
        <v>0.89029999999999998</v>
      </c>
      <c r="L14" s="180"/>
      <c r="M14" s="180"/>
      <c r="N14" s="180"/>
      <c r="O14" s="181" t="s">
        <v>181</v>
      </c>
      <c r="P14" s="176">
        <v>0.8589</v>
      </c>
      <c r="Q14" s="176">
        <v>0.87570000000000003</v>
      </c>
      <c r="R14" s="180"/>
      <c r="S14" s="180"/>
      <c r="T14" s="180"/>
    </row>
    <row r="15" spans="1:20" x14ac:dyDescent="0.2">
      <c r="A15" s="214"/>
      <c r="B15" s="167">
        <v>5</v>
      </c>
      <c r="C15" s="172" t="s">
        <v>181</v>
      </c>
      <c r="D15" s="172">
        <v>0.8589</v>
      </c>
      <c r="E15" s="172">
        <v>0.84889999999999999</v>
      </c>
      <c r="F15" s="182"/>
      <c r="G15" s="182"/>
      <c r="H15" s="182"/>
      <c r="I15" s="171" t="s">
        <v>180</v>
      </c>
      <c r="J15" s="171">
        <v>0.86029999999999995</v>
      </c>
      <c r="K15" s="170">
        <v>0.84789999999999999</v>
      </c>
      <c r="L15" s="180"/>
      <c r="M15" s="180"/>
      <c r="N15" s="180"/>
      <c r="O15" s="181" t="s">
        <v>181</v>
      </c>
      <c r="P15" s="176">
        <v>0.8589</v>
      </c>
      <c r="Q15" s="176">
        <v>0.86919999999999997</v>
      </c>
      <c r="R15" s="180"/>
      <c r="S15" s="180"/>
      <c r="T15" s="180"/>
    </row>
    <row r="16" spans="1:20" ht="17" thickBot="1" x14ac:dyDescent="0.25">
      <c r="A16" s="138"/>
      <c r="B16" s="115"/>
      <c r="C16" s="114"/>
      <c r="D16" s="114"/>
      <c r="E16" s="114"/>
      <c r="F16" s="152"/>
      <c r="G16" s="152"/>
      <c r="H16" s="152"/>
      <c r="I16" s="152"/>
      <c r="J16" s="152"/>
      <c r="K16" s="165"/>
      <c r="L16" s="152"/>
      <c r="M16" s="152"/>
      <c r="N16" s="152"/>
      <c r="O16" s="152"/>
      <c r="P16" s="165"/>
      <c r="Q16" s="165"/>
      <c r="R16" s="152"/>
      <c r="S16" s="152"/>
      <c r="T16" s="152"/>
    </row>
    <row r="17" spans="1:20" x14ac:dyDescent="0.2">
      <c r="A17" s="214" t="s">
        <v>75</v>
      </c>
      <c r="B17" s="167">
        <v>1</v>
      </c>
      <c r="C17" s="172" t="s">
        <v>180</v>
      </c>
      <c r="D17" s="173">
        <v>0.82699999999999996</v>
      </c>
      <c r="E17" s="172">
        <v>0.30759999999999998</v>
      </c>
      <c r="F17" s="180"/>
      <c r="G17" s="180"/>
      <c r="H17" s="180"/>
      <c r="I17" s="181" t="s">
        <v>180</v>
      </c>
      <c r="J17" s="181">
        <v>0.82589999999999997</v>
      </c>
      <c r="K17" s="176">
        <v>0.35249999999999998</v>
      </c>
      <c r="L17" s="180"/>
      <c r="M17" s="180"/>
      <c r="N17" s="180"/>
      <c r="O17" s="181" t="s">
        <v>180</v>
      </c>
      <c r="P17" s="176">
        <v>0.82699999999999996</v>
      </c>
      <c r="Q17" s="176">
        <v>0.37740000000000001</v>
      </c>
      <c r="R17" s="180"/>
      <c r="S17" s="180"/>
      <c r="T17" s="180"/>
    </row>
    <row r="18" spans="1:20" x14ac:dyDescent="0.2">
      <c r="A18" s="214"/>
      <c r="B18" s="167">
        <v>2</v>
      </c>
      <c r="C18" s="172" t="s">
        <v>180</v>
      </c>
      <c r="D18" s="173">
        <v>0.82699999999999996</v>
      </c>
      <c r="E18" s="172">
        <v>0.3135</v>
      </c>
      <c r="F18" s="180"/>
      <c r="G18" s="180"/>
      <c r="H18" s="180"/>
      <c r="I18" s="181" t="s">
        <v>180</v>
      </c>
      <c r="J18" s="181">
        <v>0.82589999999999997</v>
      </c>
      <c r="K18" s="176">
        <v>0.35460000000000003</v>
      </c>
      <c r="L18" s="180"/>
      <c r="M18" s="180"/>
      <c r="N18" s="180"/>
      <c r="O18" s="181" t="s">
        <v>180</v>
      </c>
      <c r="P18" s="176">
        <v>0.82699999999999996</v>
      </c>
      <c r="Q18" s="176">
        <v>0.37740000000000001</v>
      </c>
      <c r="R18" s="180"/>
      <c r="S18" s="180"/>
      <c r="T18" s="180"/>
    </row>
    <row r="19" spans="1:20" x14ac:dyDescent="0.2">
      <c r="A19" s="214"/>
      <c r="B19" s="167">
        <v>3</v>
      </c>
      <c r="C19" s="172" t="s">
        <v>180</v>
      </c>
      <c r="D19" s="173">
        <v>0.82699999999999996</v>
      </c>
      <c r="E19" s="173">
        <v>0.73599999999999999</v>
      </c>
      <c r="F19" s="180"/>
      <c r="G19" s="180"/>
      <c r="H19" s="180"/>
      <c r="I19" s="181" t="s">
        <v>180</v>
      </c>
      <c r="J19" s="181">
        <v>0.82589999999999997</v>
      </c>
      <c r="K19" s="176">
        <v>0.74409999999999998</v>
      </c>
      <c r="L19" s="180"/>
      <c r="M19" s="180"/>
      <c r="N19" s="180"/>
      <c r="O19" s="181" t="s">
        <v>180</v>
      </c>
      <c r="P19" s="176">
        <v>0.82699999999999996</v>
      </c>
      <c r="Q19" s="176">
        <v>0.76590000000000003</v>
      </c>
      <c r="R19" s="180"/>
      <c r="S19" s="180"/>
      <c r="T19" s="180"/>
    </row>
    <row r="20" spans="1:20" x14ac:dyDescent="0.2">
      <c r="A20" s="214"/>
      <c r="B20" s="167">
        <v>4</v>
      </c>
      <c r="C20" s="172" t="s">
        <v>180</v>
      </c>
      <c r="D20" s="173">
        <v>0.82699999999999996</v>
      </c>
      <c r="E20" s="172">
        <v>0.77329999999999999</v>
      </c>
      <c r="F20" s="182"/>
      <c r="G20" s="182"/>
      <c r="H20" s="182"/>
      <c r="I20" s="171" t="s">
        <v>180</v>
      </c>
      <c r="J20" s="171">
        <v>0.82589999999999997</v>
      </c>
      <c r="K20" s="170">
        <v>0.77280000000000004</v>
      </c>
      <c r="L20" s="180"/>
      <c r="M20" s="180"/>
      <c r="N20" s="180"/>
      <c r="O20" s="181" t="s">
        <v>180</v>
      </c>
      <c r="P20" s="176">
        <v>0.82699999999999996</v>
      </c>
      <c r="Q20" s="176">
        <v>0.76400000000000001</v>
      </c>
      <c r="R20" s="180"/>
      <c r="S20" s="180"/>
      <c r="T20" s="180"/>
    </row>
    <row r="21" spans="1:20" x14ac:dyDescent="0.2">
      <c r="A21" s="214"/>
      <c r="B21" s="167">
        <v>5</v>
      </c>
      <c r="C21" s="172" t="s">
        <v>181</v>
      </c>
      <c r="D21" s="173">
        <v>0.82699999999999996</v>
      </c>
      <c r="E21" s="172">
        <v>0.75919999999999999</v>
      </c>
      <c r="F21" s="182"/>
      <c r="G21" s="182"/>
      <c r="H21" s="182"/>
      <c r="I21" s="171" t="s">
        <v>180</v>
      </c>
      <c r="J21" s="171">
        <v>0.82589999999999997</v>
      </c>
      <c r="K21" s="170">
        <v>0.75919999999999999</v>
      </c>
      <c r="L21" s="183"/>
      <c r="M21" s="180"/>
      <c r="N21" s="180"/>
      <c r="O21" s="180" t="s">
        <v>180</v>
      </c>
      <c r="P21" s="176">
        <v>0.82699999999999996</v>
      </c>
      <c r="Q21" s="176">
        <v>0.75919999999999999</v>
      </c>
      <c r="R21" s="180"/>
      <c r="S21" s="180"/>
      <c r="T21" s="180"/>
    </row>
    <row r="22" spans="1:20" x14ac:dyDescent="0.2">
      <c r="A22" s="130"/>
      <c r="B22" s="167"/>
      <c r="C22" s="172"/>
      <c r="D22" s="173"/>
      <c r="E22" s="172"/>
      <c r="F22" s="180"/>
      <c r="G22" s="180"/>
      <c r="H22" s="180"/>
      <c r="I22" s="180"/>
      <c r="J22" s="180"/>
      <c r="K22" s="176"/>
      <c r="L22" s="180"/>
      <c r="M22" s="180"/>
      <c r="N22" s="180"/>
      <c r="O22" s="181"/>
      <c r="P22" s="176"/>
      <c r="Q22" s="176"/>
      <c r="R22" s="180"/>
      <c r="S22" s="180"/>
      <c r="T22" s="180"/>
    </row>
    <row r="23" spans="1:20" x14ac:dyDescent="0.2">
      <c r="A23" s="214" t="s">
        <v>76</v>
      </c>
      <c r="B23" s="167">
        <v>1</v>
      </c>
      <c r="C23" s="172" t="s">
        <v>180</v>
      </c>
      <c r="D23" s="173">
        <v>0.82699999999999996</v>
      </c>
      <c r="E23" s="173">
        <v>0.85</v>
      </c>
      <c r="F23" s="180"/>
      <c r="G23" s="180"/>
      <c r="H23" s="180"/>
      <c r="I23" s="181" t="s">
        <v>181</v>
      </c>
      <c r="J23" s="181">
        <v>0.82589999999999997</v>
      </c>
      <c r="K23" s="176">
        <v>0.85740000000000005</v>
      </c>
      <c r="L23" s="180"/>
      <c r="M23" s="180"/>
      <c r="N23" s="180"/>
      <c r="O23" s="181" t="s">
        <v>181</v>
      </c>
      <c r="P23" s="176">
        <v>0.82699999999999996</v>
      </c>
      <c r="Q23" s="176">
        <v>0.86040000000000005</v>
      </c>
      <c r="R23" s="180"/>
      <c r="S23" s="180"/>
      <c r="T23" s="180"/>
    </row>
    <row r="24" spans="1:20" x14ac:dyDescent="0.2">
      <c r="A24" s="214"/>
      <c r="B24" s="167">
        <v>2</v>
      </c>
      <c r="C24" s="172" t="s">
        <v>180</v>
      </c>
      <c r="D24" s="173">
        <v>0.82699999999999996</v>
      </c>
      <c r="E24" s="172">
        <v>0.8548</v>
      </c>
      <c r="F24" s="180"/>
      <c r="G24" s="180"/>
      <c r="H24" s="180"/>
      <c r="I24" s="181" t="s">
        <v>181</v>
      </c>
      <c r="J24" s="181">
        <v>0.82589999999999997</v>
      </c>
      <c r="K24" s="176">
        <v>0.86109999999999998</v>
      </c>
      <c r="L24" s="180"/>
      <c r="M24" s="180"/>
      <c r="N24" s="180"/>
      <c r="O24" s="181" t="s">
        <v>181</v>
      </c>
      <c r="P24" s="176">
        <v>0.82699999999999996</v>
      </c>
      <c r="Q24" s="176">
        <v>0.86570000000000003</v>
      </c>
      <c r="R24" s="180"/>
      <c r="S24" s="180"/>
      <c r="T24" s="180"/>
    </row>
    <row r="25" spans="1:20" x14ac:dyDescent="0.2">
      <c r="A25" s="214"/>
      <c r="B25" s="167">
        <v>3</v>
      </c>
      <c r="C25" s="172" t="s">
        <v>180</v>
      </c>
      <c r="D25" s="173">
        <v>0.82699999999999996</v>
      </c>
      <c r="E25" s="172">
        <v>0.84550000000000003</v>
      </c>
      <c r="F25" s="180"/>
      <c r="G25" s="180"/>
      <c r="H25" s="180"/>
      <c r="I25" s="181" t="s">
        <v>181</v>
      </c>
      <c r="J25" s="181">
        <v>0.82589999999999997</v>
      </c>
      <c r="K25" s="176">
        <v>0.85009999999999997</v>
      </c>
      <c r="L25" s="180"/>
      <c r="M25" s="180"/>
      <c r="N25" s="180"/>
      <c r="O25" s="181" t="s">
        <v>181</v>
      </c>
      <c r="P25" s="176">
        <v>0.82699999999999996</v>
      </c>
      <c r="Q25" s="176">
        <v>0.85040000000000004</v>
      </c>
      <c r="R25" s="180"/>
      <c r="S25" s="180"/>
      <c r="T25" s="180"/>
    </row>
    <row r="26" spans="1:20" x14ac:dyDescent="0.2">
      <c r="A26" s="214"/>
      <c r="B26" s="167">
        <v>4</v>
      </c>
      <c r="C26" s="172" t="s">
        <v>181</v>
      </c>
      <c r="D26" s="173">
        <v>0.82699999999999996</v>
      </c>
      <c r="E26" s="173">
        <v>0.81399999999999995</v>
      </c>
      <c r="F26" s="180"/>
      <c r="G26" s="180"/>
      <c r="H26" s="180"/>
      <c r="I26" s="181" t="s">
        <v>180</v>
      </c>
      <c r="J26" s="181">
        <v>0.82589999999999997</v>
      </c>
      <c r="K26" s="176">
        <v>0.82020000000000004</v>
      </c>
      <c r="L26" s="180"/>
      <c r="M26" s="180" t="s">
        <v>86</v>
      </c>
      <c r="N26" s="180"/>
      <c r="O26" s="181" t="s">
        <v>181</v>
      </c>
      <c r="P26" s="176">
        <v>0.82699999999999996</v>
      </c>
      <c r="Q26" s="176">
        <v>0.82310000000000005</v>
      </c>
      <c r="R26" s="180"/>
      <c r="S26" s="180"/>
      <c r="T26" s="180"/>
    </row>
    <row r="27" spans="1:20" x14ac:dyDescent="0.2">
      <c r="A27" s="214"/>
      <c r="B27" s="167">
        <v>5</v>
      </c>
      <c r="C27" s="172" t="s">
        <v>181</v>
      </c>
      <c r="D27" s="173">
        <v>0.82699999999999996</v>
      </c>
      <c r="E27" s="172">
        <v>0.83740000000000003</v>
      </c>
      <c r="F27" s="182"/>
      <c r="G27" s="182" t="s">
        <v>86</v>
      </c>
      <c r="H27" s="182"/>
      <c r="I27" s="171" t="s">
        <v>180</v>
      </c>
      <c r="J27" s="171">
        <v>0.82589999999999997</v>
      </c>
      <c r="K27" s="170">
        <v>0.8488</v>
      </c>
      <c r="L27" s="180"/>
      <c r="M27" s="180"/>
      <c r="N27" s="180"/>
      <c r="O27" s="180" t="s">
        <v>181</v>
      </c>
      <c r="P27" s="176">
        <v>0.82699999999999996</v>
      </c>
      <c r="Q27" s="176">
        <v>0.85289999999999999</v>
      </c>
      <c r="R27" s="180"/>
      <c r="S27" s="180"/>
      <c r="T27" s="180"/>
    </row>
    <row r="28" spans="1:20" ht="17" thickBot="1" x14ac:dyDescent="0.25">
      <c r="A28" s="138"/>
      <c r="B28" s="115"/>
      <c r="C28" s="114"/>
      <c r="D28" s="114"/>
      <c r="E28" s="114"/>
      <c r="F28" s="152"/>
      <c r="G28" s="152"/>
      <c r="H28" s="152"/>
      <c r="I28" s="152"/>
      <c r="J28" s="152"/>
      <c r="K28" s="165"/>
      <c r="L28" s="152"/>
      <c r="M28" s="152"/>
      <c r="N28" s="152"/>
      <c r="O28" s="152"/>
      <c r="P28" s="165"/>
      <c r="Q28" s="165"/>
      <c r="R28" s="152"/>
      <c r="S28" s="152"/>
      <c r="T28" s="152"/>
    </row>
    <row r="29" spans="1:20" x14ac:dyDescent="0.2">
      <c r="A29" s="214" t="s">
        <v>77</v>
      </c>
      <c r="B29" s="167">
        <v>1</v>
      </c>
      <c r="C29" s="172" t="s">
        <v>180</v>
      </c>
      <c r="D29" s="172">
        <v>0.75919999999999999</v>
      </c>
      <c r="E29" s="172">
        <v>0.24079999999999999</v>
      </c>
      <c r="F29" s="183"/>
      <c r="G29" s="180"/>
      <c r="H29" s="180"/>
      <c r="I29" s="6" t="s">
        <v>180</v>
      </c>
      <c r="J29" s="6">
        <v>0.81120000000000003</v>
      </c>
      <c r="K29" s="80">
        <v>0.24079999999999999</v>
      </c>
      <c r="L29" s="183"/>
      <c r="M29" s="180"/>
      <c r="N29" s="180"/>
      <c r="O29" s="181" t="s">
        <v>180</v>
      </c>
      <c r="P29" s="176">
        <v>0.80510000000000004</v>
      </c>
      <c r="Q29" s="176">
        <v>0.24079999999999999</v>
      </c>
      <c r="R29" s="183"/>
      <c r="S29" s="180"/>
      <c r="T29" s="180"/>
    </row>
    <row r="30" spans="1:20" x14ac:dyDescent="0.2">
      <c r="A30" s="214"/>
      <c r="B30" s="167">
        <v>2</v>
      </c>
      <c r="C30" s="172" t="s">
        <v>180</v>
      </c>
      <c r="D30" s="172">
        <v>0.75919999999999999</v>
      </c>
      <c r="E30" s="173">
        <v>0.30599999999999999</v>
      </c>
      <c r="F30" s="180"/>
      <c r="G30" s="180"/>
      <c r="H30" s="180"/>
      <c r="I30" s="181" t="s">
        <v>180</v>
      </c>
      <c r="J30" s="181">
        <v>0.81120000000000003</v>
      </c>
      <c r="K30" s="176">
        <v>0.79400000000000004</v>
      </c>
      <c r="L30" s="180"/>
      <c r="M30" s="180"/>
      <c r="N30" s="180"/>
      <c r="O30" s="181" t="s">
        <v>180</v>
      </c>
      <c r="P30" s="176">
        <v>0.80510000000000004</v>
      </c>
      <c r="Q30" s="176">
        <v>0.49299999999999999</v>
      </c>
      <c r="R30" s="180"/>
      <c r="S30" s="180"/>
      <c r="T30" s="180"/>
    </row>
    <row r="31" spans="1:20" x14ac:dyDescent="0.2">
      <c r="A31" s="214"/>
      <c r="B31" s="167">
        <v>3</v>
      </c>
      <c r="C31" s="172" t="s">
        <v>180</v>
      </c>
      <c r="D31" s="172">
        <v>0.75919999999999999</v>
      </c>
      <c r="E31" s="172">
        <v>0.50260000000000005</v>
      </c>
      <c r="F31" s="180"/>
      <c r="G31" s="180"/>
      <c r="H31" s="180"/>
      <c r="I31" s="181" t="s">
        <v>180</v>
      </c>
      <c r="J31" s="181">
        <v>0.81120000000000003</v>
      </c>
      <c r="K31" s="176">
        <v>0.79210000000000003</v>
      </c>
      <c r="L31" s="180"/>
      <c r="M31" s="180"/>
      <c r="N31" s="180"/>
      <c r="O31" s="181" t="s">
        <v>180</v>
      </c>
      <c r="P31" s="176">
        <v>0.80510000000000004</v>
      </c>
      <c r="Q31" s="176">
        <v>0.74390000000000001</v>
      </c>
      <c r="R31" s="180"/>
      <c r="S31" s="180"/>
      <c r="T31" s="180"/>
    </row>
    <row r="32" spans="1:20" x14ac:dyDescent="0.2">
      <c r="A32" s="214"/>
      <c r="B32" s="167">
        <v>4</v>
      </c>
      <c r="C32" s="172" t="s">
        <v>181</v>
      </c>
      <c r="D32" s="172">
        <v>0.75919999999999999</v>
      </c>
      <c r="E32" s="172">
        <v>0.78779999999999994</v>
      </c>
      <c r="F32" s="182"/>
      <c r="G32" s="182"/>
      <c r="H32" s="182"/>
      <c r="I32" s="171" t="s">
        <v>180</v>
      </c>
      <c r="J32" s="171">
        <v>0.81120000000000003</v>
      </c>
      <c r="K32" s="170">
        <v>0.79079999999999995</v>
      </c>
      <c r="L32" s="180"/>
      <c r="M32" s="180"/>
      <c r="N32" s="180"/>
      <c r="O32" s="181" t="s">
        <v>180</v>
      </c>
      <c r="P32" s="176">
        <v>0.80510000000000004</v>
      </c>
      <c r="Q32" s="176">
        <v>0.75919999999999999</v>
      </c>
      <c r="R32" s="180"/>
      <c r="S32" s="180"/>
      <c r="T32" s="180"/>
    </row>
    <row r="33" spans="1:20" x14ac:dyDescent="0.2">
      <c r="A33" s="214"/>
      <c r="B33" s="167">
        <v>5</v>
      </c>
      <c r="C33" s="172" t="s">
        <v>181</v>
      </c>
      <c r="D33" s="172">
        <v>0.75919999999999999</v>
      </c>
      <c r="E33" s="172">
        <v>0.75919999999999999</v>
      </c>
      <c r="F33" s="182"/>
      <c r="G33" s="182" t="s">
        <v>86</v>
      </c>
      <c r="H33" s="182"/>
      <c r="I33" s="171" t="s">
        <v>180</v>
      </c>
      <c r="J33" s="171">
        <v>0.81120000000000003</v>
      </c>
      <c r="K33" s="170">
        <v>0.75919999999999999</v>
      </c>
      <c r="L33" s="180"/>
      <c r="M33" s="180"/>
      <c r="N33" s="180"/>
      <c r="O33" s="181" t="s">
        <v>180</v>
      </c>
      <c r="P33" s="176">
        <v>0.80510000000000004</v>
      </c>
      <c r="Q33" s="176">
        <v>0.77900000000000003</v>
      </c>
      <c r="R33" s="180"/>
      <c r="S33" s="180"/>
      <c r="T33" s="180"/>
    </row>
    <row r="34" spans="1:20" x14ac:dyDescent="0.2">
      <c r="A34" s="130"/>
      <c r="B34" s="167"/>
      <c r="C34" s="172"/>
      <c r="D34" s="172"/>
      <c r="E34" s="172"/>
      <c r="F34" s="180"/>
      <c r="G34" s="180"/>
      <c r="H34" s="180"/>
      <c r="I34" s="180"/>
      <c r="J34" s="180"/>
      <c r="K34" s="176"/>
      <c r="L34" s="180"/>
      <c r="M34" s="180"/>
      <c r="N34" s="180"/>
      <c r="O34" s="180"/>
      <c r="P34" s="176"/>
      <c r="Q34" s="176"/>
      <c r="R34" s="180"/>
      <c r="S34" s="180"/>
      <c r="T34" s="180"/>
    </row>
    <row r="35" spans="1:20" x14ac:dyDescent="0.2">
      <c r="A35" s="214" t="s">
        <v>78</v>
      </c>
      <c r="B35" s="167">
        <v>1</v>
      </c>
      <c r="C35" s="172" t="s">
        <v>181</v>
      </c>
      <c r="D35" s="172">
        <v>0.75919999999999999</v>
      </c>
      <c r="E35" s="173">
        <v>0.83</v>
      </c>
      <c r="F35" s="180"/>
      <c r="G35" s="180"/>
      <c r="H35" s="180"/>
      <c r="I35" s="181" t="s">
        <v>180</v>
      </c>
      <c r="J35" s="181">
        <v>0.81120000000000003</v>
      </c>
      <c r="K35" s="176">
        <v>0.78739999999999999</v>
      </c>
      <c r="L35" s="180"/>
      <c r="M35" s="180"/>
      <c r="N35" s="180"/>
      <c r="O35" s="181" t="s">
        <v>181</v>
      </c>
      <c r="P35" s="176">
        <v>0.80510000000000004</v>
      </c>
      <c r="Q35" s="176">
        <v>0.79869999999999997</v>
      </c>
      <c r="R35" s="180"/>
      <c r="S35" s="180" t="s">
        <v>86</v>
      </c>
      <c r="T35" s="180"/>
    </row>
    <row r="36" spans="1:20" x14ac:dyDescent="0.2">
      <c r="A36" s="214"/>
      <c r="B36" s="167">
        <v>2</v>
      </c>
      <c r="C36" s="172" t="s">
        <v>181</v>
      </c>
      <c r="D36" s="172">
        <v>0.75919999999999999</v>
      </c>
      <c r="E36" s="172">
        <v>0.75919999999999999</v>
      </c>
      <c r="F36" s="180"/>
      <c r="G36" s="180" t="s">
        <v>86</v>
      </c>
      <c r="H36" s="180"/>
      <c r="I36" s="181" t="s">
        <v>180</v>
      </c>
      <c r="J36" s="181">
        <v>0.81120000000000003</v>
      </c>
      <c r="K36" s="176">
        <v>0.79700000000000004</v>
      </c>
      <c r="L36" s="180"/>
      <c r="M36" s="180"/>
      <c r="N36" s="180"/>
      <c r="O36" s="181" t="s">
        <v>181</v>
      </c>
      <c r="P36" s="176">
        <v>0.80510000000000004</v>
      </c>
      <c r="Q36" s="176">
        <v>0.80030000000000001</v>
      </c>
      <c r="R36" s="180"/>
      <c r="S36" s="180" t="s">
        <v>86</v>
      </c>
      <c r="T36" s="180"/>
    </row>
    <row r="37" spans="1:20" x14ac:dyDescent="0.2">
      <c r="A37" s="214"/>
      <c r="B37" s="167">
        <v>3</v>
      </c>
      <c r="C37" s="172" t="s">
        <v>181</v>
      </c>
      <c r="D37" s="172">
        <v>0.75919999999999999</v>
      </c>
      <c r="E37" s="172">
        <v>0.7893</v>
      </c>
      <c r="F37" s="180"/>
      <c r="G37" s="180"/>
      <c r="H37" s="180"/>
      <c r="I37" s="181" t="s">
        <v>180</v>
      </c>
      <c r="J37" s="181">
        <v>0.81120000000000003</v>
      </c>
      <c r="K37" s="176">
        <v>0.80210000000000004</v>
      </c>
      <c r="L37" s="180"/>
      <c r="M37" s="180"/>
      <c r="N37" s="180"/>
      <c r="O37" s="181" t="s">
        <v>181</v>
      </c>
      <c r="P37" s="176">
        <v>0.80510000000000004</v>
      </c>
      <c r="Q37" s="176">
        <v>0.80100000000000005</v>
      </c>
      <c r="R37" s="180"/>
      <c r="S37" s="180" t="s">
        <v>86</v>
      </c>
      <c r="T37" s="180"/>
    </row>
    <row r="38" spans="1:20" x14ac:dyDescent="0.2">
      <c r="A38" s="214"/>
      <c r="B38" s="167">
        <v>4</v>
      </c>
      <c r="C38" s="172" t="s">
        <v>180</v>
      </c>
      <c r="D38" s="172">
        <v>0.75919999999999999</v>
      </c>
      <c r="E38" s="172">
        <v>0.70540000000000003</v>
      </c>
      <c r="F38" s="180"/>
      <c r="G38" s="180"/>
      <c r="H38" s="180"/>
      <c r="I38" s="181" t="s">
        <v>180</v>
      </c>
      <c r="J38" s="181">
        <v>0.81120000000000003</v>
      </c>
      <c r="K38" s="176">
        <v>0.78790000000000004</v>
      </c>
      <c r="L38" s="180"/>
      <c r="M38" s="180"/>
      <c r="N38" s="180"/>
      <c r="O38" s="181" t="s">
        <v>181</v>
      </c>
      <c r="P38" s="176">
        <v>0.80510000000000004</v>
      </c>
      <c r="Q38" s="176">
        <v>0.80069999999999997</v>
      </c>
      <c r="R38" s="180"/>
      <c r="S38" s="180" t="s">
        <v>86</v>
      </c>
      <c r="T38" s="180"/>
    </row>
    <row r="39" spans="1:20" x14ac:dyDescent="0.2">
      <c r="A39" s="214"/>
      <c r="B39" s="167">
        <v>5</v>
      </c>
      <c r="C39" s="172" t="s">
        <v>180</v>
      </c>
      <c r="D39" s="172">
        <v>0.75919999999999999</v>
      </c>
      <c r="E39" s="173">
        <v>0.76900000000000002</v>
      </c>
      <c r="F39" s="185"/>
      <c r="G39" s="182"/>
      <c r="H39" s="182"/>
      <c r="I39" s="171" t="s">
        <v>180</v>
      </c>
      <c r="J39" s="171">
        <v>0.81120000000000003</v>
      </c>
      <c r="K39" s="170">
        <v>0.79710000000000003</v>
      </c>
      <c r="L39" s="183"/>
      <c r="M39" s="180"/>
      <c r="N39" s="180"/>
      <c r="O39" s="181" t="s">
        <v>181</v>
      </c>
      <c r="P39" s="176">
        <v>0.80510000000000004</v>
      </c>
      <c r="Q39" s="176">
        <v>0.74829999999999997</v>
      </c>
      <c r="R39" s="180"/>
      <c r="S39" s="180" t="s">
        <v>86</v>
      </c>
      <c r="T39" s="180"/>
    </row>
    <row r="40" spans="1:20" ht="17" thickBot="1" x14ac:dyDescent="0.25">
      <c r="A40" s="138"/>
      <c r="B40" s="115"/>
      <c r="C40" s="114"/>
      <c r="D40" s="114"/>
      <c r="E40" s="114"/>
      <c r="F40" s="152"/>
      <c r="G40" s="152"/>
      <c r="H40" s="152"/>
      <c r="I40" s="152"/>
      <c r="J40" s="152"/>
      <c r="K40" s="165"/>
      <c r="L40" s="152"/>
      <c r="M40" s="152"/>
      <c r="N40" s="152"/>
      <c r="O40" s="152"/>
      <c r="P40" s="165"/>
      <c r="Q40" s="165"/>
      <c r="R40" s="152"/>
      <c r="S40" s="152"/>
      <c r="T40" s="152"/>
    </row>
    <row r="41" spans="1:20" x14ac:dyDescent="0.2">
      <c r="A41" s="214" t="s">
        <v>79</v>
      </c>
      <c r="B41" s="167">
        <v>1</v>
      </c>
      <c r="C41" s="172" t="s">
        <v>180</v>
      </c>
      <c r="D41" s="172">
        <v>0.85329999999999995</v>
      </c>
      <c r="E41" s="172">
        <v>0.24879999999999999</v>
      </c>
      <c r="F41" s="180"/>
      <c r="G41" s="180"/>
      <c r="H41" s="180"/>
      <c r="I41" s="181" t="s">
        <v>180</v>
      </c>
      <c r="J41" s="176">
        <v>0.85699999999999998</v>
      </c>
      <c r="K41" s="176">
        <v>0.2445</v>
      </c>
      <c r="L41" s="180"/>
      <c r="M41" s="180"/>
      <c r="N41" s="180"/>
      <c r="O41" s="181" t="s">
        <v>180</v>
      </c>
      <c r="P41" s="176">
        <v>0.85329999999999995</v>
      </c>
      <c r="Q41" s="176">
        <v>0.24360000000000001</v>
      </c>
      <c r="R41" s="180"/>
      <c r="S41" s="180"/>
      <c r="T41" s="180"/>
    </row>
    <row r="42" spans="1:20" x14ac:dyDescent="0.2">
      <c r="A42" s="214"/>
      <c r="B42" s="167">
        <v>2</v>
      </c>
      <c r="C42" s="172" t="s">
        <v>180</v>
      </c>
      <c r="D42" s="172">
        <v>0.85329999999999995</v>
      </c>
      <c r="E42" s="172">
        <v>0.30470000000000003</v>
      </c>
      <c r="F42" s="180"/>
      <c r="G42" s="180"/>
      <c r="H42" s="180"/>
      <c r="I42" s="181" t="s">
        <v>180</v>
      </c>
      <c r="J42" s="176">
        <v>0.85699999999999998</v>
      </c>
      <c r="K42" s="176">
        <v>0.36649999999999999</v>
      </c>
      <c r="L42" s="180"/>
      <c r="M42" s="180"/>
      <c r="N42" s="180"/>
      <c r="O42" s="181" t="s">
        <v>180</v>
      </c>
      <c r="P42" s="176">
        <v>0.85329999999999995</v>
      </c>
      <c r="Q42" s="176">
        <v>0.46110000000000001</v>
      </c>
      <c r="R42" s="180"/>
      <c r="S42" s="180"/>
      <c r="T42" s="180"/>
    </row>
    <row r="43" spans="1:20" x14ac:dyDescent="0.2">
      <c r="A43" s="214"/>
      <c r="B43" s="167">
        <v>3</v>
      </c>
      <c r="C43" s="172" t="s">
        <v>180</v>
      </c>
      <c r="D43" s="172">
        <v>0.85329999999999995</v>
      </c>
      <c r="E43" s="172">
        <v>0.45319999999999999</v>
      </c>
      <c r="F43" s="180"/>
      <c r="G43" s="180"/>
      <c r="H43" s="180"/>
      <c r="I43" s="181" t="s">
        <v>180</v>
      </c>
      <c r="J43" s="176">
        <v>0.85699999999999998</v>
      </c>
      <c r="K43" s="176">
        <v>0.58699999999999997</v>
      </c>
      <c r="L43" s="180"/>
      <c r="M43" s="180"/>
      <c r="N43" s="180"/>
      <c r="O43" s="181" t="s">
        <v>180</v>
      </c>
      <c r="P43" s="176">
        <v>0.85329999999999995</v>
      </c>
      <c r="Q43" s="176">
        <v>0.76559999999999995</v>
      </c>
      <c r="R43" s="180"/>
      <c r="S43" s="180"/>
      <c r="T43" s="180"/>
    </row>
    <row r="44" spans="1:20" x14ac:dyDescent="0.2">
      <c r="A44" s="214"/>
      <c r="B44" s="167">
        <v>4</v>
      </c>
      <c r="C44" s="172" t="s">
        <v>180</v>
      </c>
      <c r="D44" s="172">
        <v>0.85329999999999995</v>
      </c>
      <c r="E44" s="172">
        <v>0.7752</v>
      </c>
      <c r="F44" s="182"/>
      <c r="G44" s="182"/>
      <c r="H44" s="182"/>
      <c r="I44" s="171" t="s">
        <v>180</v>
      </c>
      <c r="J44" s="170">
        <v>0.85699999999999998</v>
      </c>
      <c r="K44" s="170">
        <v>0.72499999999999998</v>
      </c>
      <c r="L44" s="180"/>
      <c r="M44" s="180"/>
      <c r="N44" s="180"/>
      <c r="O44" s="181" t="s">
        <v>180</v>
      </c>
      <c r="P44" s="176">
        <v>0.85329999999999995</v>
      </c>
      <c r="Q44" s="176">
        <v>0.78290000000000004</v>
      </c>
      <c r="R44" s="180"/>
      <c r="S44" s="180"/>
      <c r="T44" s="180"/>
    </row>
    <row r="45" spans="1:20" x14ac:dyDescent="0.2">
      <c r="A45" s="214"/>
      <c r="B45" s="167">
        <v>5</v>
      </c>
      <c r="C45" s="172" t="s">
        <v>180</v>
      </c>
      <c r="D45" s="172">
        <v>0.85329999999999995</v>
      </c>
      <c r="E45" s="172">
        <v>0.68679999999999997</v>
      </c>
      <c r="F45" s="182"/>
      <c r="G45" s="182"/>
      <c r="H45" s="182"/>
      <c r="I45" s="171" t="s">
        <v>180</v>
      </c>
      <c r="J45" s="170">
        <v>0.85699999999999998</v>
      </c>
      <c r="K45" s="170">
        <v>0.7581</v>
      </c>
      <c r="L45" s="180"/>
      <c r="M45" s="180"/>
      <c r="N45" s="180"/>
      <c r="O45" s="180" t="s">
        <v>180</v>
      </c>
      <c r="P45" s="176">
        <v>0.85329999999999995</v>
      </c>
      <c r="Q45" s="176">
        <v>0.76290000000000002</v>
      </c>
      <c r="R45" s="180"/>
      <c r="S45" s="180"/>
      <c r="T45" s="180"/>
    </row>
    <row r="46" spans="1:20" x14ac:dyDescent="0.2">
      <c r="A46" s="130"/>
      <c r="B46" s="167"/>
      <c r="C46" s="172"/>
      <c r="D46" s="172"/>
      <c r="E46" s="172"/>
      <c r="F46" s="180"/>
      <c r="G46" s="180"/>
      <c r="H46" s="180"/>
      <c r="I46" s="180"/>
      <c r="J46" s="176"/>
      <c r="K46" s="176"/>
      <c r="L46" s="180"/>
      <c r="M46" s="180"/>
      <c r="N46" s="180"/>
      <c r="O46" s="181"/>
      <c r="P46" s="176"/>
      <c r="Q46" s="176"/>
      <c r="R46" s="180"/>
      <c r="S46" s="180"/>
      <c r="T46" s="180"/>
    </row>
    <row r="47" spans="1:20" x14ac:dyDescent="0.2">
      <c r="A47" s="214" t="s">
        <v>80</v>
      </c>
      <c r="B47" s="167">
        <v>1</v>
      </c>
      <c r="C47" s="172" t="s">
        <v>181</v>
      </c>
      <c r="D47" s="172">
        <v>0.24879999999999999</v>
      </c>
      <c r="E47" s="172">
        <v>0.85070000000000001</v>
      </c>
      <c r="F47" s="180"/>
      <c r="G47" s="180" t="s">
        <v>86</v>
      </c>
      <c r="H47" s="180"/>
      <c r="I47" s="180" t="s">
        <v>180</v>
      </c>
      <c r="J47" s="176">
        <v>0.85699999999999998</v>
      </c>
      <c r="K47" s="176">
        <v>0.85760000000000003</v>
      </c>
      <c r="L47" s="180"/>
      <c r="M47" s="180" t="s">
        <v>86</v>
      </c>
      <c r="N47" s="180"/>
      <c r="O47" s="181" t="s">
        <v>180</v>
      </c>
      <c r="P47" s="176">
        <v>0.85329999999999995</v>
      </c>
      <c r="Q47" s="176">
        <v>0.85189999999999999</v>
      </c>
      <c r="R47" s="180"/>
      <c r="S47" s="180" t="s">
        <v>86</v>
      </c>
      <c r="T47" s="180"/>
    </row>
    <row r="48" spans="1:20" x14ac:dyDescent="0.2">
      <c r="A48" s="214"/>
      <c r="B48" s="167">
        <v>2</v>
      </c>
      <c r="C48" s="172" t="s">
        <v>181</v>
      </c>
      <c r="D48" s="172">
        <v>0.30470000000000003</v>
      </c>
      <c r="E48" s="172">
        <v>0.84489999999999998</v>
      </c>
      <c r="F48" s="180"/>
      <c r="G48" s="180" t="s">
        <v>86</v>
      </c>
      <c r="H48" s="180"/>
      <c r="I48" s="181" t="s">
        <v>180</v>
      </c>
      <c r="J48" s="176">
        <v>0.85699999999999998</v>
      </c>
      <c r="K48" s="176">
        <v>0.84850000000000003</v>
      </c>
      <c r="L48" s="180"/>
      <c r="M48" s="180" t="s">
        <v>86</v>
      </c>
      <c r="N48" s="180"/>
      <c r="O48" s="181" t="s">
        <v>180</v>
      </c>
      <c r="P48" s="176">
        <v>0.85329999999999995</v>
      </c>
      <c r="Q48" s="176">
        <v>0.8458</v>
      </c>
      <c r="R48" s="180"/>
      <c r="S48" s="180" t="s">
        <v>86</v>
      </c>
      <c r="T48" s="180"/>
    </row>
    <row r="49" spans="1:20" x14ac:dyDescent="0.2">
      <c r="A49" s="214"/>
      <c r="B49" s="167">
        <v>3</v>
      </c>
      <c r="C49" s="172" t="s">
        <v>181</v>
      </c>
      <c r="D49" s="172">
        <v>0.45319999999999999</v>
      </c>
      <c r="E49" s="172">
        <v>0.83489999999999998</v>
      </c>
      <c r="F49" s="180"/>
      <c r="G49" s="180" t="s">
        <v>86</v>
      </c>
      <c r="H49" s="180"/>
      <c r="I49" s="181" t="s">
        <v>180</v>
      </c>
      <c r="J49" s="176">
        <v>0.85699999999999998</v>
      </c>
      <c r="K49" s="176">
        <v>0.84340000000000004</v>
      </c>
      <c r="L49" s="180"/>
      <c r="M49" s="180" t="s">
        <v>86</v>
      </c>
      <c r="N49" s="180"/>
      <c r="O49" s="181" t="s">
        <v>180</v>
      </c>
      <c r="P49" s="176">
        <v>0.85329999999999995</v>
      </c>
      <c r="Q49" s="176">
        <v>0.83819999999999995</v>
      </c>
      <c r="R49" s="180"/>
      <c r="S49" s="180" t="s">
        <v>86</v>
      </c>
      <c r="T49" s="180"/>
    </row>
    <row r="50" spans="1:20" x14ac:dyDescent="0.2">
      <c r="A50" s="214"/>
      <c r="B50" s="167">
        <v>4</v>
      </c>
      <c r="C50" s="172" t="s">
        <v>180</v>
      </c>
      <c r="D50" s="172">
        <v>0.7752</v>
      </c>
      <c r="E50" s="172">
        <v>0.8266</v>
      </c>
      <c r="F50" s="180"/>
      <c r="G50" s="180"/>
      <c r="H50" s="180"/>
      <c r="I50" s="181" t="s">
        <v>180</v>
      </c>
      <c r="J50" s="176">
        <v>0.85699999999999998</v>
      </c>
      <c r="K50" s="176">
        <v>0.82830000000000004</v>
      </c>
      <c r="L50" s="180"/>
      <c r="M50" s="180"/>
      <c r="N50" s="180"/>
      <c r="O50" s="181" t="s">
        <v>180</v>
      </c>
      <c r="P50" s="176">
        <v>0.85329999999999995</v>
      </c>
      <c r="Q50" s="176">
        <v>0.78169999999999995</v>
      </c>
      <c r="R50" s="180"/>
      <c r="S50" s="180"/>
      <c r="T50" s="180"/>
    </row>
    <row r="51" spans="1:20" x14ac:dyDescent="0.2">
      <c r="A51" s="214"/>
      <c r="B51" s="167">
        <v>5</v>
      </c>
      <c r="C51" s="172" t="s">
        <v>180</v>
      </c>
      <c r="D51" s="172">
        <v>0.68679999999999997</v>
      </c>
      <c r="E51" s="173">
        <v>0.81399999999999995</v>
      </c>
      <c r="F51" s="182"/>
      <c r="G51" s="182"/>
      <c r="H51" s="182"/>
      <c r="I51" s="171" t="s">
        <v>180</v>
      </c>
      <c r="J51" s="170">
        <v>0.85699999999999998</v>
      </c>
      <c r="K51" s="170">
        <v>0.82210000000000005</v>
      </c>
      <c r="L51" s="180"/>
      <c r="M51" s="180"/>
      <c r="N51" s="180"/>
      <c r="O51" s="180" t="s">
        <v>180</v>
      </c>
      <c r="P51" s="176">
        <v>0.85329999999999995</v>
      </c>
      <c r="Q51" s="176">
        <v>0.81989999999999996</v>
      </c>
      <c r="R51" s="180"/>
      <c r="S51" s="180"/>
      <c r="T51" s="180"/>
    </row>
    <row r="52" spans="1:20" ht="17" thickBot="1" x14ac:dyDescent="0.25">
      <c r="A52" s="138"/>
      <c r="B52" s="115"/>
      <c r="C52" s="114"/>
      <c r="D52" s="114"/>
      <c r="E52" s="114"/>
      <c r="F52" s="152"/>
      <c r="G52" s="152"/>
      <c r="H52" s="152"/>
      <c r="I52" s="152"/>
      <c r="J52" s="152"/>
      <c r="K52" s="165"/>
      <c r="L52" s="152"/>
      <c r="M52" s="152"/>
      <c r="N52" s="152"/>
      <c r="O52" s="152"/>
      <c r="P52" s="165"/>
      <c r="Q52" s="165"/>
      <c r="R52" s="152"/>
      <c r="S52" s="152"/>
      <c r="T52" s="152"/>
    </row>
    <row r="53" spans="1:20" x14ac:dyDescent="0.2">
      <c r="A53" s="214" t="s">
        <v>81</v>
      </c>
      <c r="B53" s="167">
        <v>1</v>
      </c>
      <c r="C53" s="172" t="s">
        <v>180</v>
      </c>
      <c r="D53" s="172">
        <v>0.77280000000000004</v>
      </c>
      <c r="E53" s="172">
        <v>0.24079999999999999</v>
      </c>
      <c r="F53" s="180"/>
      <c r="G53" s="180"/>
      <c r="H53" s="180"/>
      <c r="I53" s="181" t="s">
        <v>180</v>
      </c>
      <c r="J53" s="181">
        <v>0.77510000000000001</v>
      </c>
      <c r="K53" s="176">
        <v>0.24079999999999999</v>
      </c>
      <c r="L53" s="180"/>
      <c r="M53" s="180"/>
      <c r="N53" s="180"/>
      <c r="O53" s="181" t="s">
        <v>180</v>
      </c>
      <c r="P53" s="176">
        <v>0.77280000000000004</v>
      </c>
      <c r="Q53" s="176">
        <v>0.24079999999999999</v>
      </c>
      <c r="R53" s="180"/>
      <c r="S53" s="180"/>
      <c r="T53" s="180"/>
    </row>
    <row r="54" spans="1:20" x14ac:dyDescent="0.2">
      <c r="A54" s="214"/>
      <c r="B54" s="167">
        <v>2</v>
      </c>
      <c r="C54" s="172" t="s">
        <v>180</v>
      </c>
      <c r="D54" s="172">
        <v>0.77280000000000004</v>
      </c>
      <c r="E54" s="172">
        <v>0.24079999999999999</v>
      </c>
      <c r="F54" s="182"/>
      <c r="G54" s="182"/>
      <c r="H54" s="182"/>
      <c r="I54" s="171" t="s">
        <v>180</v>
      </c>
      <c r="J54" s="171">
        <v>0.77510000000000001</v>
      </c>
      <c r="K54" s="170">
        <v>0.4466</v>
      </c>
      <c r="L54" s="180"/>
      <c r="M54" s="180"/>
      <c r="N54" s="180"/>
      <c r="O54" s="181" t="s">
        <v>180</v>
      </c>
      <c r="P54" s="176">
        <v>0.77280000000000004</v>
      </c>
      <c r="Q54" s="176">
        <v>0.76339999999999997</v>
      </c>
      <c r="R54" s="180"/>
      <c r="S54" s="180"/>
      <c r="T54" s="180"/>
    </row>
    <row r="55" spans="1:20" x14ac:dyDescent="0.2">
      <c r="A55" s="214"/>
      <c r="B55" s="167">
        <v>3</v>
      </c>
      <c r="C55" s="172" t="s">
        <v>180</v>
      </c>
      <c r="D55" s="172">
        <v>0.77280000000000004</v>
      </c>
      <c r="E55" s="172">
        <v>0.76129999999999998</v>
      </c>
      <c r="F55" s="180"/>
      <c r="G55" s="180"/>
      <c r="H55" s="180"/>
      <c r="I55" s="181" t="s">
        <v>180</v>
      </c>
      <c r="J55" s="181">
        <v>0.77510000000000001</v>
      </c>
      <c r="K55" s="176">
        <v>0.76</v>
      </c>
      <c r="L55" s="180"/>
      <c r="M55" s="180"/>
      <c r="N55" s="180"/>
      <c r="O55" s="181" t="s">
        <v>180</v>
      </c>
      <c r="P55" s="176">
        <v>0.77280000000000004</v>
      </c>
      <c r="Q55" s="176">
        <v>0.77429999999999999</v>
      </c>
      <c r="R55" s="180"/>
      <c r="S55" s="180"/>
      <c r="T55" s="180"/>
    </row>
    <row r="56" spans="1:20" x14ac:dyDescent="0.2">
      <c r="A56" s="214"/>
      <c r="B56" s="167">
        <v>4</v>
      </c>
      <c r="C56" s="172" t="s">
        <v>180</v>
      </c>
      <c r="D56" s="172">
        <v>0.77280000000000004</v>
      </c>
      <c r="E56" s="172">
        <v>0.75919999999999999</v>
      </c>
      <c r="F56" s="182"/>
      <c r="G56" s="182"/>
      <c r="H56" s="182"/>
      <c r="I56" s="171" t="s">
        <v>180</v>
      </c>
      <c r="J56" s="171">
        <v>0.77510000000000001</v>
      </c>
      <c r="K56" s="170">
        <v>0.75919999999999999</v>
      </c>
      <c r="L56" s="180"/>
      <c r="M56" s="180"/>
      <c r="N56" s="180"/>
      <c r="O56" s="181" t="s">
        <v>180</v>
      </c>
      <c r="P56" s="176">
        <v>0.77280000000000004</v>
      </c>
      <c r="Q56" s="176">
        <v>0.75919999999999999</v>
      </c>
      <c r="R56" s="180"/>
      <c r="S56" s="180"/>
      <c r="T56" s="180"/>
    </row>
    <row r="57" spans="1:20" x14ac:dyDescent="0.2">
      <c r="A57" s="214"/>
      <c r="B57" s="167">
        <v>5</v>
      </c>
      <c r="C57" s="172" t="s">
        <v>180</v>
      </c>
      <c r="D57" s="172">
        <v>0.77280000000000004</v>
      </c>
      <c r="E57" s="172">
        <v>0.75919999999999999</v>
      </c>
      <c r="F57" s="182"/>
      <c r="G57" s="182"/>
      <c r="H57" s="182"/>
      <c r="I57" s="171" t="s">
        <v>180</v>
      </c>
      <c r="J57" s="171">
        <v>0.77510000000000001</v>
      </c>
      <c r="K57" s="170">
        <v>0.75919999999999999</v>
      </c>
      <c r="L57" s="180"/>
      <c r="M57" s="180"/>
      <c r="N57" s="180"/>
      <c r="O57" s="181" t="s">
        <v>180</v>
      </c>
      <c r="P57" s="176">
        <v>0.77280000000000004</v>
      </c>
      <c r="Q57" s="176">
        <v>0.75919999999999999</v>
      </c>
      <c r="R57" s="180"/>
      <c r="S57" s="180"/>
      <c r="T57" s="180"/>
    </row>
    <row r="58" spans="1:20" x14ac:dyDescent="0.2">
      <c r="A58" s="130"/>
      <c r="B58" s="167"/>
      <c r="C58" s="172"/>
      <c r="D58" s="172"/>
      <c r="E58" s="172"/>
      <c r="F58" s="180"/>
      <c r="G58" s="180"/>
      <c r="H58" s="180"/>
      <c r="I58" s="181"/>
      <c r="J58" s="181"/>
      <c r="K58" s="176"/>
      <c r="L58" s="180"/>
      <c r="M58" s="180"/>
      <c r="N58" s="180"/>
      <c r="O58" s="181"/>
      <c r="P58" s="176"/>
      <c r="Q58" s="176"/>
      <c r="R58" s="180"/>
      <c r="S58" s="180"/>
      <c r="T58" s="180"/>
    </row>
    <row r="59" spans="1:20" x14ac:dyDescent="0.2">
      <c r="A59" s="214" t="s">
        <v>82</v>
      </c>
      <c r="B59" s="167">
        <v>1</v>
      </c>
      <c r="C59" s="172" t="s">
        <v>181</v>
      </c>
      <c r="D59" s="172">
        <v>0.77280000000000004</v>
      </c>
      <c r="E59" s="172">
        <v>0.7742</v>
      </c>
      <c r="F59" s="180"/>
      <c r="G59" s="180" t="s">
        <v>86</v>
      </c>
      <c r="H59" s="180"/>
      <c r="I59" s="181" t="s">
        <v>180</v>
      </c>
      <c r="J59" s="181">
        <v>0.77510000000000001</v>
      </c>
      <c r="K59" s="176">
        <v>0.77339999999999998</v>
      </c>
      <c r="L59" s="180"/>
      <c r="M59" s="180" t="s">
        <v>86</v>
      </c>
      <c r="N59" s="180"/>
      <c r="O59" s="181" t="s">
        <v>180</v>
      </c>
      <c r="P59" s="176">
        <v>0.77280000000000004</v>
      </c>
      <c r="Q59" s="176">
        <v>0.7631</v>
      </c>
      <c r="R59" s="180"/>
      <c r="S59" s="180" t="s">
        <v>86</v>
      </c>
      <c r="T59" s="180"/>
    </row>
    <row r="60" spans="1:20" x14ac:dyDescent="0.2">
      <c r="A60" s="214"/>
      <c r="B60" s="167">
        <v>2</v>
      </c>
      <c r="C60" s="172" t="s">
        <v>180</v>
      </c>
      <c r="D60" s="172">
        <v>0.77280000000000004</v>
      </c>
      <c r="E60" s="172">
        <v>0.24079999999999999</v>
      </c>
      <c r="F60" s="182"/>
      <c r="G60" s="182"/>
      <c r="H60" s="185"/>
      <c r="I60" s="171" t="s">
        <v>180</v>
      </c>
      <c r="J60" s="171">
        <v>0.77510000000000001</v>
      </c>
      <c r="K60" s="170">
        <v>0.4466</v>
      </c>
      <c r="L60" s="180"/>
      <c r="M60" s="180"/>
      <c r="N60" s="180"/>
      <c r="O60" s="181" t="s">
        <v>180</v>
      </c>
      <c r="P60" s="176">
        <v>0.77280000000000004</v>
      </c>
      <c r="Q60" s="176">
        <v>0.76339999999999997</v>
      </c>
      <c r="R60" s="180"/>
      <c r="S60" s="180" t="s">
        <v>86</v>
      </c>
      <c r="T60" s="180"/>
    </row>
    <row r="61" spans="1:20" x14ac:dyDescent="0.2">
      <c r="A61" s="214"/>
      <c r="B61" s="167">
        <v>3</v>
      </c>
      <c r="C61" s="172" t="s">
        <v>180</v>
      </c>
      <c r="D61" s="172">
        <v>0.77280000000000004</v>
      </c>
      <c r="E61" s="172">
        <v>0.76129999999999998</v>
      </c>
      <c r="F61" s="180"/>
      <c r="G61" s="180"/>
      <c r="H61" s="180"/>
      <c r="I61" s="181" t="s">
        <v>180</v>
      </c>
      <c r="J61" s="181">
        <v>0.77510000000000001</v>
      </c>
      <c r="K61" s="176">
        <v>0.76</v>
      </c>
      <c r="L61" s="180"/>
      <c r="M61" s="180"/>
      <c r="N61" s="180"/>
      <c r="O61" s="181" t="s">
        <v>180</v>
      </c>
      <c r="P61" s="176">
        <v>0.77280000000000004</v>
      </c>
      <c r="Q61" s="176">
        <v>0.77429999999999999</v>
      </c>
      <c r="R61" s="180"/>
      <c r="S61" s="180" t="s">
        <v>86</v>
      </c>
      <c r="T61" s="180"/>
    </row>
    <row r="62" spans="1:20" x14ac:dyDescent="0.2">
      <c r="A62" s="214"/>
      <c r="B62" s="167">
        <v>4</v>
      </c>
      <c r="C62" s="172" t="s">
        <v>180</v>
      </c>
      <c r="D62" s="172">
        <v>0.77280000000000004</v>
      </c>
      <c r="E62" s="172">
        <v>0.75919999999999999</v>
      </c>
      <c r="F62" s="180"/>
      <c r="G62" s="180"/>
      <c r="H62" s="180"/>
      <c r="I62" s="181" t="s">
        <v>180</v>
      </c>
      <c r="J62" s="181">
        <v>0.77510000000000001</v>
      </c>
      <c r="K62" s="176">
        <v>0.75919999999999999</v>
      </c>
      <c r="L62" s="180"/>
      <c r="M62" s="180"/>
      <c r="N62" s="180"/>
      <c r="O62" s="181" t="s">
        <v>180</v>
      </c>
      <c r="P62" s="176">
        <v>0.77280000000000004</v>
      </c>
      <c r="Q62" s="176">
        <v>0.75919999999999999</v>
      </c>
      <c r="R62" s="180"/>
      <c r="S62" s="180"/>
      <c r="T62" s="180"/>
    </row>
    <row r="63" spans="1:20" ht="17" thickBot="1" x14ac:dyDescent="0.25">
      <c r="A63" s="213"/>
      <c r="B63" s="115">
        <v>5</v>
      </c>
      <c r="C63" s="115" t="s">
        <v>180</v>
      </c>
      <c r="D63" s="115">
        <v>0.77280000000000004</v>
      </c>
      <c r="E63" s="115">
        <v>0.75919999999999999</v>
      </c>
      <c r="F63" s="146"/>
      <c r="G63" s="146"/>
      <c r="H63" s="146"/>
      <c r="I63" s="150" t="s">
        <v>180</v>
      </c>
      <c r="J63" s="150">
        <v>0.77510000000000001</v>
      </c>
      <c r="K63" s="164">
        <v>0.75919999999999999</v>
      </c>
      <c r="L63" s="148"/>
      <c r="M63" s="148"/>
      <c r="N63" s="148"/>
      <c r="O63" s="150" t="s">
        <v>180</v>
      </c>
      <c r="P63" s="164">
        <v>0.77280000000000004</v>
      </c>
      <c r="Q63" s="164">
        <v>0.75919999999999999</v>
      </c>
      <c r="R63" s="147"/>
      <c r="S63" s="147"/>
      <c r="T63" s="147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9EA4-9B73-114A-BFC9-FBE271D62DA1}">
  <dimension ref="A1:W63"/>
  <sheetViews>
    <sheetView showGridLines="0" workbookViewId="0">
      <selection activeCell="A2" sqref="A2:T63"/>
    </sheetView>
  </sheetViews>
  <sheetFormatPr baseColWidth="10" defaultRowHeight="16" x14ac:dyDescent="0.2"/>
  <cols>
    <col min="1" max="1" width="29.1640625" customWidth="1"/>
  </cols>
  <sheetData>
    <row r="1" spans="1:23" ht="17" thickBot="1" x14ac:dyDescent="0.25">
      <c r="A1" s="211" t="s">
        <v>202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52" thickBot="1" x14ac:dyDescent="0.25">
      <c r="A4" s="138" t="s">
        <v>123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98">
        <f>F5/H5</f>
        <v>0</v>
      </c>
      <c r="D5" s="198">
        <v>0.8589</v>
      </c>
      <c r="E5" s="198">
        <v>0.24129999999999999</v>
      </c>
      <c r="F5" s="202">
        <v>0</v>
      </c>
      <c r="G5" s="202">
        <v>0.1570667</v>
      </c>
      <c r="H5" s="202">
        <v>0.8429333</v>
      </c>
      <c r="I5" s="202">
        <f t="shared" ref="I5:I9" si="0">L5/N5</f>
        <v>0</v>
      </c>
      <c r="J5" s="202">
        <v>0.86029999999999995</v>
      </c>
      <c r="K5" s="202">
        <v>0.24467649499999999</v>
      </c>
      <c r="L5" s="202">
        <v>0</v>
      </c>
      <c r="M5" s="202">
        <v>0.1602333</v>
      </c>
      <c r="N5" s="202">
        <v>0.83976669999999998</v>
      </c>
      <c r="O5" s="202">
        <f t="shared" ref="O5:O9" si="1">R5/T5</f>
        <v>0</v>
      </c>
      <c r="P5" s="202">
        <v>0.8589</v>
      </c>
      <c r="Q5" s="202">
        <v>0.27389999999999998</v>
      </c>
      <c r="R5" s="202">
        <v>0</v>
      </c>
      <c r="S5" s="202">
        <v>0.15603330000000001</v>
      </c>
      <c r="T5" s="202">
        <v>0.84396669999999996</v>
      </c>
    </row>
    <row r="6" spans="1:23" x14ac:dyDescent="0.2">
      <c r="A6" s="214"/>
      <c r="B6" s="167">
        <v>2</v>
      </c>
      <c r="C6" s="198">
        <f t="shared" ref="C6:C9" si="2">F6/H6</f>
        <v>0</v>
      </c>
      <c r="D6" s="198">
        <v>0.8589</v>
      </c>
      <c r="E6" s="198">
        <v>0.38</v>
      </c>
      <c r="F6" s="202">
        <v>0</v>
      </c>
      <c r="G6" s="202">
        <v>0.15926670000000001</v>
      </c>
      <c r="H6" s="202">
        <v>0.84073330000000002</v>
      </c>
      <c r="I6" s="202">
        <f t="shared" si="0"/>
        <v>0</v>
      </c>
      <c r="J6" s="202">
        <v>0.86029999999999995</v>
      </c>
      <c r="K6" s="202">
        <v>0.44209999999999999</v>
      </c>
      <c r="L6" s="202">
        <v>0</v>
      </c>
      <c r="M6" s="202">
        <v>0.15876670000000001</v>
      </c>
      <c r="N6" s="202">
        <v>0.84123329999999996</v>
      </c>
      <c r="O6" s="202">
        <f t="shared" si="1"/>
        <v>0</v>
      </c>
      <c r="P6" s="202">
        <v>0.8589</v>
      </c>
      <c r="Q6" s="202">
        <v>0.4662</v>
      </c>
      <c r="R6" s="202">
        <v>0</v>
      </c>
      <c r="S6" s="202">
        <v>0.15820000000000001</v>
      </c>
      <c r="T6" s="202">
        <v>0.84179999999999999</v>
      </c>
    </row>
    <row r="7" spans="1:23" x14ac:dyDescent="0.2">
      <c r="A7" s="214"/>
      <c r="B7" s="167">
        <v>3</v>
      </c>
      <c r="C7" s="198">
        <f t="shared" si="2"/>
        <v>0</v>
      </c>
      <c r="D7" s="198">
        <v>0.8589</v>
      </c>
      <c r="E7" s="198">
        <v>0.5292</v>
      </c>
      <c r="F7" s="202">
        <v>0</v>
      </c>
      <c r="G7" s="202">
        <v>0.1555</v>
      </c>
      <c r="H7" s="202">
        <v>0.84450000000000003</v>
      </c>
      <c r="I7" s="202">
        <f t="shared" si="0"/>
        <v>0</v>
      </c>
      <c r="J7" s="202">
        <v>0.86029999999999995</v>
      </c>
      <c r="K7" s="202">
        <v>0.61380000000000001</v>
      </c>
      <c r="L7" s="202">
        <v>0</v>
      </c>
      <c r="M7" s="202">
        <v>0.15876670000000001</v>
      </c>
      <c r="N7" s="202">
        <v>0.84123329999999996</v>
      </c>
      <c r="O7" s="202">
        <f t="shared" si="1"/>
        <v>0</v>
      </c>
      <c r="P7" s="202">
        <v>0.8589</v>
      </c>
      <c r="Q7" s="202">
        <v>0.66690000000000005</v>
      </c>
      <c r="R7" s="202">
        <v>0</v>
      </c>
      <c r="S7" s="202">
        <v>0.15916669999999999</v>
      </c>
      <c r="T7" s="202">
        <v>0.84083330000000001</v>
      </c>
    </row>
    <row r="8" spans="1:23" x14ac:dyDescent="0.2">
      <c r="A8" s="214"/>
      <c r="B8" s="167">
        <v>4</v>
      </c>
      <c r="C8" s="198">
        <f t="shared" si="2"/>
        <v>0</v>
      </c>
      <c r="D8" s="198">
        <v>0.8589</v>
      </c>
      <c r="E8" s="198">
        <v>0.81740000000000002</v>
      </c>
      <c r="F8" s="202">
        <v>0</v>
      </c>
      <c r="G8" s="202">
        <v>0.15946669999999999</v>
      </c>
      <c r="H8" s="202">
        <v>0.84053330000000004</v>
      </c>
      <c r="I8" s="202">
        <f t="shared" si="0"/>
        <v>0</v>
      </c>
      <c r="J8" s="202">
        <v>0.86029999999999995</v>
      </c>
      <c r="K8" s="202">
        <v>0.82320000000000004</v>
      </c>
      <c r="L8" s="202">
        <v>0</v>
      </c>
      <c r="M8" s="202">
        <v>0.16033330000000001</v>
      </c>
      <c r="N8" s="202">
        <v>0.83966669999999999</v>
      </c>
      <c r="O8" s="202">
        <f t="shared" si="1"/>
        <v>0</v>
      </c>
      <c r="P8" s="202">
        <v>0.8589</v>
      </c>
      <c r="Q8" s="202">
        <v>0.83450000000000002</v>
      </c>
      <c r="R8" s="198">
        <v>0</v>
      </c>
      <c r="S8" s="202">
        <v>0.16220000000000001</v>
      </c>
      <c r="T8" s="202">
        <v>0.83779999999999999</v>
      </c>
    </row>
    <row r="9" spans="1:23" x14ac:dyDescent="0.2">
      <c r="A9" s="214"/>
      <c r="B9" s="167">
        <v>5</v>
      </c>
      <c r="C9" s="198">
        <f t="shared" si="2"/>
        <v>0</v>
      </c>
      <c r="D9" s="198">
        <v>0.8589</v>
      </c>
      <c r="E9" s="198">
        <v>0.75919999999999999</v>
      </c>
      <c r="F9" s="182">
        <v>0</v>
      </c>
      <c r="G9" s="182">
        <v>0.16006670000000001</v>
      </c>
      <c r="H9" s="182">
        <v>0.83993329999999999</v>
      </c>
      <c r="I9" s="182">
        <f t="shared" si="0"/>
        <v>0</v>
      </c>
      <c r="J9" s="182">
        <v>0.86029999999999995</v>
      </c>
      <c r="K9" s="182">
        <v>0.78080000000000005</v>
      </c>
      <c r="L9" s="202">
        <v>0</v>
      </c>
      <c r="M9" s="202">
        <v>0.16033330000000001</v>
      </c>
      <c r="N9" s="202">
        <v>0.83966669999999999</v>
      </c>
      <c r="O9" s="202">
        <f t="shared" si="1"/>
        <v>0</v>
      </c>
      <c r="P9" s="202">
        <v>0.8589</v>
      </c>
      <c r="Q9" s="202">
        <v>0.78900000000000003</v>
      </c>
      <c r="R9" s="202">
        <v>0</v>
      </c>
      <c r="S9" s="202">
        <v>0.1624333</v>
      </c>
      <c r="T9" s="202">
        <v>0.8375667</v>
      </c>
    </row>
    <row r="10" spans="1:23" x14ac:dyDescent="0.2">
      <c r="A10" s="130"/>
      <c r="B10" s="167"/>
      <c r="C10" s="198"/>
      <c r="D10" s="198"/>
      <c r="E10" s="198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</row>
    <row r="11" spans="1:23" x14ac:dyDescent="0.2">
      <c r="A11" s="214" t="s">
        <v>74</v>
      </c>
      <c r="B11" s="167">
        <v>1</v>
      </c>
      <c r="C11" s="198" t="s">
        <v>71</v>
      </c>
      <c r="D11" s="198">
        <v>0.8589</v>
      </c>
      <c r="E11" s="198">
        <v>0.90739999999999998</v>
      </c>
      <c r="F11" s="202">
        <v>0.83960000000000001</v>
      </c>
      <c r="G11" s="202">
        <v>0.16039999999999999</v>
      </c>
      <c r="H11" s="202">
        <v>0</v>
      </c>
      <c r="I11" s="202" t="s">
        <v>71</v>
      </c>
      <c r="J11" s="202">
        <v>0.86029999999999995</v>
      </c>
      <c r="K11" s="202">
        <v>0.91569999999999996</v>
      </c>
      <c r="L11" s="202">
        <v>0.84053330000000004</v>
      </c>
      <c r="M11" s="202">
        <v>0.15946669999999999</v>
      </c>
      <c r="N11" s="202">
        <v>0</v>
      </c>
      <c r="O11" s="202" t="s">
        <v>71</v>
      </c>
      <c r="P11" s="202">
        <v>0.8589</v>
      </c>
      <c r="Q11" s="202">
        <v>0.92390000000000005</v>
      </c>
      <c r="R11" s="202">
        <v>0.84023329999999996</v>
      </c>
      <c r="S11" s="202">
        <v>0.15976670000000001</v>
      </c>
      <c r="T11" s="202">
        <v>0</v>
      </c>
    </row>
    <row r="12" spans="1:23" x14ac:dyDescent="0.2">
      <c r="A12" s="214"/>
      <c r="B12" s="167">
        <v>2</v>
      </c>
      <c r="C12" s="198" t="s">
        <v>71</v>
      </c>
      <c r="D12" s="198">
        <v>0.8589</v>
      </c>
      <c r="E12" s="198">
        <v>0.90680000000000005</v>
      </c>
      <c r="F12" s="202">
        <v>0.84063330000000003</v>
      </c>
      <c r="G12" s="202">
        <v>0.1593667</v>
      </c>
      <c r="H12" s="202">
        <v>0</v>
      </c>
      <c r="I12" s="202" t="s">
        <v>71</v>
      </c>
      <c r="J12" s="202">
        <v>0.86029999999999995</v>
      </c>
      <c r="K12" s="202">
        <v>0.91810000000000003</v>
      </c>
      <c r="L12" s="202">
        <v>0.84289999999999998</v>
      </c>
      <c r="M12" s="202">
        <v>0.15709999999999999</v>
      </c>
      <c r="N12" s="202">
        <v>0</v>
      </c>
      <c r="O12" s="202" t="s">
        <v>71</v>
      </c>
      <c r="P12" s="202">
        <v>0.8589</v>
      </c>
      <c r="Q12" s="202">
        <v>0.92659999999999998</v>
      </c>
      <c r="R12" s="202">
        <v>0.83989999999999998</v>
      </c>
      <c r="S12" s="202">
        <v>0.16009999999999999</v>
      </c>
      <c r="T12" s="202">
        <v>0</v>
      </c>
      <c r="W12" t="s">
        <v>178</v>
      </c>
    </row>
    <row r="13" spans="1:23" x14ac:dyDescent="0.2">
      <c r="A13" s="214"/>
      <c r="B13" s="167">
        <v>3</v>
      </c>
      <c r="C13" s="198" t="s">
        <v>71</v>
      </c>
      <c r="D13" s="198">
        <v>0.8589</v>
      </c>
      <c r="E13" s="198">
        <v>0.90359999999999996</v>
      </c>
      <c r="F13" s="202">
        <v>0.83726670000000003</v>
      </c>
      <c r="G13" s="202">
        <v>0.1627333</v>
      </c>
      <c r="H13" s="202">
        <v>0</v>
      </c>
      <c r="I13" s="202" t="s">
        <v>71</v>
      </c>
      <c r="J13" s="202">
        <v>0.86029999999999995</v>
      </c>
      <c r="K13" s="202">
        <v>0.90800000000000003</v>
      </c>
      <c r="L13" s="202">
        <v>0.84319999999999995</v>
      </c>
      <c r="M13" s="202">
        <v>0.15679999999999999</v>
      </c>
      <c r="N13" s="202">
        <v>0</v>
      </c>
      <c r="O13" s="202" t="s">
        <v>71</v>
      </c>
      <c r="P13" s="202">
        <v>0.8589</v>
      </c>
      <c r="Q13" s="202">
        <v>0.91669999999999996</v>
      </c>
      <c r="R13" s="202">
        <v>0.84096669999999996</v>
      </c>
      <c r="S13" s="202">
        <v>0.15903329999999999</v>
      </c>
      <c r="T13" s="202">
        <v>0</v>
      </c>
    </row>
    <row r="14" spans="1:23" x14ac:dyDescent="0.2">
      <c r="A14" s="214"/>
      <c r="B14" s="167">
        <v>4</v>
      </c>
      <c r="C14" s="198" t="s">
        <v>71</v>
      </c>
      <c r="D14" s="198">
        <v>0.8589</v>
      </c>
      <c r="E14" s="198">
        <v>0.87270000000000003</v>
      </c>
      <c r="F14" s="182">
        <v>0.54203330000000005</v>
      </c>
      <c r="G14" s="182">
        <v>0.4579667</v>
      </c>
      <c r="H14" s="182">
        <v>0</v>
      </c>
      <c r="I14" s="182" t="s">
        <v>71</v>
      </c>
      <c r="J14" s="182">
        <v>0.86029999999999995</v>
      </c>
      <c r="K14" s="182">
        <v>0.89029999999999998</v>
      </c>
      <c r="L14" s="202">
        <v>0.8395667</v>
      </c>
      <c r="M14" s="202">
        <v>0.1604333</v>
      </c>
      <c r="N14" s="202">
        <v>0</v>
      </c>
      <c r="O14" s="202" t="s">
        <v>71</v>
      </c>
      <c r="P14" s="202">
        <v>0.8589</v>
      </c>
      <c r="Q14" s="202">
        <v>0.87570000000000003</v>
      </c>
      <c r="R14" s="202">
        <v>0.54249999999999998</v>
      </c>
      <c r="S14" s="202">
        <v>0.45750000000000002</v>
      </c>
      <c r="T14" s="202">
        <v>0</v>
      </c>
    </row>
    <row r="15" spans="1:23" x14ac:dyDescent="0.2">
      <c r="A15" s="214"/>
      <c r="B15" s="167">
        <v>5</v>
      </c>
      <c r="C15" s="198" t="s">
        <v>71</v>
      </c>
      <c r="D15" s="198">
        <v>0.8589</v>
      </c>
      <c r="E15" s="198">
        <v>0.84889999999999999</v>
      </c>
      <c r="F15" s="182">
        <v>0.45893329999999999</v>
      </c>
      <c r="G15" s="182">
        <v>0.54106670000000001</v>
      </c>
      <c r="H15" s="182">
        <v>0</v>
      </c>
      <c r="I15" s="182">
        <f t="shared" ref="I15" si="3">L15/N15</f>
        <v>0</v>
      </c>
      <c r="J15" s="182">
        <v>0.86029999999999995</v>
      </c>
      <c r="K15" s="182">
        <v>0.84789999999999999</v>
      </c>
      <c r="L15" s="202">
        <v>0</v>
      </c>
      <c r="M15" s="202">
        <v>0.45519999999999999</v>
      </c>
      <c r="N15" s="202">
        <v>0.54479999999999995</v>
      </c>
      <c r="O15" s="202" t="s">
        <v>71</v>
      </c>
      <c r="P15" s="202">
        <v>0.8589</v>
      </c>
      <c r="Q15" s="202">
        <v>0.86919999999999997</v>
      </c>
      <c r="R15" s="202">
        <v>0.5425333</v>
      </c>
      <c r="S15" s="202">
        <v>0.4574667</v>
      </c>
      <c r="T15" s="202">
        <v>0</v>
      </c>
    </row>
    <row r="16" spans="1:23" ht="17" thickBot="1" x14ac:dyDescent="0.25">
      <c r="A16" s="138"/>
      <c r="B16" s="115"/>
      <c r="C16" s="201"/>
      <c r="D16" s="201"/>
      <c r="E16" s="201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</row>
    <row r="17" spans="1:20" x14ac:dyDescent="0.2">
      <c r="A17" s="214" t="s">
        <v>75</v>
      </c>
      <c r="B17" s="167">
        <v>1</v>
      </c>
      <c r="C17" s="198">
        <f t="shared" ref="C17:C20" si="4">F17/H17</f>
        <v>0</v>
      </c>
      <c r="D17" s="198">
        <v>0.82699999999999996</v>
      </c>
      <c r="E17" s="198">
        <v>0.30759999999999998</v>
      </c>
      <c r="F17" s="202">
        <v>0</v>
      </c>
      <c r="G17" s="202">
        <v>0.16226670000000001</v>
      </c>
      <c r="H17" s="202">
        <v>0.83773330000000001</v>
      </c>
      <c r="I17" s="202">
        <f t="shared" ref="I17:I21" si="5">L17/N17</f>
        <v>0</v>
      </c>
      <c r="J17" s="202">
        <v>0.82589999999999997</v>
      </c>
      <c r="K17" s="202">
        <v>0.35249999999999998</v>
      </c>
      <c r="L17" s="202">
        <v>0</v>
      </c>
      <c r="M17" s="202">
        <v>0.1585</v>
      </c>
      <c r="N17" s="202">
        <v>0.84150000000000003</v>
      </c>
      <c r="O17" s="202">
        <f t="shared" ref="O17:O21" si="6">R17/T17</f>
        <v>0</v>
      </c>
      <c r="P17" s="202">
        <v>0.82699999999999996</v>
      </c>
      <c r="Q17" s="202">
        <v>0.37740000000000001</v>
      </c>
      <c r="R17" s="202">
        <v>0</v>
      </c>
      <c r="S17" s="202">
        <v>0.16239999999999999</v>
      </c>
      <c r="T17" s="198">
        <v>0.83760000000000001</v>
      </c>
    </row>
    <row r="18" spans="1:20" x14ac:dyDescent="0.2">
      <c r="A18" s="214"/>
      <c r="B18" s="167">
        <v>2</v>
      </c>
      <c r="C18" s="198">
        <f t="shared" si="4"/>
        <v>0</v>
      </c>
      <c r="D18" s="198">
        <v>0.82699999999999996</v>
      </c>
      <c r="E18" s="198">
        <v>0.3135</v>
      </c>
      <c r="F18" s="202">
        <v>0</v>
      </c>
      <c r="G18" s="202">
        <v>0.1605</v>
      </c>
      <c r="H18" s="202">
        <v>0.83950000000000002</v>
      </c>
      <c r="I18" s="202">
        <f t="shared" si="5"/>
        <v>0</v>
      </c>
      <c r="J18" s="202">
        <v>0.82589999999999997</v>
      </c>
      <c r="K18" s="202">
        <v>0.35460000000000003</v>
      </c>
      <c r="L18" s="202">
        <v>0</v>
      </c>
      <c r="M18" s="202">
        <v>0.1585</v>
      </c>
      <c r="N18" s="202">
        <v>0.84150000000000003</v>
      </c>
      <c r="O18" s="202">
        <f t="shared" si="6"/>
        <v>0</v>
      </c>
      <c r="P18" s="202">
        <v>0.82699999999999996</v>
      </c>
      <c r="Q18" s="202">
        <v>0.37740000000000001</v>
      </c>
      <c r="R18" s="202">
        <v>0</v>
      </c>
      <c r="S18" s="202">
        <v>0.1609333</v>
      </c>
      <c r="T18" s="198">
        <v>0.83906670000000005</v>
      </c>
    </row>
    <row r="19" spans="1:20" x14ac:dyDescent="0.2">
      <c r="A19" s="214"/>
      <c r="B19" s="167">
        <v>3</v>
      </c>
      <c r="C19" s="198">
        <f t="shared" si="4"/>
        <v>0</v>
      </c>
      <c r="D19" s="198">
        <v>0.82699999999999996</v>
      </c>
      <c r="E19" s="198">
        <v>0.73599999999999999</v>
      </c>
      <c r="F19" s="202">
        <v>0</v>
      </c>
      <c r="G19" s="202">
        <v>0.15996669999999999</v>
      </c>
      <c r="H19" s="202">
        <v>0.84003329999999998</v>
      </c>
      <c r="I19" s="202">
        <f t="shared" si="5"/>
        <v>0</v>
      </c>
      <c r="J19" s="202">
        <v>0.82589999999999997</v>
      </c>
      <c r="K19" s="202">
        <v>0.74409999999999998</v>
      </c>
      <c r="L19" s="202">
        <v>0</v>
      </c>
      <c r="M19" s="202">
        <v>0.1585</v>
      </c>
      <c r="N19" s="202">
        <v>0.84150000000000003</v>
      </c>
      <c r="O19" s="202">
        <f t="shared" si="6"/>
        <v>0</v>
      </c>
      <c r="P19" s="202">
        <v>0.82699999999999996</v>
      </c>
      <c r="Q19" s="202">
        <v>0.76590000000000003</v>
      </c>
      <c r="R19" s="202">
        <v>0</v>
      </c>
      <c r="S19" s="202">
        <v>0.15820000000000001</v>
      </c>
      <c r="T19" s="202">
        <v>0.84179999999999999</v>
      </c>
    </row>
    <row r="20" spans="1:20" x14ac:dyDescent="0.2">
      <c r="A20" s="214"/>
      <c r="B20" s="167">
        <v>4</v>
      </c>
      <c r="C20" s="198">
        <f t="shared" si="4"/>
        <v>0</v>
      </c>
      <c r="D20" s="198">
        <v>0.82699999999999996</v>
      </c>
      <c r="E20" s="198">
        <v>0.77329999999999999</v>
      </c>
      <c r="F20" s="182">
        <v>0</v>
      </c>
      <c r="G20" s="182">
        <v>0.1574333</v>
      </c>
      <c r="H20" s="182">
        <v>0.8425667</v>
      </c>
      <c r="I20" s="182">
        <f t="shared" si="5"/>
        <v>0</v>
      </c>
      <c r="J20" s="182">
        <v>0.82589999999999997</v>
      </c>
      <c r="K20" s="182">
        <v>0.77280000000000004</v>
      </c>
      <c r="L20" s="202">
        <v>0</v>
      </c>
      <c r="M20" s="202">
        <v>0.15903329999999999</v>
      </c>
      <c r="N20" s="202">
        <v>0.84096669999999996</v>
      </c>
      <c r="O20" s="202">
        <f t="shared" si="6"/>
        <v>0</v>
      </c>
      <c r="P20" s="202">
        <v>0.82699999999999996</v>
      </c>
      <c r="Q20" s="202">
        <v>0.76400000000000001</v>
      </c>
      <c r="R20" s="198">
        <v>0</v>
      </c>
      <c r="S20" s="202">
        <v>0.1584333</v>
      </c>
      <c r="T20" s="202">
        <v>0.8415667</v>
      </c>
    </row>
    <row r="21" spans="1:20" x14ac:dyDescent="0.2">
      <c r="A21" s="214"/>
      <c r="B21" s="167">
        <v>5</v>
      </c>
      <c r="C21" s="198" t="s">
        <v>71</v>
      </c>
      <c r="D21" s="198">
        <v>0.82699999999999996</v>
      </c>
      <c r="E21" s="198">
        <v>0.75919999999999999</v>
      </c>
      <c r="F21" s="182">
        <v>0</v>
      </c>
      <c r="G21" s="182">
        <v>0.15616669999999999</v>
      </c>
      <c r="H21" s="182">
        <v>0.84383330000000001</v>
      </c>
      <c r="I21" s="182">
        <f t="shared" si="5"/>
        <v>0</v>
      </c>
      <c r="J21" s="182">
        <v>0.82589999999999997</v>
      </c>
      <c r="K21" s="182">
        <v>0.75919999999999999</v>
      </c>
      <c r="L21" s="202">
        <v>0</v>
      </c>
      <c r="M21" s="202">
        <v>0.15966669999999999</v>
      </c>
      <c r="N21" s="202">
        <v>0.84033329999999995</v>
      </c>
      <c r="O21" s="202">
        <f t="shared" si="6"/>
        <v>0</v>
      </c>
      <c r="P21" s="202">
        <v>0.82699999999999996</v>
      </c>
      <c r="Q21" s="202">
        <v>0.75919999999999999</v>
      </c>
      <c r="R21" s="198">
        <v>0</v>
      </c>
      <c r="S21" s="202">
        <v>0.1589333</v>
      </c>
      <c r="T21" s="202">
        <v>0.84106669999999994</v>
      </c>
    </row>
    <row r="22" spans="1:20" x14ac:dyDescent="0.2">
      <c r="A22" s="130"/>
      <c r="B22" s="167"/>
      <c r="C22" s="198"/>
      <c r="D22" s="198"/>
      <c r="E22" s="198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</row>
    <row r="23" spans="1:20" x14ac:dyDescent="0.2">
      <c r="A23" s="214" t="s">
        <v>76</v>
      </c>
      <c r="B23" s="167">
        <v>1</v>
      </c>
      <c r="C23" s="198">
        <f t="shared" ref="C23:C25" si="7">F23/H23</f>
        <v>0</v>
      </c>
      <c r="D23" s="198">
        <v>0.82699999999999996</v>
      </c>
      <c r="E23" s="198">
        <v>0.85</v>
      </c>
      <c r="F23" s="202">
        <v>0</v>
      </c>
      <c r="G23" s="202">
        <v>0.1583</v>
      </c>
      <c r="H23" s="202">
        <v>0.8417</v>
      </c>
      <c r="I23" s="202" t="s">
        <v>71</v>
      </c>
      <c r="J23" s="202">
        <v>0.82589999999999997</v>
      </c>
      <c r="K23" s="202">
        <v>0.85740000000000005</v>
      </c>
      <c r="L23" s="202">
        <v>0.83736670000000002</v>
      </c>
      <c r="M23" s="202">
        <v>0.16263330000000001</v>
      </c>
      <c r="N23" s="202">
        <v>0</v>
      </c>
      <c r="O23" s="202" t="s">
        <v>71</v>
      </c>
      <c r="P23" s="202">
        <v>0.82699999999999996</v>
      </c>
      <c r="Q23" s="202">
        <v>0.86040000000000005</v>
      </c>
      <c r="R23" s="202">
        <v>0.83960000000000001</v>
      </c>
      <c r="S23" s="202">
        <v>0.16039999999999999</v>
      </c>
      <c r="T23" s="202">
        <v>0</v>
      </c>
    </row>
    <row r="24" spans="1:20" x14ac:dyDescent="0.2">
      <c r="A24" s="214"/>
      <c r="B24" s="167">
        <v>2</v>
      </c>
      <c r="C24" s="198">
        <f t="shared" si="7"/>
        <v>0</v>
      </c>
      <c r="D24" s="198">
        <v>0.82699999999999996</v>
      </c>
      <c r="E24" s="198">
        <v>0.8548</v>
      </c>
      <c r="F24" s="202">
        <v>0</v>
      </c>
      <c r="G24" s="202">
        <v>0.15906670000000001</v>
      </c>
      <c r="H24" s="202">
        <v>0.84093329999999999</v>
      </c>
      <c r="I24" s="202" t="s">
        <v>71</v>
      </c>
      <c r="J24" s="202">
        <v>0.82589999999999997</v>
      </c>
      <c r="K24" s="202">
        <v>0.86109999999999998</v>
      </c>
      <c r="L24" s="202">
        <v>0.8445667</v>
      </c>
      <c r="M24" s="202">
        <v>0.1554333</v>
      </c>
      <c r="N24" s="202">
        <v>0</v>
      </c>
      <c r="O24" s="202" t="s">
        <v>71</v>
      </c>
      <c r="P24" s="202">
        <v>0.82699999999999996</v>
      </c>
      <c r="Q24" s="202">
        <v>0.86570000000000003</v>
      </c>
      <c r="R24" s="202">
        <v>0.84026670000000003</v>
      </c>
      <c r="S24" s="202">
        <v>0.15973329999999999</v>
      </c>
      <c r="T24" s="202">
        <v>0</v>
      </c>
    </row>
    <row r="25" spans="1:20" x14ac:dyDescent="0.2">
      <c r="A25" s="214"/>
      <c r="B25" s="167">
        <v>3</v>
      </c>
      <c r="C25" s="198">
        <f t="shared" si="7"/>
        <v>0</v>
      </c>
      <c r="D25" s="198">
        <v>0.82699999999999996</v>
      </c>
      <c r="E25" s="198">
        <v>0.84550000000000003</v>
      </c>
      <c r="F25" s="202">
        <v>0</v>
      </c>
      <c r="G25" s="202">
        <v>0.16259999999999999</v>
      </c>
      <c r="H25" s="202">
        <v>0.83740000000000003</v>
      </c>
      <c r="I25" s="202" t="s">
        <v>71</v>
      </c>
      <c r="J25" s="202">
        <v>0.82589999999999997</v>
      </c>
      <c r="K25" s="202">
        <v>0.85009999999999997</v>
      </c>
      <c r="L25" s="202">
        <v>0.8385667</v>
      </c>
      <c r="M25" s="202">
        <v>0.1614333</v>
      </c>
      <c r="N25" s="202">
        <v>0</v>
      </c>
      <c r="O25" s="202" t="s">
        <v>71</v>
      </c>
      <c r="P25" s="202">
        <v>0.82699999999999996</v>
      </c>
      <c r="Q25" s="202">
        <v>0.85040000000000004</v>
      </c>
      <c r="R25" s="202">
        <v>0.84073330000000002</v>
      </c>
      <c r="S25" s="202">
        <v>0.15926670000000001</v>
      </c>
      <c r="T25" s="202">
        <v>0</v>
      </c>
    </row>
    <row r="26" spans="1:20" x14ac:dyDescent="0.2">
      <c r="A26" s="214"/>
      <c r="B26" s="167">
        <v>4</v>
      </c>
      <c r="C26" s="198" t="s">
        <v>71</v>
      </c>
      <c r="D26" s="198">
        <v>0.82699999999999996</v>
      </c>
      <c r="E26" s="198">
        <v>0.81399999999999995</v>
      </c>
      <c r="F26" s="202">
        <v>0.84340000000000004</v>
      </c>
      <c r="G26" s="202">
        <v>0.15659999999999999</v>
      </c>
      <c r="H26" s="202">
        <v>0</v>
      </c>
      <c r="I26" s="202" t="s">
        <v>71</v>
      </c>
      <c r="J26" s="202">
        <v>0.82589999999999997</v>
      </c>
      <c r="K26" s="202">
        <v>0.82020000000000004</v>
      </c>
      <c r="L26" s="202">
        <v>0</v>
      </c>
      <c r="M26" s="203">
        <v>1</v>
      </c>
      <c r="N26" s="202">
        <v>0</v>
      </c>
      <c r="O26" s="202" t="s">
        <v>71</v>
      </c>
      <c r="P26" s="202">
        <v>0.82699999999999996</v>
      </c>
      <c r="Q26" s="202">
        <v>0.82310000000000005</v>
      </c>
      <c r="R26" s="202">
        <v>0</v>
      </c>
      <c r="S26" s="202">
        <v>1</v>
      </c>
      <c r="T26" s="202">
        <v>0</v>
      </c>
    </row>
    <row r="27" spans="1:20" x14ac:dyDescent="0.2">
      <c r="A27" s="214"/>
      <c r="B27" s="167">
        <v>5</v>
      </c>
      <c r="C27" s="198" t="s">
        <v>71</v>
      </c>
      <c r="D27" s="198">
        <v>0.82699999999999996</v>
      </c>
      <c r="E27" s="198">
        <v>0.83740000000000003</v>
      </c>
      <c r="F27" s="182">
        <v>0</v>
      </c>
      <c r="G27" s="185">
        <v>1</v>
      </c>
      <c r="H27" s="182">
        <v>0</v>
      </c>
      <c r="I27" s="182" t="s">
        <v>71</v>
      </c>
      <c r="J27" s="182">
        <v>0.82589999999999997</v>
      </c>
      <c r="K27" s="182">
        <v>0.8488</v>
      </c>
      <c r="L27" s="202">
        <v>0.84030000000000005</v>
      </c>
      <c r="M27" s="202">
        <v>0.15970000000000001</v>
      </c>
      <c r="N27" s="202">
        <v>0</v>
      </c>
      <c r="O27" s="202" t="s">
        <v>71</v>
      </c>
      <c r="P27" s="202">
        <v>0.82699999999999996</v>
      </c>
      <c r="Q27" s="202">
        <v>0.85289999999999999</v>
      </c>
      <c r="R27" s="202">
        <v>0.84</v>
      </c>
      <c r="S27" s="202">
        <v>0.16</v>
      </c>
      <c r="T27" s="202">
        <v>0</v>
      </c>
    </row>
    <row r="28" spans="1:20" ht="17" thickBot="1" x14ac:dyDescent="0.25">
      <c r="A28" s="138"/>
      <c r="B28" s="115"/>
      <c r="C28" s="201"/>
      <c r="D28" s="201"/>
      <c r="E28" s="201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</row>
    <row r="29" spans="1:20" x14ac:dyDescent="0.2">
      <c r="A29" s="214" t="s">
        <v>77</v>
      </c>
      <c r="B29" s="167">
        <v>1</v>
      </c>
      <c r="C29" s="198">
        <f t="shared" ref="C29:C31" si="8">F29/H29</f>
        <v>0</v>
      </c>
      <c r="D29" s="198">
        <v>0.75919999999999999</v>
      </c>
      <c r="E29" s="198">
        <v>0.24079999999999999</v>
      </c>
      <c r="F29" s="202">
        <v>0</v>
      </c>
      <c r="G29" s="202">
        <v>0.1583</v>
      </c>
      <c r="H29" s="202">
        <v>0.8417</v>
      </c>
      <c r="I29" s="202">
        <f t="shared" ref="I29:I33" si="9">L29/N29</f>
        <v>0</v>
      </c>
      <c r="J29" s="202">
        <v>0.81120000000000003</v>
      </c>
      <c r="K29" s="202">
        <v>0.24079999999999999</v>
      </c>
      <c r="L29" s="202">
        <v>0</v>
      </c>
      <c r="M29" s="202">
        <v>0.1614333</v>
      </c>
      <c r="N29" s="202">
        <v>0.8385667</v>
      </c>
      <c r="O29" s="202">
        <f t="shared" ref="O29:O33" si="10">R29/T29</f>
        <v>0</v>
      </c>
      <c r="P29" s="202">
        <v>0.80510000000000004</v>
      </c>
      <c r="Q29" s="202">
        <v>0.24079999999999999</v>
      </c>
      <c r="R29" s="202">
        <v>0</v>
      </c>
      <c r="S29" s="202">
        <v>0.15976670000000001</v>
      </c>
      <c r="T29" s="202">
        <v>0.84023329999999996</v>
      </c>
    </row>
    <row r="30" spans="1:20" x14ac:dyDescent="0.2">
      <c r="A30" s="214"/>
      <c r="B30" s="167">
        <v>2</v>
      </c>
      <c r="C30" s="198">
        <f t="shared" si="8"/>
        <v>0</v>
      </c>
      <c r="D30" s="198">
        <v>0.75919999999999999</v>
      </c>
      <c r="E30" s="198">
        <v>0.30599999999999999</v>
      </c>
      <c r="F30" s="202">
        <v>0</v>
      </c>
      <c r="G30" s="202">
        <v>0.15906670000000001</v>
      </c>
      <c r="H30" s="202">
        <v>0.84093329999999999</v>
      </c>
      <c r="I30" s="202">
        <f t="shared" si="9"/>
        <v>0</v>
      </c>
      <c r="J30" s="202">
        <v>0.81120000000000003</v>
      </c>
      <c r="K30" s="202">
        <v>0.79400000000000004</v>
      </c>
      <c r="L30" s="202">
        <v>0</v>
      </c>
      <c r="M30" s="202">
        <v>0.45503329999999997</v>
      </c>
      <c r="N30" s="202">
        <v>0.54496670000000003</v>
      </c>
      <c r="O30" s="202">
        <f t="shared" si="10"/>
        <v>0</v>
      </c>
      <c r="P30" s="202">
        <v>0.80510000000000004</v>
      </c>
      <c r="Q30" s="202">
        <v>0.49299999999999999</v>
      </c>
      <c r="R30" s="202">
        <v>0</v>
      </c>
      <c r="S30" s="202">
        <v>0.1595</v>
      </c>
      <c r="T30" s="198">
        <v>0.84050000000000002</v>
      </c>
    </row>
    <row r="31" spans="1:20" x14ac:dyDescent="0.2">
      <c r="A31" s="214"/>
      <c r="B31" s="167">
        <v>3</v>
      </c>
      <c r="C31" s="198">
        <f t="shared" si="8"/>
        <v>0</v>
      </c>
      <c r="D31" s="198">
        <v>0.75919999999999999</v>
      </c>
      <c r="E31" s="198">
        <v>0.50260000000000005</v>
      </c>
      <c r="F31" s="202">
        <v>0</v>
      </c>
      <c r="G31" s="202">
        <v>0.16259999999999999</v>
      </c>
      <c r="H31" s="202">
        <v>0.83740000000000003</v>
      </c>
      <c r="I31" s="202">
        <f t="shared" si="9"/>
        <v>0</v>
      </c>
      <c r="J31" s="202">
        <v>0.81120000000000003</v>
      </c>
      <c r="K31" s="202">
        <v>0.79210000000000003</v>
      </c>
      <c r="L31" s="202">
        <v>0</v>
      </c>
      <c r="M31" s="202">
        <v>0.45519999999999999</v>
      </c>
      <c r="N31" s="202">
        <v>0.54479999999999995</v>
      </c>
      <c r="O31" s="202">
        <f t="shared" si="10"/>
        <v>0</v>
      </c>
      <c r="P31" s="202">
        <v>0.80510000000000004</v>
      </c>
      <c r="Q31" s="202">
        <v>0.74390000000000001</v>
      </c>
      <c r="R31" s="202">
        <v>0</v>
      </c>
      <c r="S31" s="202">
        <v>0.1579333</v>
      </c>
      <c r="T31" s="198">
        <v>0.84206669999999995</v>
      </c>
    </row>
    <row r="32" spans="1:20" x14ac:dyDescent="0.2">
      <c r="A32" s="214"/>
      <c r="B32" s="167">
        <v>4</v>
      </c>
      <c r="C32" s="198" t="s">
        <v>71</v>
      </c>
      <c r="D32" s="198">
        <v>0.75919999999999999</v>
      </c>
      <c r="E32" s="198">
        <v>0.78779999999999994</v>
      </c>
      <c r="F32" s="182">
        <v>0.84340000000000004</v>
      </c>
      <c r="G32" s="182">
        <v>0.15659999999999999</v>
      </c>
      <c r="H32" s="182">
        <v>0</v>
      </c>
      <c r="I32" s="182">
        <f t="shared" si="9"/>
        <v>0</v>
      </c>
      <c r="J32" s="182">
        <v>0.81120000000000003</v>
      </c>
      <c r="K32" s="182">
        <v>0.79079999999999995</v>
      </c>
      <c r="L32" s="202">
        <v>0</v>
      </c>
      <c r="M32" s="202">
        <v>0.15906670000000001</v>
      </c>
      <c r="N32" s="202">
        <v>0.84093329999999999</v>
      </c>
      <c r="O32" s="202">
        <f t="shared" si="10"/>
        <v>0</v>
      </c>
      <c r="P32" s="202">
        <v>0.80510000000000004</v>
      </c>
      <c r="Q32" s="202">
        <v>0.75919999999999999</v>
      </c>
      <c r="R32" s="198">
        <v>0</v>
      </c>
      <c r="S32" s="202">
        <v>0.16146669999999999</v>
      </c>
      <c r="T32" s="202">
        <v>0.83853330000000004</v>
      </c>
    </row>
    <row r="33" spans="1:20" x14ac:dyDescent="0.2">
      <c r="A33" s="214"/>
      <c r="B33" s="167">
        <v>5</v>
      </c>
      <c r="C33" s="198" t="s">
        <v>71</v>
      </c>
      <c r="D33" s="198">
        <v>0.75919999999999999</v>
      </c>
      <c r="E33" s="198">
        <v>0.75919999999999999</v>
      </c>
      <c r="F33" s="182">
        <v>0</v>
      </c>
      <c r="G33" s="185">
        <v>1</v>
      </c>
      <c r="H33" s="182">
        <v>0</v>
      </c>
      <c r="I33" s="182">
        <f t="shared" si="9"/>
        <v>0</v>
      </c>
      <c r="J33" s="182">
        <v>0.81120000000000003</v>
      </c>
      <c r="K33" s="182">
        <v>0.75919999999999999</v>
      </c>
      <c r="L33" s="202">
        <v>0</v>
      </c>
      <c r="M33" s="202">
        <v>0.1609333</v>
      </c>
      <c r="N33" s="202">
        <v>0.83906670000000005</v>
      </c>
      <c r="O33" s="202">
        <f t="shared" si="10"/>
        <v>0</v>
      </c>
      <c r="P33" s="202">
        <v>0.80510000000000004</v>
      </c>
      <c r="Q33" s="202">
        <v>0.77900000000000003</v>
      </c>
      <c r="R33" s="198">
        <v>0</v>
      </c>
      <c r="S33" s="202">
        <v>0.16026670000000001</v>
      </c>
      <c r="T33" s="202">
        <v>0.83973330000000002</v>
      </c>
    </row>
    <row r="34" spans="1:20" x14ac:dyDescent="0.2">
      <c r="A34" s="130"/>
      <c r="B34" s="167"/>
      <c r="C34" s="198"/>
      <c r="D34" s="198"/>
      <c r="E34" s="198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</row>
    <row r="35" spans="1:20" x14ac:dyDescent="0.2">
      <c r="A35" s="214" t="s">
        <v>78</v>
      </c>
      <c r="B35" s="167">
        <v>1</v>
      </c>
      <c r="C35" s="198" t="s">
        <v>71</v>
      </c>
      <c r="D35" s="198">
        <v>0.75919999999999999</v>
      </c>
      <c r="E35" s="198">
        <v>0.83</v>
      </c>
      <c r="F35" s="202">
        <v>0.8425667</v>
      </c>
      <c r="G35" s="202">
        <v>0.1574333</v>
      </c>
      <c r="H35" s="202">
        <v>0</v>
      </c>
      <c r="I35" s="202">
        <f t="shared" ref="I35:I39" si="11">L35/N35</f>
        <v>0</v>
      </c>
      <c r="J35" s="202">
        <v>0.81120000000000003</v>
      </c>
      <c r="K35" s="202">
        <v>0.78739999999999999</v>
      </c>
      <c r="L35" s="202">
        <v>0</v>
      </c>
      <c r="M35" s="202">
        <v>0.15766669999999999</v>
      </c>
      <c r="N35" s="202">
        <v>0.84233329999999995</v>
      </c>
      <c r="O35" s="202" t="s">
        <v>71</v>
      </c>
      <c r="P35" s="202">
        <v>0.80510000000000004</v>
      </c>
      <c r="Q35" s="202">
        <v>0.79869999999999997</v>
      </c>
      <c r="R35" s="202">
        <v>0</v>
      </c>
      <c r="S35" s="203">
        <v>1</v>
      </c>
      <c r="T35" s="202">
        <v>0</v>
      </c>
    </row>
    <row r="36" spans="1:20" x14ac:dyDescent="0.2">
      <c r="A36" s="214"/>
      <c r="B36" s="167">
        <v>2</v>
      </c>
      <c r="C36" s="198" t="s">
        <v>71</v>
      </c>
      <c r="D36" s="198">
        <v>0.75919999999999999</v>
      </c>
      <c r="E36" s="198">
        <v>0.75919999999999999</v>
      </c>
      <c r="F36" s="202">
        <v>0</v>
      </c>
      <c r="G36" s="203">
        <v>1</v>
      </c>
      <c r="H36" s="202">
        <v>0</v>
      </c>
      <c r="I36" s="202">
        <f t="shared" si="11"/>
        <v>0</v>
      </c>
      <c r="J36" s="202">
        <v>0.81120000000000003</v>
      </c>
      <c r="K36" s="202">
        <v>0.79700000000000004</v>
      </c>
      <c r="L36" s="202">
        <v>0</v>
      </c>
      <c r="M36" s="202">
        <v>0.45763330000000002</v>
      </c>
      <c r="N36" s="202">
        <v>0.54236669999999998</v>
      </c>
      <c r="O36" s="202" t="s">
        <v>71</v>
      </c>
      <c r="P36" s="202">
        <v>0.80510000000000004</v>
      </c>
      <c r="Q36" s="202">
        <v>0.80030000000000001</v>
      </c>
      <c r="R36" s="202">
        <v>0</v>
      </c>
      <c r="S36" s="203">
        <v>1</v>
      </c>
      <c r="T36" s="202">
        <v>0</v>
      </c>
    </row>
    <row r="37" spans="1:20" x14ac:dyDescent="0.2">
      <c r="A37" s="214"/>
      <c r="B37" s="167">
        <v>3</v>
      </c>
      <c r="C37" s="198" t="s">
        <v>71</v>
      </c>
      <c r="D37" s="198">
        <v>0.75919999999999999</v>
      </c>
      <c r="E37" s="198">
        <v>0.7893</v>
      </c>
      <c r="F37" s="202">
        <v>0.84309999999999996</v>
      </c>
      <c r="G37" s="202">
        <v>0.15690000000000001</v>
      </c>
      <c r="H37" s="202">
        <v>0</v>
      </c>
      <c r="I37" s="202" t="s">
        <v>71</v>
      </c>
      <c r="J37" s="202">
        <v>0.81120000000000003</v>
      </c>
      <c r="K37" s="202">
        <v>0.80210000000000004</v>
      </c>
      <c r="L37" s="202">
        <v>0</v>
      </c>
      <c r="M37" s="202">
        <v>1</v>
      </c>
      <c r="N37" s="202">
        <v>0</v>
      </c>
      <c r="O37" s="202" t="s">
        <v>71</v>
      </c>
      <c r="P37" s="202">
        <v>0.80510000000000004</v>
      </c>
      <c r="Q37" s="202">
        <v>0.80100000000000005</v>
      </c>
      <c r="R37" s="202">
        <v>0</v>
      </c>
      <c r="S37" s="203">
        <v>1</v>
      </c>
      <c r="T37" s="202">
        <v>0</v>
      </c>
    </row>
    <row r="38" spans="1:20" x14ac:dyDescent="0.2">
      <c r="A38" s="214"/>
      <c r="B38" s="167">
        <v>4</v>
      </c>
      <c r="C38" s="198">
        <f t="shared" ref="C38:C39" si="12">F38/H38</f>
        <v>0</v>
      </c>
      <c r="D38" s="198">
        <v>0.75919999999999999</v>
      </c>
      <c r="E38" s="198">
        <v>0.70540000000000003</v>
      </c>
      <c r="F38" s="202">
        <v>0</v>
      </c>
      <c r="G38" s="202">
        <v>0.16089999999999999</v>
      </c>
      <c r="H38" s="202">
        <v>0.83909999999999996</v>
      </c>
      <c r="I38" s="202">
        <f t="shared" si="11"/>
        <v>0</v>
      </c>
      <c r="J38" s="202">
        <v>0.81120000000000003</v>
      </c>
      <c r="K38" s="202">
        <v>0.78790000000000004</v>
      </c>
      <c r="L38" s="202">
        <v>0</v>
      </c>
      <c r="M38" s="202">
        <v>0.15876670000000001</v>
      </c>
      <c r="N38" s="202">
        <v>0.84123329999999996</v>
      </c>
      <c r="O38" s="202" t="s">
        <v>71</v>
      </c>
      <c r="P38" s="202">
        <v>0.80510000000000004</v>
      </c>
      <c r="Q38" s="202">
        <v>0.80069999999999997</v>
      </c>
      <c r="R38" s="202">
        <v>0</v>
      </c>
      <c r="S38" s="203">
        <v>1</v>
      </c>
      <c r="T38" s="202">
        <v>0</v>
      </c>
    </row>
    <row r="39" spans="1:20" x14ac:dyDescent="0.2">
      <c r="A39" s="214"/>
      <c r="B39" s="167">
        <v>5</v>
      </c>
      <c r="C39" s="198">
        <f t="shared" si="12"/>
        <v>0</v>
      </c>
      <c r="D39" s="198">
        <v>0.75919999999999999</v>
      </c>
      <c r="E39" s="198">
        <v>0.76900000000000002</v>
      </c>
      <c r="F39" s="182">
        <v>0</v>
      </c>
      <c r="G39" s="182">
        <v>0.1578667</v>
      </c>
      <c r="H39" s="182">
        <v>0.84213329999999997</v>
      </c>
      <c r="I39" s="182">
        <f t="shared" si="11"/>
        <v>0</v>
      </c>
      <c r="J39" s="182">
        <v>0.81120000000000003</v>
      </c>
      <c r="K39" s="182">
        <v>0.79710000000000003</v>
      </c>
      <c r="L39" s="202">
        <v>0</v>
      </c>
      <c r="M39" s="202">
        <v>0.15553330000000001</v>
      </c>
      <c r="N39" s="202">
        <v>0.84446670000000001</v>
      </c>
      <c r="O39" s="202" t="s">
        <v>71</v>
      </c>
      <c r="P39" s="202">
        <v>0.80510000000000004</v>
      </c>
      <c r="Q39" s="202">
        <v>0.74829999999999997</v>
      </c>
      <c r="R39" s="202">
        <v>0</v>
      </c>
      <c r="S39" s="203">
        <v>1</v>
      </c>
      <c r="T39" s="202">
        <v>0</v>
      </c>
    </row>
    <row r="40" spans="1:20" ht="17" thickBot="1" x14ac:dyDescent="0.25">
      <c r="A40" s="138"/>
      <c r="B40" s="115"/>
      <c r="C40" s="201"/>
      <c r="D40" s="201"/>
      <c r="E40" s="201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</row>
    <row r="41" spans="1:20" x14ac:dyDescent="0.2">
      <c r="A41" s="214" t="s">
        <v>79</v>
      </c>
      <c r="B41" s="167">
        <v>1</v>
      </c>
      <c r="C41" s="198">
        <f t="shared" ref="C41:C45" si="13">F41/H41</f>
        <v>0</v>
      </c>
      <c r="D41" s="198">
        <v>0.85329999999999995</v>
      </c>
      <c r="E41" s="198">
        <v>0.24879999999999999</v>
      </c>
      <c r="F41" s="202">
        <v>0</v>
      </c>
      <c r="G41" s="202">
        <v>0.16339999999999999</v>
      </c>
      <c r="H41" s="202">
        <v>0.83660000000000001</v>
      </c>
      <c r="I41" s="202">
        <f>L41/N41</f>
        <v>0</v>
      </c>
      <c r="J41" s="202">
        <v>0.85699999999999998</v>
      </c>
      <c r="K41" s="202">
        <v>0.2445</v>
      </c>
      <c r="L41" s="202">
        <v>0</v>
      </c>
      <c r="M41" s="202">
        <v>0.15623329999999999</v>
      </c>
      <c r="N41" s="202">
        <v>0.84376669999999998</v>
      </c>
      <c r="O41" s="202">
        <f>R41/T41</f>
        <v>0.98447102311505763</v>
      </c>
      <c r="P41" s="202">
        <v>0.85329999999999995</v>
      </c>
      <c r="Q41" s="202">
        <v>0.24360000000000001</v>
      </c>
      <c r="R41" s="202">
        <v>0.46489999999999998</v>
      </c>
      <c r="S41" s="202">
        <v>6.2866669999999999E-2</v>
      </c>
      <c r="T41" s="202">
        <v>0.47223330000000002</v>
      </c>
    </row>
    <row r="42" spans="1:20" x14ac:dyDescent="0.2">
      <c r="A42" s="214"/>
      <c r="B42" s="167">
        <v>2</v>
      </c>
      <c r="C42" s="198">
        <f t="shared" si="13"/>
        <v>0</v>
      </c>
      <c r="D42" s="198">
        <v>0.85329999999999995</v>
      </c>
      <c r="E42" s="198">
        <v>0.30470000000000003</v>
      </c>
      <c r="F42" s="202">
        <v>0</v>
      </c>
      <c r="G42" s="202">
        <v>0.15616669999999999</v>
      </c>
      <c r="H42" s="202">
        <v>0.84383330000000001</v>
      </c>
      <c r="I42" s="202">
        <f t="shared" ref="I42:I45" si="14">L42/N42</f>
        <v>0</v>
      </c>
      <c r="J42" s="202">
        <v>0.85699999999999998</v>
      </c>
      <c r="K42" s="202">
        <v>0.36649999999999999</v>
      </c>
      <c r="L42" s="202">
        <v>0</v>
      </c>
      <c r="M42" s="202">
        <v>0.16106670000000001</v>
      </c>
      <c r="N42" s="202">
        <v>0.83893329999999999</v>
      </c>
      <c r="O42" s="202">
        <f t="shared" ref="O42:O45" si="15">R42/T42</f>
        <v>0</v>
      </c>
      <c r="P42" s="202">
        <v>0.85329999999999995</v>
      </c>
      <c r="Q42" s="202">
        <v>0.46110000000000001</v>
      </c>
      <c r="R42" s="202">
        <v>0</v>
      </c>
      <c r="S42" s="202">
        <v>0.15716669999999999</v>
      </c>
      <c r="T42" s="202">
        <v>0.84283330000000001</v>
      </c>
    </row>
    <row r="43" spans="1:20" x14ac:dyDescent="0.2">
      <c r="A43" s="214"/>
      <c r="B43" s="167">
        <v>3</v>
      </c>
      <c r="C43" s="198">
        <f t="shared" si="13"/>
        <v>0</v>
      </c>
      <c r="D43" s="198">
        <v>0.85329999999999995</v>
      </c>
      <c r="E43" s="198">
        <v>0.45319999999999999</v>
      </c>
      <c r="F43" s="202">
        <v>0</v>
      </c>
      <c r="G43" s="202">
        <v>0.1607333</v>
      </c>
      <c r="H43" s="202">
        <v>0.83926670000000003</v>
      </c>
      <c r="I43" s="202">
        <f t="shared" si="14"/>
        <v>0</v>
      </c>
      <c r="J43" s="202">
        <v>0.85699999999999998</v>
      </c>
      <c r="K43" s="202">
        <v>0.58699999999999997</v>
      </c>
      <c r="L43" s="202">
        <v>0</v>
      </c>
      <c r="M43" s="202">
        <v>0.1608667</v>
      </c>
      <c r="N43" s="202">
        <v>0.83913329999999997</v>
      </c>
      <c r="O43" s="202">
        <f t="shared" si="15"/>
        <v>0</v>
      </c>
      <c r="P43" s="202">
        <v>0.85329999999999995</v>
      </c>
      <c r="Q43" s="202">
        <v>0.76559999999999995</v>
      </c>
      <c r="R43" s="202">
        <v>0</v>
      </c>
      <c r="S43" s="202">
        <v>0.16006670000000001</v>
      </c>
      <c r="T43" s="202">
        <v>0.83993329999999999</v>
      </c>
    </row>
    <row r="44" spans="1:20" x14ac:dyDescent="0.2">
      <c r="A44" s="214"/>
      <c r="B44" s="167">
        <v>4</v>
      </c>
      <c r="C44" s="198">
        <f t="shared" si="13"/>
        <v>0</v>
      </c>
      <c r="D44" s="198">
        <v>0.85329999999999995</v>
      </c>
      <c r="E44" s="198">
        <v>0.7752</v>
      </c>
      <c r="F44" s="182">
        <v>0</v>
      </c>
      <c r="G44" s="182">
        <v>0.15870000000000001</v>
      </c>
      <c r="H44" s="182">
        <v>0.84130000000000005</v>
      </c>
      <c r="I44" s="182">
        <f t="shared" si="14"/>
        <v>0</v>
      </c>
      <c r="J44" s="182">
        <v>0.85699999999999998</v>
      </c>
      <c r="K44" s="182">
        <v>0.72499999999999998</v>
      </c>
      <c r="L44" s="202">
        <v>0</v>
      </c>
      <c r="M44" s="202">
        <v>0.15726670000000001</v>
      </c>
      <c r="N44" s="202">
        <v>0.84273330000000002</v>
      </c>
      <c r="O44" s="202">
        <f t="shared" si="15"/>
        <v>0</v>
      </c>
      <c r="P44" s="202">
        <v>0.85329999999999995</v>
      </c>
      <c r="Q44" s="202">
        <v>0.78290000000000004</v>
      </c>
      <c r="R44" s="202">
        <v>0</v>
      </c>
      <c r="S44" s="202">
        <v>0.16046669999999999</v>
      </c>
      <c r="T44" s="202">
        <v>0.83953330000000004</v>
      </c>
    </row>
    <row r="45" spans="1:20" x14ac:dyDescent="0.2">
      <c r="A45" s="214"/>
      <c r="B45" s="167">
        <v>5</v>
      </c>
      <c r="C45" s="198">
        <f t="shared" si="13"/>
        <v>0</v>
      </c>
      <c r="D45" s="198">
        <v>0.85329999999999995</v>
      </c>
      <c r="E45" s="198">
        <v>0.68679999999999997</v>
      </c>
      <c r="F45" s="182">
        <v>0</v>
      </c>
      <c r="G45" s="182">
        <v>0.16020000000000001</v>
      </c>
      <c r="H45" s="182">
        <v>0.83979999999999999</v>
      </c>
      <c r="I45" s="182">
        <f t="shared" si="14"/>
        <v>0</v>
      </c>
      <c r="J45" s="182">
        <v>0.85699999999999998</v>
      </c>
      <c r="K45" s="182">
        <v>0.7581</v>
      </c>
      <c r="L45" s="202">
        <v>0</v>
      </c>
      <c r="M45" s="202">
        <v>0.1584333</v>
      </c>
      <c r="N45" s="202">
        <v>0.8415667</v>
      </c>
      <c r="O45" s="202">
        <f t="shared" si="15"/>
        <v>0</v>
      </c>
      <c r="P45" s="202">
        <v>0.85329999999999995</v>
      </c>
      <c r="Q45" s="202">
        <v>0.76290000000000002</v>
      </c>
      <c r="R45" s="202">
        <v>0</v>
      </c>
      <c r="S45" s="202">
        <v>0.1588</v>
      </c>
      <c r="T45" s="202">
        <v>0.84119999999999995</v>
      </c>
    </row>
    <row r="46" spans="1:20" x14ac:dyDescent="0.2">
      <c r="A46" s="130"/>
      <c r="B46" s="167"/>
      <c r="C46" s="198"/>
      <c r="D46" s="198"/>
      <c r="E46" s="198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</row>
    <row r="47" spans="1:20" x14ac:dyDescent="0.2">
      <c r="A47" s="214" t="s">
        <v>80</v>
      </c>
      <c r="B47" s="167">
        <v>1</v>
      </c>
      <c r="C47" s="198" t="s">
        <v>71</v>
      </c>
      <c r="D47" s="198">
        <v>0.24879999999999999</v>
      </c>
      <c r="E47" s="198">
        <v>0.85070000000000001</v>
      </c>
      <c r="F47" s="202">
        <v>0</v>
      </c>
      <c r="G47" s="203">
        <v>1</v>
      </c>
      <c r="H47" s="202">
        <v>0</v>
      </c>
      <c r="I47" s="202" t="s">
        <v>71</v>
      </c>
      <c r="J47" s="202">
        <v>0.85699999999999998</v>
      </c>
      <c r="K47" s="202">
        <v>0.85760000000000003</v>
      </c>
      <c r="L47" s="202">
        <v>0</v>
      </c>
      <c r="M47" s="203">
        <v>1</v>
      </c>
      <c r="N47" s="202">
        <v>0</v>
      </c>
      <c r="O47" s="202" t="s">
        <v>71</v>
      </c>
      <c r="P47" s="202">
        <v>0.85329999999999995</v>
      </c>
      <c r="Q47" s="202">
        <v>0.85189999999999999</v>
      </c>
      <c r="R47" s="202">
        <v>0</v>
      </c>
      <c r="S47" s="203">
        <v>1</v>
      </c>
      <c r="T47" s="202">
        <v>0</v>
      </c>
    </row>
    <row r="48" spans="1:20" x14ac:dyDescent="0.2">
      <c r="A48" s="214"/>
      <c r="B48" s="167">
        <v>2</v>
      </c>
      <c r="C48" s="198" t="s">
        <v>71</v>
      </c>
      <c r="D48" s="198">
        <v>0.30470000000000003</v>
      </c>
      <c r="E48" s="198">
        <v>0.84489999999999998</v>
      </c>
      <c r="F48" s="202">
        <v>0</v>
      </c>
      <c r="G48" s="203">
        <v>1</v>
      </c>
      <c r="H48" s="202">
        <v>0</v>
      </c>
      <c r="I48" s="202" t="s">
        <v>71</v>
      </c>
      <c r="J48" s="202">
        <v>0.85699999999999998</v>
      </c>
      <c r="K48" s="202">
        <v>0.84850000000000003</v>
      </c>
      <c r="L48" s="202">
        <v>0</v>
      </c>
      <c r="M48" s="203">
        <v>1</v>
      </c>
      <c r="N48" s="202">
        <v>0</v>
      </c>
      <c r="O48" s="202" t="s">
        <v>71</v>
      </c>
      <c r="P48" s="202">
        <v>0.85329999999999995</v>
      </c>
      <c r="Q48" s="202">
        <v>0.8458</v>
      </c>
      <c r="R48" s="202">
        <v>0</v>
      </c>
      <c r="S48" s="203">
        <v>1</v>
      </c>
      <c r="T48" s="202">
        <v>0</v>
      </c>
    </row>
    <row r="49" spans="1:20" x14ac:dyDescent="0.2">
      <c r="A49" s="214"/>
      <c r="B49" s="167">
        <v>3</v>
      </c>
      <c r="C49" s="198" t="s">
        <v>71</v>
      </c>
      <c r="D49" s="198">
        <v>0.45319999999999999</v>
      </c>
      <c r="E49" s="198">
        <v>0.83489999999999998</v>
      </c>
      <c r="F49" s="202">
        <v>0</v>
      </c>
      <c r="G49" s="203">
        <v>1</v>
      </c>
      <c r="H49" s="202">
        <v>0</v>
      </c>
      <c r="I49" s="202" t="s">
        <v>71</v>
      </c>
      <c r="J49" s="202">
        <v>0.85699999999999998</v>
      </c>
      <c r="K49" s="202">
        <v>0.84340000000000004</v>
      </c>
      <c r="L49" s="202">
        <v>0</v>
      </c>
      <c r="M49" s="203">
        <v>1</v>
      </c>
      <c r="N49" s="202">
        <v>0</v>
      </c>
      <c r="O49" s="202" t="s">
        <v>71</v>
      </c>
      <c r="P49" s="202">
        <v>0.85329999999999995</v>
      </c>
      <c r="Q49" s="202">
        <v>0.83819999999999995</v>
      </c>
      <c r="R49" s="202">
        <v>0</v>
      </c>
      <c r="S49" s="203">
        <v>1</v>
      </c>
      <c r="T49" s="202">
        <v>0</v>
      </c>
    </row>
    <row r="50" spans="1:20" x14ac:dyDescent="0.2">
      <c r="A50" s="214"/>
      <c r="B50" s="167">
        <v>4</v>
      </c>
      <c r="C50" s="198">
        <f t="shared" ref="C50:C51" si="16">F50/H50</f>
        <v>0</v>
      </c>
      <c r="D50" s="198">
        <v>0.7752</v>
      </c>
      <c r="E50" s="198">
        <v>0.8266</v>
      </c>
      <c r="F50" s="202">
        <v>0</v>
      </c>
      <c r="G50" s="202">
        <v>0.15973329999999999</v>
      </c>
      <c r="H50" s="202">
        <v>0.84026670000000003</v>
      </c>
      <c r="I50" s="202">
        <f t="shared" ref="I50:I51" si="17">L50/N50</f>
        <v>0</v>
      </c>
      <c r="J50" s="202">
        <v>0.85699999999999998</v>
      </c>
      <c r="K50" s="202">
        <v>0.82830000000000004</v>
      </c>
      <c r="L50" s="202">
        <v>0</v>
      </c>
      <c r="M50" s="202">
        <v>0.1602333</v>
      </c>
      <c r="N50" s="202">
        <v>0.83976669999999998</v>
      </c>
      <c r="O50" s="202">
        <f t="shared" ref="O50:O51" si="18">R50/T50</f>
        <v>0</v>
      </c>
      <c r="P50" s="202">
        <v>0.85329999999999995</v>
      </c>
      <c r="Q50" s="202">
        <v>0.78169999999999995</v>
      </c>
      <c r="R50" s="202">
        <v>0</v>
      </c>
      <c r="S50" s="202">
        <v>0.1543667</v>
      </c>
      <c r="T50" s="202">
        <v>0.84563330000000003</v>
      </c>
    </row>
    <row r="51" spans="1:20" x14ac:dyDescent="0.2">
      <c r="A51" s="214"/>
      <c r="B51" s="167">
        <v>5</v>
      </c>
      <c r="C51" s="198">
        <f t="shared" si="16"/>
        <v>0</v>
      </c>
      <c r="D51" s="198">
        <v>0.68679999999999997</v>
      </c>
      <c r="E51" s="198">
        <v>0.81399999999999995</v>
      </c>
      <c r="F51" s="182">
        <v>0</v>
      </c>
      <c r="G51" s="182">
        <v>0.15823329999999999</v>
      </c>
      <c r="H51" s="182">
        <v>0.84176669999999998</v>
      </c>
      <c r="I51" s="182">
        <f t="shared" si="17"/>
        <v>0</v>
      </c>
      <c r="J51" s="182">
        <v>0.85699999999999998</v>
      </c>
      <c r="K51" s="182">
        <v>0.82210000000000005</v>
      </c>
      <c r="L51" s="202">
        <v>0</v>
      </c>
      <c r="M51" s="202">
        <v>0.15916669999999999</v>
      </c>
      <c r="N51" s="202">
        <v>0.84083330000000001</v>
      </c>
      <c r="O51" s="202">
        <f t="shared" si="18"/>
        <v>0</v>
      </c>
      <c r="P51" s="202">
        <v>0.85329999999999995</v>
      </c>
      <c r="Q51" s="202">
        <v>0.81989999999999996</v>
      </c>
      <c r="R51" s="202">
        <v>0</v>
      </c>
      <c r="S51" s="202">
        <v>0.15859999999999999</v>
      </c>
      <c r="T51" s="202">
        <v>0.84140000000000004</v>
      </c>
    </row>
    <row r="52" spans="1:20" ht="17" thickBot="1" x14ac:dyDescent="0.25">
      <c r="A52" s="138"/>
      <c r="B52" s="115"/>
      <c r="C52" s="201"/>
      <c r="D52" s="201"/>
      <c r="E52" s="201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</row>
    <row r="53" spans="1:20" x14ac:dyDescent="0.2">
      <c r="A53" s="214" t="s">
        <v>81</v>
      </c>
      <c r="B53" s="167">
        <v>1</v>
      </c>
      <c r="C53" s="198">
        <f t="shared" ref="C53:C57" si="19">F53/H53</f>
        <v>0</v>
      </c>
      <c r="D53" s="198">
        <v>0.77280000000000004</v>
      </c>
      <c r="E53" s="198">
        <v>0.24079999999999999</v>
      </c>
      <c r="F53" s="202">
        <v>0</v>
      </c>
      <c r="G53" s="202">
        <v>0.16153329999999999</v>
      </c>
      <c r="H53" s="202">
        <v>0.83846670000000001</v>
      </c>
      <c r="I53" s="202">
        <f t="shared" ref="I53:I57" si="20">L53/N53</f>
        <v>0</v>
      </c>
      <c r="J53" s="202">
        <v>0.77510000000000001</v>
      </c>
      <c r="K53" s="202">
        <v>0.24079999999999999</v>
      </c>
      <c r="L53" s="202">
        <v>0</v>
      </c>
      <c r="M53" s="202">
        <v>0.1546333</v>
      </c>
      <c r="N53" s="202">
        <v>0.84536670000000003</v>
      </c>
      <c r="O53" s="202">
        <f t="shared" ref="O53:O57" si="21">R53/T53</f>
        <v>0</v>
      </c>
      <c r="P53" s="202">
        <v>0.77280000000000004</v>
      </c>
      <c r="Q53" s="202">
        <v>0.24079999999999999</v>
      </c>
      <c r="R53" s="202">
        <v>0</v>
      </c>
      <c r="S53" s="202">
        <v>0.1584333</v>
      </c>
      <c r="T53" s="202">
        <v>0.8415667</v>
      </c>
    </row>
    <row r="54" spans="1:20" x14ac:dyDescent="0.2">
      <c r="A54" s="214"/>
      <c r="B54" s="167">
        <v>2</v>
      </c>
      <c r="C54" s="198">
        <f t="shared" si="19"/>
        <v>0</v>
      </c>
      <c r="D54" s="198">
        <v>0.77280000000000004</v>
      </c>
      <c r="E54" s="198">
        <v>0.24079999999999999</v>
      </c>
      <c r="F54" s="182">
        <v>0</v>
      </c>
      <c r="G54" s="182">
        <v>0.15909999999999999</v>
      </c>
      <c r="H54" s="182">
        <v>0.84089999999999998</v>
      </c>
      <c r="I54" s="182">
        <f t="shared" si="20"/>
        <v>0</v>
      </c>
      <c r="J54" s="182">
        <v>0.77510000000000001</v>
      </c>
      <c r="K54" s="182">
        <v>0.4466</v>
      </c>
      <c r="L54" s="202">
        <v>0</v>
      </c>
      <c r="M54" s="202">
        <v>0.15696669999999999</v>
      </c>
      <c r="N54" s="202">
        <v>0.84303329999999999</v>
      </c>
      <c r="O54" s="202" t="s">
        <v>71</v>
      </c>
      <c r="P54" s="202">
        <v>0.77280000000000004</v>
      </c>
      <c r="Q54" s="202">
        <v>0.76339999999999997</v>
      </c>
      <c r="R54" s="202">
        <v>0</v>
      </c>
      <c r="S54" s="203">
        <v>1</v>
      </c>
      <c r="T54" s="202">
        <v>0</v>
      </c>
    </row>
    <row r="55" spans="1:20" x14ac:dyDescent="0.2">
      <c r="A55" s="214"/>
      <c r="B55" s="167">
        <v>3</v>
      </c>
      <c r="C55" s="198">
        <f t="shared" si="19"/>
        <v>0</v>
      </c>
      <c r="D55" s="198">
        <v>0.77280000000000004</v>
      </c>
      <c r="E55" s="198">
        <v>0.76129999999999998</v>
      </c>
      <c r="F55" s="202">
        <v>0</v>
      </c>
      <c r="G55" s="202">
        <v>0.15803329999999999</v>
      </c>
      <c r="H55" s="202">
        <v>0.84196669999999996</v>
      </c>
      <c r="I55" s="202">
        <f t="shared" si="20"/>
        <v>0</v>
      </c>
      <c r="J55" s="202">
        <v>0.77510000000000001</v>
      </c>
      <c r="K55" s="202">
        <v>0.76</v>
      </c>
      <c r="L55" s="202">
        <v>0</v>
      </c>
      <c r="M55" s="202">
        <v>0.16020000000000001</v>
      </c>
      <c r="N55" s="202">
        <v>0.83979999999999999</v>
      </c>
      <c r="O55" s="202" t="s">
        <v>71</v>
      </c>
      <c r="P55" s="202">
        <v>0.77280000000000004</v>
      </c>
      <c r="Q55" s="202">
        <v>0.77429999999999999</v>
      </c>
      <c r="R55" s="202">
        <v>0</v>
      </c>
      <c r="S55" s="203">
        <v>1</v>
      </c>
      <c r="T55" s="202">
        <v>0</v>
      </c>
    </row>
    <row r="56" spans="1:20" x14ac:dyDescent="0.2">
      <c r="A56" s="214"/>
      <c r="B56" s="167">
        <v>4</v>
      </c>
      <c r="C56" s="198">
        <f t="shared" si="19"/>
        <v>0</v>
      </c>
      <c r="D56" s="198">
        <v>0.77280000000000004</v>
      </c>
      <c r="E56" s="198">
        <v>0.75919999999999999</v>
      </c>
      <c r="F56" s="182">
        <v>0</v>
      </c>
      <c r="G56" s="182">
        <v>0.46479999999999999</v>
      </c>
      <c r="H56" s="182">
        <v>0.53520000000000001</v>
      </c>
      <c r="I56" s="182">
        <f t="shared" si="20"/>
        <v>0</v>
      </c>
      <c r="J56" s="182">
        <v>0.77510000000000001</v>
      </c>
      <c r="K56" s="182">
        <v>0.75919999999999999</v>
      </c>
      <c r="L56" s="202">
        <v>0</v>
      </c>
      <c r="M56" s="202">
        <v>0.46296670000000001</v>
      </c>
      <c r="N56" s="202">
        <v>0.53703330000000005</v>
      </c>
      <c r="O56" s="202">
        <f t="shared" si="21"/>
        <v>0</v>
      </c>
      <c r="P56" s="202">
        <v>0.77280000000000004</v>
      </c>
      <c r="Q56" s="202">
        <v>0.75919999999999999</v>
      </c>
      <c r="R56" s="202">
        <v>0</v>
      </c>
      <c r="S56" s="202">
        <v>0.45233329999999999</v>
      </c>
      <c r="T56" s="202">
        <v>0.54766669999999995</v>
      </c>
    </row>
    <row r="57" spans="1:20" x14ac:dyDescent="0.2">
      <c r="A57" s="214"/>
      <c r="B57" s="167">
        <v>5</v>
      </c>
      <c r="C57" s="198">
        <f t="shared" si="19"/>
        <v>0</v>
      </c>
      <c r="D57" s="198">
        <v>0.77280000000000004</v>
      </c>
      <c r="E57" s="198">
        <v>0.75919999999999999</v>
      </c>
      <c r="F57" s="182">
        <v>0</v>
      </c>
      <c r="G57" s="182">
        <v>0.4554667</v>
      </c>
      <c r="H57" s="182">
        <v>0.5445333</v>
      </c>
      <c r="I57" s="182">
        <f t="shared" si="20"/>
        <v>0</v>
      </c>
      <c r="J57" s="182">
        <v>0.77510000000000001</v>
      </c>
      <c r="K57" s="182">
        <v>0.75919999999999999</v>
      </c>
      <c r="L57" s="202">
        <v>0</v>
      </c>
      <c r="M57" s="202">
        <v>0.45723330000000001</v>
      </c>
      <c r="N57" s="202">
        <v>0.54276670000000005</v>
      </c>
      <c r="O57" s="202">
        <f t="shared" si="21"/>
        <v>0</v>
      </c>
      <c r="P57" s="202">
        <v>0.77280000000000004</v>
      </c>
      <c r="Q57" s="202">
        <v>0.75919999999999999</v>
      </c>
      <c r="R57" s="202">
        <v>0</v>
      </c>
      <c r="S57" s="202">
        <v>0.45700000000000002</v>
      </c>
      <c r="T57" s="202">
        <v>0.54300000000000004</v>
      </c>
    </row>
    <row r="58" spans="1:20" x14ac:dyDescent="0.2">
      <c r="A58" s="130"/>
      <c r="B58" s="167"/>
      <c r="C58" s="198"/>
      <c r="D58" s="198"/>
      <c r="E58" s="198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</row>
    <row r="59" spans="1:20" x14ac:dyDescent="0.2">
      <c r="A59" s="214" t="s">
        <v>82</v>
      </c>
      <c r="B59" s="167">
        <v>1</v>
      </c>
      <c r="C59" s="198" t="s">
        <v>71</v>
      </c>
      <c r="D59" s="198">
        <v>0.77280000000000004</v>
      </c>
      <c r="E59" s="198">
        <v>0.7742</v>
      </c>
      <c r="F59" s="202">
        <v>0</v>
      </c>
      <c r="G59" s="203">
        <v>1</v>
      </c>
      <c r="H59" s="202">
        <v>0</v>
      </c>
      <c r="I59" s="202" t="s">
        <v>71</v>
      </c>
      <c r="J59" s="202">
        <v>0.77510000000000001</v>
      </c>
      <c r="K59" s="202">
        <v>0.77339999999999998</v>
      </c>
      <c r="L59" s="202">
        <v>0</v>
      </c>
      <c r="M59" s="203">
        <v>1</v>
      </c>
      <c r="N59" s="202">
        <v>0</v>
      </c>
      <c r="O59" s="202" t="s">
        <v>71</v>
      </c>
      <c r="P59" s="202">
        <v>0.77280000000000004</v>
      </c>
      <c r="Q59" s="202">
        <v>0.7631</v>
      </c>
      <c r="R59" s="202">
        <v>0</v>
      </c>
      <c r="S59" s="203">
        <v>1</v>
      </c>
      <c r="T59" s="202">
        <v>0</v>
      </c>
    </row>
    <row r="60" spans="1:20" x14ac:dyDescent="0.2">
      <c r="A60" s="214"/>
      <c r="B60" s="167">
        <v>2</v>
      </c>
      <c r="C60" s="198">
        <f t="shared" ref="C60:C63" si="22">F60/H60</f>
        <v>0</v>
      </c>
      <c r="D60" s="198">
        <v>0.77280000000000004</v>
      </c>
      <c r="E60" s="198">
        <v>0.24079999999999999</v>
      </c>
      <c r="F60" s="182">
        <v>0</v>
      </c>
      <c r="G60" s="182">
        <v>0.15703329999999999</v>
      </c>
      <c r="H60" s="182">
        <v>0.84296669999999996</v>
      </c>
      <c r="I60" s="182">
        <f t="shared" ref="I60:I61" si="23">L60/N60</f>
        <v>0</v>
      </c>
      <c r="J60" s="182">
        <v>0.77510000000000001</v>
      </c>
      <c r="K60" s="182">
        <v>0.4466</v>
      </c>
      <c r="L60" s="202">
        <v>0</v>
      </c>
      <c r="M60" s="202">
        <v>0.158</v>
      </c>
      <c r="N60" s="202">
        <v>0.84199999999999997</v>
      </c>
      <c r="O60" s="202" t="s">
        <v>71</v>
      </c>
      <c r="P60" s="202">
        <v>0.77280000000000004</v>
      </c>
      <c r="Q60" s="202">
        <v>0.76339999999999997</v>
      </c>
      <c r="R60" s="202">
        <v>0</v>
      </c>
      <c r="S60" s="203">
        <v>1</v>
      </c>
      <c r="T60" s="202">
        <v>0</v>
      </c>
    </row>
    <row r="61" spans="1:20" x14ac:dyDescent="0.2">
      <c r="A61" s="214"/>
      <c r="B61" s="167">
        <v>3</v>
      </c>
      <c r="C61" s="198">
        <f t="shared" si="22"/>
        <v>0</v>
      </c>
      <c r="D61" s="198">
        <v>0.77280000000000004</v>
      </c>
      <c r="E61" s="198">
        <v>0.76129999999999998</v>
      </c>
      <c r="F61" s="202">
        <v>0</v>
      </c>
      <c r="G61" s="202">
        <v>0.46310000000000001</v>
      </c>
      <c r="H61" s="202">
        <v>0.53690000000000004</v>
      </c>
      <c r="I61" s="202">
        <f t="shared" si="23"/>
        <v>0</v>
      </c>
      <c r="J61" s="202">
        <v>0.77510000000000001</v>
      </c>
      <c r="K61" s="202">
        <v>0.76</v>
      </c>
      <c r="L61" s="202">
        <v>0</v>
      </c>
      <c r="M61" s="202">
        <v>0.46200000000000002</v>
      </c>
      <c r="N61" s="202">
        <v>0.53800000000000003</v>
      </c>
      <c r="O61" s="202" t="s">
        <v>71</v>
      </c>
      <c r="P61" s="202">
        <v>0.77280000000000004</v>
      </c>
      <c r="Q61" s="202">
        <v>0.77429999999999999</v>
      </c>
      <c r="R61" s="202">
        <v>0</v>
      </c>
      <c r="S61" s="203">
        <v>1</v>
      </c>
      <c r="T61" s="202">
        <v>0</v>
      </c>
    </row>
    <row r="62" spans="1:20" x14ac:dyDescent="0.2">
      <c r="A62" s="214"/>
      <c r="B62" s="167">
        <v>4</v>
      </c>
      <c r="C62" s="198">
        <f t="shared" si="22"/>
        <v>0</v>
      </c>
      <c r="D62" s="198">
        <v>0.77280000000000004</v>
      </c>
      <c r="E62" s="198">
        <v>0.75919999999999999</v>
      </c>
      <c r="F62" s="202">
        <v>0</v>
      </c>
      <c r="G62" s="202">
        <v>0.46110000000000001</v>
      </c>
      <c r="H62" s="202">
        <v>0.53890000000000005</v>
      </c>
      <c r="I62" s="202">
        <f>L62/N62</f>
        <v>0</v>
      </c>
      <c r="J62" s="202">
        <v>0.77510000000000001</v>
      </c>
      <c r="K62" s="202">
        <v>0.75919999999999999</v>
      </c>
      <c r="L62" s="202">
        <v>0</v>
      </c>
      <c r="M62" s="202">
        <v>0.4607</v>
      </c>
      <c r="N62" s="202">
        <v>0.5393</v>
      </c>
      <c r="O62" s="202">
        <f t="shared" ref="O62:O63" si="24">R62/T62</f>
        <v>0</v>
      </c>
      <c r="P62" s="202">
        <v>0.77280000000000004</v>
      </c>
      <c r="Q62" s="202">
        <v>0.75919999999999999</v>
      </c>
      <c r="R62" s="202">
        <v>0</v>
      </c>
      <c r="S62" s="202">
        <v>0.45786670000000002</v>
      </c>
      <c r="T62" s="202">
        <v>0.54213330000000004</v>
      </c>
    </row>
    <row r="63" spans="1:20" ht="17" thickBot="1" x14ac:dyDescent="0.25">
      <c r="A63" s="213"/>
      <c r="B63" s="115">
        <v>5</v>
      </c>
      <c r="C63" s="201">
        <f t="shared" si="22"/>
        <v>0</v>
      </c>
      <c r="D63" s="201">
        <v>0.77280000000000004</v>
      </c>
      <c r="E63" s="201">
        <v>0.75919999999999999</v>
      </c>
      <c r="F63" s="150">
        <v>0</v>
      </c>
      <c r="G63" s="150">
        <v>0.45553329999999997</v>
      </c>
      <c r="H63" s="150">
        <v>0.54446669999999997</v>
      </c>
      <c r="I63" s="150">
        <f>L63/N63</f>
        <v>0</v>
      </c>
      <c r="J63" s="150">
        <v>0.77510000000000001</v>
      </c>
      <c r="K63" s="150">
        <v>0.75919999999999999</v>
      </c>
      <c r="L63" s="150">
        <v>0</v>
      </c>
      <c r="M63" s="150">
        <v>0.45836670000000002</v>
      </c>
      <c r="N63" s="150">
        <v>0.54163329999999998</v>
      </c>
      <c r="O63" s="150">
        <f t="shared" si="24"/>
        <v>0</v>
      </c>
      <c r="P63" s="150">
        <v>0.77280000000000004</v>
      </c>
      <c r="Q63" s="150">
        <v>0.75919999999999999</v>
      </c>
      <c r="R63" s="158">
        <v>0</v>
      </c>
      <c r="S63" s="158">
        <v>0.45673330000000001</v>
      </c>
      <c r="T63" s="158">
        <v>0.54326669999999999</v>
      </c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A899-ED16-DC4E-A00B-D348D72FC5BA}">
  <dimension ref="A1:T63"/>
  <sheetViews>
    <sheetView showGridLines="0" workbookViewId="0">
      <selection activeCell="A2" sqref="A2:T63"/>
    </sheetView>
  </sheetViews>
  <sheetFormatPr baseColWidth="10" defaultRowHeight="16" x14ac:dyDescent="0.2"/>
  <cols>
    <col min="1" max="1" width="27.6640625" customWidth="1"/>
    <col min="4" max="4" width="23.1640625" customWidth="1"/>
    <col min="5" max="5" width="23.6640625" customWidth="1"/>
    <col min="10" max="10" width="21.6640625" customWidth="1"/>
    <col min="11" max="11" width="22.83203125" customWidth="1"/>
    <col min="16" max="16" width="21.6640625" customWidth="1"/>
    <col min="17" max="17" width="20.83203125" customWidth="1"/>
  </cols>
  <sheetData>
    <row r="1" spans="1:20" ht="17" thickBot="1" x14ac:dyDescent="0.25">
      <c r="A1" s="211" t="s">
        <v>358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35" thickBot="1" x14ac:dyDescent="0.25">
      <c r="A4" s="115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182</v>
      </c>
      <c r="D5" s="172" t="s">
        <v>203</v>
      </c>
      <c r="E5" s="171" t="s">
        <v>216</v>
      </c>
      <c r="F5" s="180"/>
      <c r="G5" s="180"/>
      <c r="H5" s="180"/>
      <c r="I5" s="181" t="s">
        <v>182</v>
      </c>
      <c r="J5" s="181" t="s">
        <v>254</v>
      </c>
      <c r="K5" s="181" t="s">
        <v>256</v>
      </c>
      <c r="L5" s="180"/>
      <c r="M5" s="180"/>
      <c r="N5" s="180"/>
      <c r="O5" s="181" t="s">
        <v>182</v>
      </c>
      <c r="P5" s="181" t="s">
        <v>289</v>
      </c>
      <c r="Q5" s="181" t="s">
        <v>290</v>
      </c>
      <c r="R5" s="180"/>
      <c r="S5" s="180"/>
      <c r="T5" s="180"/>
    </row>
    <row r="6" spans="1:20" x14ac:dyDescent="0.2">
      <c r="A6" s="214"/>
      <c r="B6" s="167">
        <v>2</v>
      </c>
      <c r="C6" s="172" t="s">
        <v>180</v>
      </c>
      <c r="D6" s="172" t="s">
        <v>203</v>
      </c>
      <c r="E6" s="171" t="s">
        <v>204</v>
      </c>
      <c r="F6" s="180"/>
      <c r="G6" s="180"/>
      <c r="H6" s="180"/>
      <c r="I6" s="181" t="s">
        <v>180</v>
      </c>
      <c r="J6" s="181" t="s">
        <v>254</v>
      </c>
      <c r="K6" s="181" t="s">
        <v>262</v>
      </c>
      <c r="L6" s="180"/>
      <c r="M6" s="180"/>
      <c r="N6" s="180"/>
      <c r="O6" s="181" t="s">
        <v>180</v>
      </c>
      <c r="P6" s="181" t="s">
        <v>289</v>
      </c>
      <c r="Q6" s="181" t="s">
        <v>291</v>
      </c>
      <c r="R6" s="180"/>
      <c r="S6" s="180"/>
      <c r="T6" s="180"/>
    </row>
    <row r="7" spans="1:20" x14ac:dyDescent="0.2">
      <c r="A7" s="214"/>
      <c r="B7" s="167">
        <v>3</v>
      </c>
      <c r="C7" s="172" t="s">
        <v>180</v>
      </c>
      <c r="D7" s="172" t="s">
        <v>203</v>
      </c>
      <c r="E7" s="171" t="s">
        <v>205</v>
      </c>
      <c r="F7" s="180"/>
      <c r="G7" s="180"/>
      <c r="H7" s="180"/>
      <c r="I7" s="181" t="s">
        <v>180</v>
      </c>
      <c r="J7" s="181" t="s">
        <v>254</v>
      </c>
      <c r="K7" s="181" t="s">
        <v>255</v>
      </c>
      <c r="L7" s="180"/>
      <c r="M7" s="180"/>
      <c r="N7" s="180"/>
      <c r="O7" s="181" t="s">
        <v>180</v>
      </c>
      <c r="P7" s="181" t="s">
        <v>289</v>
      </c>
      <c r="Q7" s="181" t="s">
        <v>292</v>
      </c>
      <c r="R7" s="180"/>
      <c r="S7" s="180"/>
      <c r="T7" s="180"/>
    </row>
    <row r="8" spans="1:20" x14ac:dyDescent="0.2">
      <c r="A8" s="214"/>
      <c r="B8" s="167">
        <v>4</v>
      </c>
      <c r="C8" s="172" t="s">
        <v>181</v>
      </c>
      <c r="D8" s="172" t="s">
        <v>203</v>
      </c>
      <c r="E8" s="171" t="s">
        <v>206</v>
      </c>
      <c r="F8" s="180"/>
      <c r="G8" s="180"/>
      <c r="H8" s="180"/>
      <c r="I8" s="181" t="s">
        <v>181</v>
      </c>
      <c r="J8" s="181" t="s">
        <v>254</v>
      </c>
      <c r="K8" s="181" t="s">
        <v>261</v>
      </c>
      <c r="L8" s="180"/>
      <c r="M8" s="180"/>
      <c r="N8" s="180"/>
      <c r="O8" s="181" t="s">
        <v>182</v>
      </c>
      <c r="P8" s="181" t="s">
        <v>289</v>
      </c>
      <c r="Q8" s="181" t="s">
        <v>293</v>
      </c>
      <c r="R8" s="180"/>
      <c r="S8" s="180"/>
      <c r="T8" s="180"/>
    </row>
    <row r="9" spans="1:20" x14ac:dyDescent="0.2">
      <c r="A9" s="214"/>
      <c r="B9" s="167">
        <v>5</v>
      </c>
      <c r="C9" s="172" t="s">
        <v>24</v>
      </c>
      <c r="D9" s="172" t="s">
        <v>203</v>
      </c>
      <c r="E9" s="171" t="s">
        <v>207</v>
      </c>
      <c r="F9" s="182"/>
      <c r="G9" s="182"/>
      <c r="H9" s="182"/>
      <c r="I9" s="171" t="s">
        <v>181</v>
      </c>
      <c r="J9" s="171" t="s">
        <v>254</v>
      </c>
      <c r="K9" s="171" t="s">
        <v>260</v>
      </c>
      <c r="L9" s="180"/>
      <c r="M9" s="180"/>
      <c r="N9" s="180"/>
      <c r="O9" s="181" t="s">
        <v>24</v>
      </c>
      <c r="P9" s="181" t="s">
        <v>289</v>
      </c>
      <c r="Q9" s="181" t="s">
        <v>294</v>
      </c>
      <c r="R9" s="180"/>
      <c r="S9" s="180"/>
      <c r="T9" s="180"/>
    </row>
    <row r="10" spans="1:20" x14ac:dyDescent="0.2">
      <c r="A10" s="130"/>
      <c r="B10" s="167"/>
      <c r="C10" s="172"/>
      <c r="D10" s="172"/>
      <c r="E10" s="171"/>
      <c r="F10" s="180"/>
      <c r="G10" s="180"/>
      <c r="H10" s="180"/>
      <c r="I10" s="180"/>
      <c r="J10" s="180"/>
      <c r="K10" s="180"/>
      <c r="L10" s="180"/>
      <c r="M10" s="180"/>
      <c r="N10" s="180"/>
      <c r="O10" s="181"/>
      <c r="P10" s="181"/>
      <c r="Q10" s="181"/>
      <c r="R10" s="180"/>
      <c r="S10" s="180"/>
      <c r="T10" s="180"/>
    </row>
    <row r="11" spans="1:20" x14ac:dyDescent="0.2">
      <c r="A11" s="214" t="s">
        <v>74</v>
      </c>
      <c r="B11" s="167">
        <v>1</v>
      </c>
      <c r="C11" s="172" t="s">
        <v>182</v>
      </c>
      <c r="D11" s="172" t="s">
        <v>203</v>
      </c>
      <c r="E11" s="171" t="s">
        <v>208</v>
      </c>
      <c r="F11" s="180"/>
      <c r="G11" s="180"/>
      <c r="H11" s="180"/>
      <c r="I11" s="180" t="s">
        <v>182</v>
      </c>
      <c r="J11" s="180" t="s">
        <v>254</v>
      </c>
      <c r="K11" s="180" t="s">
        <v>257</v>
      </c>
      <c r="L11" s="180"/>
      <c r="M11" s="180"/>
      <c r="N11" s="180"/>
      <c r="O11" s="181" t="s">
        <v>182</v>
      </c>
      <c r="P11" s="181" t="s">
        <v>289</v>
      </c>
      <c r="Q11" s="181" t="s">
        <v>295</v>
      </c>
      <c r="R11" s="180"/>
      <c r="S11" s="180"/>
      <c r="T11" s="180"/>
    </row>
    <row r="12" spans="1:20" x14ac:dyDescent="0.2">
      <c r="A12" s="214"/>
      <c r="B12" s="167">
        <v>2</v>
      </c>
      <c r="C12" s="172" t="s">
        <v>181</v>
      </c>
      <c r="D12" s="172" t="s">
        <v>203</v>
      </c>
      <c r="E12" s="171" t="s">
        <v>209</v>
      </c>
      <c r="F12" s="180"/>
      <c r="G12" s="180"/>
      <c r="H12" s="180"/>
      <c r="I12" s="181" t="s">
        <v>181</v>
      </c>
      <c r="J12" s="181" t="s">
        <v>254</v>
      </c>
      <c r="K12" s="181" t="s">
        <v>258</v>
      </c>
      <c r="L12" s="180"/>
      <c r="M12" s="183" t="s">
        <v>86</v>
      </c>
      <c r="N12" s="180"/>
      <c r="O12" s="181" t="s">
        <v>182</v>
      </c>
      <c r="P12" s="181" t="s">
        <v>289</v>
      </c>
      <c r="Q12" s="181" t="s">
        <v>296</v>
      </c>
      <c r="R12" s="180"/>
      <c r="S12" s="180"/>
      <c r="T12" s="180"/>
    </row>
    <row r="13" spans="1:20" x14ac:dyDescent="0.2">
      <c r="A13" s="214"/>
      <c r="B13" s="167">
        <v>3</v>
      </c>
      <c r="C13" s="172" t="s">
        <v>182</v>
      </c>
      <c r="D13" s="172" t="s">
        <v>203</v>
      </c>
      <c r="E13" s="171" t="s">
        <v>210</v>
      </c>
      <c r="F13" s="180"/>
      <c r="G13" s="180"/>
      <c r="H13" s="180"/>
      <c r="I13" s="181" t="s">
        <v>180</v>
      </c>
      <c r="J13" s="181" t="s">
        <v>254</v>
      </c>
      <c r="K13" s="181" t="s">
        <v>259</v>
      </c>
      <c r="L13" s="180"/>
      <c r="M13" s="180"/>
      <c r="N13" s="180"/>
      <c r="O13" s="181" t="s">
        <v>180</v>
      </c>
      <c r="P13" s="181" t="s">
        <v>289</v>
      </c>
      <c r="Q13" s="181" t="s">
        <v>297</v>
      </c>
      <c r="R13" s="180"/>
      <c r="S13" s="180"/>
      <c r="T13" s="180"/>
    </row>
    <row r="14" spans="1:20" x14ac:dyDescent="0.2">
      <c r="A14" s="214"/>
      <c r="B14" s="167">
        <v>4</v>
      </c>
      <c r="C14" s="172" t="s">
        <v>180</v>
      </c>
      <c r="D14" s="172" t="s">
        <v>203</v>
      </c>
      <c r="E14" s="171" t="s">
        <v>211</v>
      </c>
      <c r="F14" s="182"/>
      <c r="G14" s="182"/>
      <c r="H14" s="182"/>
      <c r="I14" s="171" t="s">
        <v>180</v>
      </c>
      <c r="J14" s="171" t="s">
        <v>254</v>
      </c>
      <c r="K14" s="171" t="s">
        <v>263</v>
      </c>
      <c r="L14" s="180"/>
      <c r="M14" s="180"/>
      <c r="N14" s="180"/>
      <c r="O14" s="181" t="s">
        <v>180</v>
      </c>
      <c r="P14" s="181" t="s">
        <v>289</v>
      </c>
      <c r="Q14" s="181" t="s">
        <v>298</v>
      </c>
      <c r="R14" s="180"/>
      <c r="S14" s="180"/>
      <c r="T14" s="180"/>
    </row>
    <row r="15" spans="1:20" x14ac:dyDescent="0.2">
      <c r="A15" s="214"/>
      <c r="B15" s="167">
        <v>5</v>
      </c>
      <c r="C15" s="172" t="s">
        <v>24</v>
      </c>
      <c r="D15" s="172" t="s">
        <v>203</v>
      </c>
      <c r="E15" s="171" t="s">
        <v>212</v>
      </c>
      <c r="F15" s="182"/>
      <c r="G15" s="182"/>
      <c r="H15" s="182"/>
      <c r="I15" s="171" t="s">
        <v>181</v>
      </c>
      <c r="J15" s="171" t="s">
        <v>254</v>
      </c>
      <c r="K15" s="171" t="s">
        <v>264</v>
      </c>
      <c r="L15" s="180"/>
      <c r="M15" s="180"/>
      <c r="N15" s="180"/>
      <c r="O15" s="181" t="s">
        <v>180</v>
      </c>
      <c r="P15" s="181" t="s">
        <v>289</v>
      </c>
      <c r="Q15" s="181" t="s">
        <v>299</v>
      </c>
      <c r="R15" s="180"/>
      <c r="S15" s="180"/>
      <c r="T15" s="180"/>
    </row>
    <row r="16" spans="1:20" ht="17" thickBot="1" x14ac:dyDescent="0.25">
      <c r="A16" s="138"/>
      <c r="B16" s="115"/>
      <c r="C16" s="114"/>
      <c r="D16" s="114"/>
      <c r="E16" s="114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1:20" x14ac:dyDescent="0.2">
      <c r="A17" s="214" t="s">
        <v>75</v>
      </c>
      <c r="B17" s="167">
        <v>1</v>
      </c>
      <c r="C17" s="172" t="s">
        <v>180</v>
      </c>
      <c r="D17" s="172" t="s">
        <v>213</v>
      </c>
      <c r="E17" s="172" t="s">
        <v>214</v>
      </c>
      <c r="F17" s="180"/>
      <c r="G17" s="180"/>
      <c r="H17" s="180"/>
      <c r="I17" s="181" t="s">
        <v>180</v>
      </c>
      <c r="J17" s="181" t="s">
        <v>265</v>
      </c>
      <c r="K17" s="181" t="s">
        <v>267</v>
      </c>
      <c r="L17" s="180"/>
      <c r="M17" s="180"/>
      <c r="N17" s="180"/>
      <c r="O17" s="181" t="s">
        <v>180</v>
      </c>
      <c r="P17" s="181" t="s">
        <v>300</v>
      </c>
      <c r="Q17" s="181" t="s">
        <v>301</v>
      </c>
      <c r="R17" s="180"/>
      <c r="S17" s="180"/>
      <c r="T17" s="180"/>
    </row>
    <row r="18" spans="1:20" x14ac:dyDescent="0.2">
      <c r="A18" s="214"/>
      <c r="B18" s="167">
        <v>2</v>
      </c>
      <c r="C18" s="172" t="s">
        <v>180</v>
      </c>
      <c r="D18" s="172" t="s">
        <v>213</v>
      </c>
      <c r="E18" s="172" t="s">
        <v>215</v>
      </c>
      <c r="F18" s="180"/>
      <c r="G18" s="180"/>
      <c r="H18" s="180"/>
      <c r="I18" s="181" t="s">
        <v>180</v>
      </c>
      <c r="J18" s="181" t="s">
        <v>265</v>
      </c>
      <c r="K18" s="181" t="s">
        <v>268</v>
      </c>
      <c r="L18" s="180"/>
      <c r="M18" s="180"/>
      <c r="N18" s="180"/>
      <c r="O18" s="181" t="s">
        <v>180</v>
      </c>
      <c r="P18" s="181" t="s">
        <v>300</v>
      </c>
      <c r="Q18" s="181" t="s">
        <v>302</v>
      </c>
      <c r="R18" s="180"/>
      <c r="S18" s="180"/>
      <c r="T18" s="180" t="s">
        <v>86</v>
      </c>
    </row>
    <row r="19" spans="1:20" x14ac:dyDescent="0.2">
      <c r="A19" s="214"/>
      <c r="B19" s="167">
        <v>3</v>
      </c>
      <c r="C19" s="172" t="s">
        <v>180</v>
      </c>
      <c r="D19" s="172" t="s">
        <v>213</v>
      </c>
      <c r="E19" s="172" t="s">
        <v>217</v>
      </c>
      <c r="F19" s="180"/>
      <c r="G19" s="180"/>
      <c r="H19" s="180"/>
      <c r="I19" s="181" t="s">
        <v>180</v>
      </c>
      <c r="J19" s="181" t="s">
        <v>265</v>
      </c>
      <c r="K19" s="181" t="s">
        <v>269</v>
      </c>
      <c r="L19" s="180"/>
      <c r="M19" s="180"/>
      <c r="N19" s="180"/>
      <c r="O19" s="181" t="s">
        <v>180</v>
      </c>
      <c r="P19" s="181" t="s">
        <v>300</v>
      </c>
      <c r="Q19" s="181" t="s">
        <v>303</v>
      </c>
      <c r="R19" s="180"/>
      <c r="S19" s="180"/>
      <c r="T19" s="180"/>
    </row>
    <row r="20" spans="1:20" x14ac:dyDescent="0.2">
      <c r="A20" s="214"/>
      <c r="B20" s="167">
        <v>4</v>
      </c>
      <c r="C20" s="172" t="s">
        <v>181</v>
      </c>
      <c r="D20" s="172" t="s">
        <v>213</v>
      </c>
      <c r="E20" s="172" t="s">
        <v>218</v>
      </c>
      <c r="F20" s="182"/>
      <c r="G20" s="182"/>
      <c r="H20" s="182"/>
      <c r="I20" s="171" t="s">
        <v>182</v>
      </c>
      <c r="J20" s="171" t="s">
        <v>265</v>
      </c>
      <c r="K20" s="171" t="s">
        <v>270</v>
      </c>
      <c r="L20" s="180"/>
      <c r="M20" s="180"/>
      <c r="N20" s="180"/>
      <c r="O20" s="181" t="s">
        <v>182</v>
      </c>
      <c r="P20" s="181" t="s">
        <v>300</v>
      </c>
      <c r="Q20" s="181" t="s">
        <v>304</v>
      </c>
      <c r="R20" s="180"/>
      <c r="S20" s="180"/>
      <c r="T20" s="180"/>
    </row>
    <row r="21" spans="1:20" x14ac:dyDescent="0.2">
      <c r="A21" s="214"/>
      <c r="B21" s="167">
        <v>5</v>
      </c>
      <c r="C21" s="172" t="s">
        <v>24</v>
      </c>
      <c r="D21" s="172" t="s">
        <v>213</v>
      </c>
      <c r="E21" s="172" t="s">
        <v>219</v>
      </c>
      <c r="F21" s="182"/>
      <c r="G21" s="182"/>
      <c r="H21" s="182"/>
      <c r="I21" s="166" t="s">
        <v>181</v>
      </c>
      <c r="J21" s="166" t="s">
        <v>265</v>
      </c>
      <c r="K21" s="166" t="s">
        <v>266</v>
      </c>
      <c r="L21" s="183" t="s">
        <v>86</v>
      </c>
      <c r="M21" s="180"/>
      <c r="N21" s="180"/>
      <c r="O21" s="180"/>
      <c r="P21" s="180" t="s">
        <v>300</v>
      </c>
      <c r="Q21" s="180" t="s">
        <v>306</v>
      </c>
      <c r="R21" s="180"/>
      <c r="S21" s="180"/>
      <c r="T21" s="180"/>
    </row>
    <row r="22" spans="1:20" x14ac:dyDescent="0.2">
      <c r="A22" s="130"/>
      <c r="B22" s="167"/>
      <c r="C22" s="172"/>
      <c r="D22" s="172"/>
      <c r="E22" s="172"/>
      <c r="F22" s="180"/>
      <c r="G22" s="180"/>
      <c r="H22" s="180"/>
      <c r="I22" s="180"/>
      <c r="J22" s="180"/>
      <c r="K22" s="180"/>
      <c r="L22" s="180"/>
      <c r="M22" s="180"/>
      <c r="N22" s="180"/>
      <c r="O22" s="181"/>
      <c r="P22" s="181"/>
      <c r="Q22" s="181"/>
      <c r="R22" s="180"/>
      <c r="S22" s="180"/>
      <c r="T22" s="180"/>
    </row>
    <row r="23" spans="1:20" x14ac:dyDescent="0.2">
      <c r="A23" s="214" t="s">
        <v>76</v>
      </c>
      <c r="B23" s="167">
        <v>1</v>
      </c>
      <c r="C23" s="172" t="s">
        <v>182</v>
      </c>
      <c r="D23" s="172" t="s">
        <v>213</v>
      </c>
      <c r="E23" s="172" t="s">
        <v>220</v>
      </c>
      <c r="F23" s="180"/>
      <c r="G23" s="180"/>
      <c r="H23" s="180"/>
      <c r="I23" s="181" t="s">
        <v>181</v>
      </c>
      <c r="J23" s="181" t="s">
        <v>265</v>
      </c>
      <c r="K23" s="181" t="s">
        <v>271</v>
      </c>
      <c r="L23" s="180"/>
      <c r="M23" s="180"/>
      <c r="N23" s="180"/>
      <c r="O23" s="181" t="s">
        <v>182</v>
      </c>
      <c r="P23" s="181" t="s">
        <v>300</v>
      </c>
      <c r="Q23" s="181" t="s">
        <v>307</v>
      </c>
      <c r="R23" s="180"/>
      <c r="S23" s="180"/>
      <c r="T23" s="180"/>
    </row>
    <row r="24" spans="1:20" x14ac:dyDescent="0.2">
      <c r="A24" s="214"/>
      <c r="B24" s="167">
        <v>2</v>
      </c>
      <c r="C24" s="172" t="s">
        <v>180</v>
      </c>
      <c r="D24" s="172" t="s">
        <v>213</v>
      </c>
      <c r="E24" s="172" t="s">
        <v>221</v>
      </c>
      <c r="F24" s="180"/>
      <c r="G24" s="180"/>
      <c r="H24" s="180"/>
      <c r="I24" s="181" t="s">
        <v>182</v>
      </c>
      <c r="J24" s="181" t="s">
        <v>265</v>
      </c>
      <c r="K24" s="181" t="s">
        <v>272</v>
      </c>
      <c r="L24" s="180"/>
      <c r="M24" s="180"/>
      <c r="N24" s="180"/>
      <c r="O24" s="181" t="s">
        <v>180</v>
      </c>
      <c r="P24" s="181" t="s">
        <v>300</v>
      </c>
      <c r="Q24" s="181" t="s">
        <v>308</v>
      </c>
      <c r="R24" s="180"/>
      <c r="S24" s="180"/>
      <c r="T24" s="180"/>
    </row>
    <row r="25" spans="1:20" x14ac:dyDescent="0.2">
      <c r="A25" s="214"/>
      <c r="B25" s="167">
        <v>3</v>
      </c>
      <c r="C25" s="172" t="s">
        <v>180</v>
      </c>
      <c r="D25" s="172" t="s">
        <v>213</v>
      </c>
      <c r="E25" s="172" t="s">
        <v>222</v>
      </c>
      <c r="F25" s="180"/>
      <c r="G25" s="180"/>
      <c r="H25" s="180"/>
      <c r="I25" s="181" t="s">
        <v>180</v>
      </c>
      <c r="J25" s="181" t="s">
        <v>265</v>
      </c>
      <c r="K25" s="181" t="s">
        <v>273</v>
      </c>
      <c r="L25" s="180"/>
      <c r="M25" s="180"/>
      <c r="N25" s="180"/>
      <c r="O25" s="181" t="s">
        <v>180</v>
      </c>
      <c r="P25" s="181" t="s">
        <v>300</v>
      </c>
      <c r="Q25" s="181" t="s">
        <v>309</v>
      </c>
      <c r="R25" s="180"/>
      <c r="S25" s="180"/>
      <c r="T25" s="180"/>
    </row>
    <row r="26" spans="1:20" x14ac:dyDescent="0.2">
      <c r="A26" s="214"/>
      <c r="B26" s="167">
        <v>4</v>
      </c>
      <c r="C26" s="172" t="s">
        <v>180</v>
      </c>
      <c r="D26" s="172" t="s">
        <v>213</v>
      </c>
      <c r="E26" s="172" t="s">
        <v>223</v>
      </c>
      <c r="F26" s="180"/>
      <c r="G26" s="180"/>
      <c r="H26" s="180"/>
      <c r="I26" s="181" t="s">
        <v>180</v>
      </c>
      <c r="J26" s="181" t="s">
        <v>265</v>
      </c>
      <c r="K26" s="181" t="s">
        <v>274</v>
      </c>
      <c r="L26" s="180"/>
      <c r="M26" s="180"/>
      <c r="N26" s="180"/>
      <c r="O26" s="181" t="s">
        <v>180</v>
      </c>
      <c r="P26" s="181" t="s">
        <v>300</v>
      </c>
      <c r="Q26" s="181" t="s">
        <v>310</v>
      </c>
      <c r="R26" s="180"/>
      <c r="S26" s="180"/>
      <c r="T26" s="180"/>
    </row>
    <row r="27" spans="1:20" x14ac:dyDescent="0.2">
      <c r="A27" s="214"/>
      <c r="B27" s="167">
        <v>5</v>
      </c>
      <c r="C27" s="172" t="s">
        <v>180</v>
      </c>
      <c r="D27" s="172" t="s">
        <v>213</v>
      </c>
      <c r="E27" s="172" t="s">
        <v>224</v>
      </c>
      <c r="F27" s="182"/>
      <c r="G27" s="182"/>
      <c r="H27" s="182"/>
      <c r="I27" s="171" t="s">
        <v>180</v>
      </c>
      <c r="J27" s="171" t="s">
        <v>265</v>
      </c>
      <c r="K27" s="171" t="s">
        <v>275</v>
      </c>
      <c r="L27" s="180"/>
      <c r="M27" s="180"/>
      <c r="N27" s="180"/>
      <c r="O27" s="180" t="s">
        <v>180</v>
      </c>
      <c r="P27" s="180" t="s">
        <v>300</v>
      </c>
      <c r="Q27" s="180" t="s">
        <v>311</v>
      </c>
      <c r="R27" s="180"/>
      <c r="S27" s="180"/>
      <c r="T27" s="180"/>
    </row>
    <row r="28" spans="1:20" ht="17" thickBot="1" x14ac:dyDescent="0.25">
      <c r="A28" s="138"/>
      <c r="B28" s="115"/>
      <c r="C28" s="114"/>
      <c r="D28" s="114"/>
      <c r="E28" s="114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1:20" x14ac:dyDescent="0.2">
      <c r="A29" s="214" t="s">
        <v>77</v>
      </c>
      <c r="B29" s="167">
        <v>1</v>
      </c>
      <c r="C29" s="167" t="s">
        <v>181</v>
      </c>
      <c r="D29" s="167" t="s">
        <v>225</v>
      </c>
      <c r="E29" s="167" t="s">
        <v>226</v>
      </c>
      <c r="F29" s="183" t="s">
        <v>86</v>
      </c>
      <c r="G29" s="180"/>
      <c r="H29" s="180"/>
      <c r="I29" s="1" t="s">
        <v>181</v>
      </c>
      <c r="J29" s="1" t="s">
        <v>276</v>
      </c>
      <c r="K29" s="1" t="s">
        <v>344</v>
      </c>
      <c r="L29" s="183" t="s">
        <v>86</v>
      </c>
      <c r="M29" s="180"/>
      <c r="N29" s="180"/>
      <c r="O29" s="184" t="s">
        <v>181</v>
      </c>
      <c r="P29" s="184" t="s">
        <v>312</v>
      </c>
      <c r="Q29" s="184" t="s">
        <v>313</v>
      </c>
      <c r="R29" s="183" t="s">
        <v>86</v>
      </c>
      <c r="S29" s="180"/>
      <c r="T29" s="180"/>
    </row>
    <row r="30" spans="1:20" x14ac:dyDescent="0.2">
      <c r="A30" s="214"/>
      <c r="B30" s="167">
        <v>2</v>
      </c>
      <c r="C30" s="172" t="s">
        <v>180</v>
      </c>
      <c r="D30" s="172" t="s">
        <v>225</v>
      </c>
      <c r="E30" s="172" t="s">
        <v>227</v>
      </c>
      <c r="F30" s="180"/>
      <c r="G30" s="180"/>
      <c r="H30" s="180"/>
      <c r="I30" s="181" t="s">
        <v>180</v>
      </c>
      <c r="J30" s="181" t="s">
        <v>276</v>
      </c>
      <c r="K30" s="181" t="s">
        <v>345</v>
      </c>
      <c r="L30" s="180"/>
      <c r="M30" s="180"/>
      <c r="N30" s="180"/>
      <c r="O30" s="181" t="s">
        <v>180</v>
      </c>
      <c r="P30" s="181" t="s">
        <v>312</v>
      </c>
      <c r="Q30" s="181" t="s">
        <v>314</v>
      </c>
      <c r="R30" s="180"/>
      <c r="S30" s="180"/>
      <c r="T30" s="180"/>
    </row>
    <row r="31" spans="1:20" x14ac:dyDescent="0.2">
      <c r="A31" s="214"/>
      <c r="B31" s="167">
        <v>3</v>
      </c>
      <c r="C31" s="172" t="s">
        <v>180</v>
      </c>
      <c r="D31" s="172" t="s">
        <v>225</v>
      </c>
      <c r="E31" s="172" t="s">
        <v>228</v>
      </c>
      <c r="F31" s="180"/>
      <c r="G31" s="180"/>
      <c r="H31" s="180"/>
      <c r="I31" s="181" t="s">
        <v>180</v>
      </c>
      <c r="J31" s="181" t="s">
        <v>276</v>
      </c>
      <c r="K31" s="181" t="s">
        <v>346</v>
      </c>
      <c r="L31" s="180"/>
      <c r="M31" s="180"/>
      <c r="N31" s="180"/>
      <c r="O31" s="181" t="s">
        <v>180</v>
      </c>
      <c r="P31" s="181" t="s">
        <v>312</v>
      </c>
      <c r="Q31" s="181" t="s">
        <v>315</v>
      </c>
      <c r="R31" s="180"/>
      <c r="S31" s="180"/>
      <c r="T31" s="180"/>
    </row>
    <row r="32" spans="1:20" x14ac:dyDescent="0.2">
      <c r="A32" s="214"/>
      <c r="B32" s="167">
        <v>4</v>
      </c>
      <c r="C32" s="172" t="s">
        <v>181</v>
      </c>
      <c r="D32" s="172" t="s">
        <v>225</v>
      </c>
      <c r="E32" s="172" t="s">
        <v>229</v>
      </c>
      <c r="F32" s="182"/>
      <c r="G32" s="182"/>
      <c r="H32" s="182"/>
      <c r="I32" s="171" t="s">
        <v>182</v>
      </c>
      <c r="J32" s="171" t="s">
        <v>276</v>
      </c>
      <c r="K32" s="171" t="s">
        <v>347</v>
      </c>
      <c r="L32" s="180"/>
      <c r="M32" s="180"/>
      <c r="N32" s="180"/>
      <c r="O32" s="181" t="s">
        <v>182</v>
      </c>
      <c r="P32" s="181" t="s">
        <v>312</v>
      </c>
      <c r="Q32" s="181" t="s">
        <v>316</v>
      </c>
      <c r="R32" s="180"/>
      <c r="S32" s="180"/>
      <c r="T32" s="180"/>
    </row>
    <row r="33" spans="1:20" x14ac:dyDescent="0.2">
      <c r="A33" s="214"/>
      <c r="B33" s="167">
        <v>5</v>
      </c>
      <c r="C33" s="172" t="s">
        <v>24</v>
      </c>
      <c r="D33" s="172" t="s">
        <v>225</v>
      </c>
      <c r="E33" s="172" t="s">
        <v>219</v>
      </c>
      <c r="F33" s="182"/>
      <c r="G33" s="182"/>
      <c r="H33" s="182"/>
      <c r="I33" s="171" t="s">
        <v>180</v>
      </c>
      <c r="J33" s="171" t="s">
        <v>276</v>
      </c>
      <c r="K33" s="171" t="s">
        <v>348</v>
      </c>
      <c r="L33" s="180"/>
      <c r="M33" s="180"/>
      <c r="N33" s="180"/>
      <c r="O33" s="181" t="s">
        <v>24</v>
      </c>
      <c r="P33" s="181" t="s">
        <v>312</v>
      </c>
      <c r="Q33" s="181" t="s">
        <v>317</v>
      </c>
      <c r="R33" s="180"/>
      <c r="S33" s="180"/>
      <c r="T33" s="180"/>
    </row>
    <row r="34" spans="1:20" x14ac:dyDescent="0.2">
      <c r="A34" s="130"/>
      <c r="B34" s="167"/>
      <c r="C34" s="172"/>
      <c r="D34" s="172"/>
      <c r="E34" s="172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</row>
    <row r="35" spans="1:20" x14ac:dyDescent="0.2">
      <c r="A35" s="214" t="s">
        <v>78</v>
      </c>
      <c r="B35" s="167">
        <v>1</v>
      </c>
      <c r="C35" s="172" t="s">
        <v>182</v>
      </c>
      <c r="D35" s="172" t="s">
        <v>225</v>
      </c>
      <c r="E35" s="172" t="s">
        <v>230</v>
      </c>
      <c r="F35" s="180"/>
      <c r="G35" s="180"/>
      <c r="H35" s="180"/>
      <c r="I35" s="181" t="s">
        <v>180</v>
      </c>
      <c r="J35" s="181" t="s">
        <v>276</v>
      </c>
      <c r="K35" s="181" t="s">
        <v>349</v>
      </c>
      <c r="L35" s="180"/>
      <c r="M35" s="180"/>
      <c r="N35" s="183" t="s">
        <v>86</v>
      </c>
      <c r="O35" s="181" t="s">
        <v>182</v>
      </c>
      <c r="P35" s="181" t="s">
        <v>312</v>
      </c>
      <c r="Q35" s="181" t="s">
        <v>318</v>
      </c>
      <c r="R35" s="180"/>
      <c r="S35" s="180"/>
      <c r="T35" s="180"/>
    </row>
    <row r="36" spans="1:20" x14ac:dyDescent="0.2">
      <c r="A36" s="214"/>
      <c r="B36" s="167">
        <v>2</v>
      </c>
      <c r="C36" s="172" t="s">
        <v>182</v>
      </c>
      <c r="D36" s="172" t="s">
        <v>225</v>
      </c>
      <c r="E36" s="172" t="s">
        <v>231</v>
      </c>
      <c r="F36" s="180"/>
      <c r="G36" s="180"/>
      <c r="H36" s="180"/>
      <c r="I36" s="181" t="s">
        <v>182</v>
      </c>
      <c r="J36" s="181" t="s">
        <v>276</v>
      </c>
      <c r="K36" s="181" t="s">
        <v>350</v>
      </c>
      <c r="L36" s="180"/>
      <c r="M36" s="180"/>
      <c r="N36" s="180"/>
      <c r="O36" s="184" t="s">
        <v>181</v>
      </c>
      <c r="P36" s="181" t="s">
        <v>312</v>
      </c>
      <c r="Q36" s="181" t="s">
        <v>319</v>
      </c>
      <c r="R36" s="180"/>
      <c r="S36" s="180"/>
      <c r="T36" s="180"/>
    </row>
    <row r="37" spans="1:20" x14ac:dyDescent="0.2">
      <c r="A37" s="214"/>
      <c r="B37" s="167">
        <v>3</v>
      </c>
      <c r="C37" s="172" t="s">
        <v>182</v>
      </c>
      <c r="D37" s="172" t="s">
        <v>225</v>
      </c>
      <c r="E37" s="172" t="s">
        <v>232</v>
      </c>
      <c r="F37" s="180"/>
      <c r="G37" s="180"/>
      <c r="H37" s="180"/>
      <c r="I37" s="181" t="s">
        <v>182</v>
      </c>
      <c r="J37" s="181" t="s">
        <v>276</v>
      </c>
      <c r="K37" s="181" t="s">
        <v>351</v>
      </c>
      <c r="L37" s="180"/>
      <c r="M37" s="180"/>
      <c r="N37" s="180"/>
      <c r="O37" s="184" t="s">
        <v>181</v>
      </c>
      <c r="P37" s="181" t="s">
        <v>312</v>
      </c>
      <c r="Q37" s="181" t="s">
        <v>320</v>
      </c>
      <c r="R37" s="180"/>
      <c r="S37" s="180"/>
      <c r="T37" s="180"/>
    </row>
    <row r="38" spans="1:20" x14ac:dyDescent="0.2">
      <c r="A38" s="214"/>
      <c r="B38" s="167">
        <v>4</v>
      </c>
      <c r="C38" s="172" t="s">
        <v>181</v>
      </c>
      <c r="D38" s="172" t="s">
        <v>225</v>
      </c>
      <c r="E38" s="172" t="s">
        <v>233</v>
      </c>
      <c r="F38" s="180"/>
      <c r="G38" s="180"/>
      <c r="H38" s="180"/>
      <c r="I38" s="181" t="s">
        <v>181</v>
      </c>
      <c r="J38" s="181" t="s">
        <v>276</v>
      </c>
      <c r="K38" s="181" t="s">
        <v>352</v>
      </c>
      <c r="L38" s="180"/>
      <c r="M38" s="180"/>
      <c r="N38" s="180"/>
      <c r="O38" s="184" t="s">
        <v>181</v>
      </c>
      <c r="P38" s="181" t="s">
        <v>312</v>
      </c>
      <c r="Q38" s="181" t="s">
        <v>321</v>
      </c>
      <c r="R38" s="180"/>
      <c r="S38" s="180"/>
      <c r="T38" s="180"/>
    </row>
    <row r="39" spans="1:20" x14ac:dyDescent="0.2">
      <c r="A39" s="214"/>
      <c r="B39" s="167">
        <v>5</v>
      </c>
      <c r="C39" s="167" t="s">
        <v>181</v>
      </c>
      <c r="D39" s="167" t="s">
        <v>225</v>
      </c>
      <c r="E39" s="167" t="s">
        <v>234</v>
      </c>
      <c r="F39" s="185" t="s">
        <v>86</v>
      </c>
      <c r="G39" s="182"/>
      <c r="H39" s="182"/>
      <c r="I39" s="166" t="s">
        <v>181</v>
      </c>
      <c r="J39" s="166" t="s">
        <v>276</v>
      </c>
      <c r="K39" s="166" t="s">
        <v>353</v>
      </c>
      <c r="L39" s="183" t="s">
        <v>86</v>
      </c>
      <c r="M39" s="180"/>
      <c r="N39" s="180"/>
      <c r="O39" s="181" t="s">
        <v>181</v>
      </c>
      <c r="P39" s="181" t="s">
        <v>312</v>
      </c>
      <c r="Q39" s="181" t="s">
        <v>322</v>
      </c>
      <c r="R39" s="180"/>
      <c r="S39" s="180"/>
      <c r="T39" s="180"/>
    </row>
    <row r="40" spans="1:20" ht="17" thickBot="1" x14ac:dyDescent="0.25">
      <c r="A40" s="138"/>
      <c r="B40" s="115"/>
      <c r="C40" s="114"/>
      <c r="D40" s="114"/>
      <c r="E40" s="114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1:20" x14ac:dyDescent="0.2">
      <c r="A41" s="214" t="s">
        <v>79</v>
      </c>
      <c r="B41" s="167">
        <v>1</v>
      </c>
      <c r="C41" s="172" t="s">
        <v>181</v>
      </c>
      <c r="D41" s="172" t="s">
        <v>235</v>
      </c>
      <c r="E41" s="172" t="s">
        <v>236</v>
      </c>
      <c r="F41" s="180"/>
      <c r="G41" s="180"/>
      <c r="H41" s="180"/>
      <c r="I41" s="181" t="s">
        <v>182</v>
      </c>
      <c r="J41" s="181" t="s">
        <v>277</v>
      </c>
      <c r="K41" s="181" t="s">
        <v>278</v>
      </c>
      <c r="L41" s="180"/>
      <c r="M41" s="180"/>
      <c r="N41" s="180"/>
      <c r="O41" s="181" t="s">
        <v>180</v>
      </c>
      <c r="P41" s="181" t="s">
        <v>323</v>
      </c>
      <c r="Q41" s="181" t="s">
        <v>324</v>
      </c>
      <c r="R41" s="180"/>
      <c r="S41" s="180"/>
      <c r="T41" s="180"/>
    </row>
    <row r="42" spans="1:20" x14ac:dyDescent="0.2">
      <c r="A42" s="214"/>
      <c r="B42" s="167">
        <v>2</v>
      </c>
      <c r="C42" s="172" t="s">
        <v>180</v>
      </c>
      <c r="D42" s="172" t="s">
        <v>235</v>
      </c>
      <c r="E42" s="172" t="s">
        <v>237</v>
      </c>
      <c r="F42" s="180"/>
      <c r="G42" s="180"/>
      <c r="H42" s="180"/>
      <c r="I42" s="181" t="s">
        <v>180</v>
      </c>
      <c r="J42" s="181" t="s">
        <v>277</v>
      </c>
      <c r="K42" s="181" t="s">
        <v>279</v>
      </c>
      <c r="L42" s="180"/>
      <c r="M42" s="180"/>
      <c r="N42" s="180"/>
      <c r="O42" s="181" t="s">
        <v>180</v>
      </c>
      <c r="P42" s="181" t="s">
        <v>323</v>
      </c>
      <c r="Q42" s="181" t="s">
        <v>325</v>
      </c>
      <c r="R42" s="180"/>
      <c r="S42" s="180"/>
      <c r="T42" s="180"/>
    </row>
    <row r="43" spans="1:20" x14ac:dyDescent="0.2">
      <c r="A43" s="214"/>
      <c r="B43" s="167">
        <v>3</v>
      </c>
      <c r="C43" s="172" t="s">
        <v>180</v>
      </c>
      <c r="D43" s="172" t="s">
        <v>235</v>
      </c>
      <c r="E43" s="172" t="s">
        <v>238</v>
      </c>
      <c r="F43" s="180"/>
      <c r="G43" s="180"/>
      <c r="H43" s="180"/>
      <c r="I43" s="181" t="s">
        <v>180</v>
      </c>
      <c r="J43" s="181" t="s">
        <v>277</v>
      </c>
      <c r="K43" s="181" t="s">
        <v>280</v>
      </c>
      <c r="L43" s="180"/>
      <c r="M43" s="180"/>
      <c r="N43" s="180"/>
      <c r="O43" s="181" t="s">
        <v>180</v>
      </c>
      <c r="P43" s="181" t="s">
        <v>323</v>
      </c>
      <c r="Q43" s="181" t="s">
        <v>326</v>
      </c>
      <c r="R43" s="180"/>
      <c r="S43" s="180"/>
      <c r="T43" s="180"/>
    </row>
    <row r="44" spans="1:20" x14ac:dyDescent="0.2">
      <c r="A44" s="214"/>
      <c r="B44" s="167">
        <v>4</v>
      </c>
      <c r="C44" s="172" t="s">
        <v>181</v>
      </c>
      <c r="D44" s="172" t="s">
        <v>235</v>
      </c>
      <c r="E44" s="172" t="s">
        <v>239</v>
      </c>
      <c r="F44" s="182"/>
      <c r="G44" s="182"/>
      <c r="H44" s="182"/>
      <c r="I44" s="171" t="s">
        <v>182</v>
      </c>
      <c r="J44" s="171" t="s">
        <v>277</v>
      </c>
      <c r="K44" s="171" t="s">
        <v>281</v>
      </c>
      <c r="L44" s="180"/>
      <c r="M44" s="180"/>
      <c r="N44" s="180"/>
      <c r="O44" s="181" t="s">
        <v>182</v>
      </c>
      <c r="P44" s="181" t="s">
        <v>323</v>
      </c>
      <c r="Q44" s="181" t="s">
        <v>327</v>
      </c>
      <c r="R44" s="180"/>
      <c r="S44" s="180"/>
      <c r="T44" s="180"/>
    </row>
    <row r="45" spans="1:20" x14ac:dyDescent="0.2">
      <c r="A45" s="214"/>
      <c r="B45" s="167">
        <v>5</v>
      </c>
      <c r="C45" s="172" t="s">
        <v>24</v>
      </c>
      <c r="D45" s="172" t="s">
        <v>235</v>
      </c>
      <c r="E45" s="172" t="s">
        <v>305</v>
      </c>
      <c r="F45" s="182"/>
      <c r="G45" s="182"/>
      <c r="H45" s="182"/>
      <c r="I45" s="171" t="s">
        <v>180</v>
      </c>
      <c r="J45" s="171" t="s">
        <v>277</v>
      </c>
      <c r="K45" s="171" t="s">
        <v>282</v>
      </c>
      <c r="L45" s="180"/>
      <c r="M45" s="180"/>
      <c r="N45" s="180"/>
      <c r="O45" s="180" t="s">
        <v>24</v>
      </c>
      <c r="P45" s="180" t="s">
        <v>323</v>
      </c>
      <c r="Q45" s="180" t="s">
        <v>328</v>
      </c>
      <c r="R45" s="180"/>
      <c r="S45" s="180"/>
      <c r="T45" s="180"/>
    </row>
    <row r="46" spans="1:20" x14ac:dyDescent="0.2">
      <c r="A46" s="130"/>
      <c r="B46" s="167"/>
      <c r="C46" s="172"/>
      <c r="D46" s="172"/>
      <c r="E46" s="172"/>
      <c r="F46" s="180"/>
      <c r="G46" s="180"/>
      <c r="H46" s="180"/>
      <c r="I46" s="180"/>
      <c r="J46" s="180"/>
      <c r="K46" s="180"/>
      <c r="L46" s="180"/>
      <c r="M46" s="180"/>
      <c r="N46" s="180"/>
      <c r="O46" s="181"/>
      <c r="P46" s="181"/>
      <c r="Q46" s="181"/>
      <c r="R46" s="180"/>
      <c r="S46" s="180"/>
      <c r="T46" s="180"/>
    </row>
    <row r="47" spans="1:20" x14ac:dyDescent="0.2">
      <c r="A47" s="214" t="s">
        <v>80</v>
      </c>
      <c r="B47" s="167">
        <v>1</v>
      </c>
      <c r="C47" s="172" t="s">
        <v>180</v>
      </c>
      <c r="D47" s="172" t="s">
        <v>235</v>
      </c>
      <c r="E47" s="172" t="s">
        <v>240</v>
      </c>
      <c r="F47" s="180"/>
      <c r="G47" s="180"/>
      <c r="H47" s="180"/>
      <c r="I47" s="180" t="s">
        <v>180</v>
      </c>
      <c r="J47" s="180" t="s">
        <v>277</v>
      </c>
      <c r="K47" s="180" t="s">
        <v>283</v>
      </c>
      <c r="L47" s="180"/>
      <c r="M47" s="180"/>
      <c r="N47" s="180"/>
      <c r="O47" s="181" t="s">
        <v>180</v>
      </c>
      <c r="P47" s="181" t="s">
        <v>323</v>
      </c>
      <c r="Q47" s="181" t="s">
        <v>329</v>
      </c>
      <c r="R47" s="180"/>
      <c r="S47" s="180"/>
      <c r="T47" s="180"/>
    </row>
    <row r="48" spans="1:20" x14ac:dyDescent="0.2">
      <c r="A48" s="214"/>
      <c r="B48" s="167">
        <v>2</v>
      </c>
      <c r="C48" s="172" t="s">
        <v>181</v>
      </c>
      <c r="D48" s="172" t="s">
        <v>235</v>
      </c>
      <c r="E48" s="172" t="s">
        <v>241</v>
      </c>
      <c r="F48" s="180"/>
      <c r="G48" s="180"/>
      <c r="H48" s="180"/>
      <c r="I48" s="181" t="s">
        <v>180</v>
      </c>
      <c r="J48" s="181" t="s">
        <v>277</v>
      </c>
      <c r="K48" s="181" t="s">
        <v>284</v>
      </c>
      <c r="L48" s="180"/>
      <c r="M48" s="180"/>
      <c r="N48" s="180"/>
      <c r="O48" s="181" t="s">
        <v>180</v>
      </c>
      <c r="P48" s="181" t="s">
        <v>323</v>
      </c>
      <c r="Q48" s="181" t="s">
        <v>331</v>
      </c>
      <c r="R48" s="180"/>
      <c r="S48" s="180"/>
      <c r="T48" s="180"/>
    </row>
    <row r="49" spans="1:20" x14ac:dyDescent="0.2">
      <c r="A49" s="214"/>
      <c r="B49" s="167">
        <v>3</v>
      </c>
      <c r="C49" s="172" t="s">
        <v>180</v>
      </c>
      <c r="D49" s="172" t="s">
        <v>235</v>
      </c>
      <c r="E49" s="172" t="s">
        <v>242</v>
      </c>
      <c r="F49" s="180"/>
      <c r="G49" s="180"/>
      <c r="H49" s="180"/>
      <c r="I49" s="181" t="s">
        <v>180</v>
      </c>
      <c r="J49" s="181" t="s">
        <v>277</v>
      </c>
      <c r="K49" s="181" t="s">
        <v>285</v>
      </c>
      <c r="L49" s="180"/>
      <c r="M49" s="180"/>
      <c r="N49" s="180"/>
      <c r="O49" s="181" t="s">
        <v>180</v>
      </c>
      <c r="P49" s="181" t="s">
        <v>323</v>
      </c>
      <c r="Q49" s="181" t="s">
        <v>330</v>
      </c>
      <c r="R49" s="180"/>
      <c r="S49" s="180"/>
      <c r="T49" s="180"/>
    </row>
    <row r="50" spans="1:20" x14ac:dyDescent="0.2">
      <c r="A50" s="214"/>
      <c r="B50" s="167">
        <v>4</v>
      </c>
      <c r="C50" s="172" t="s">
        <v>180</v>
      </c>
      <c r="D50" s="172" t="s">
        <v>235</v>
      </c>
      <c r="E50" s="172" t="s">
        <v>243</v>
      </c>
      <c r="F50" s="180"/>
      <c r="G50" s="180"/>
      <c r="H50" s="180"/>
      <c r="I50" s="181" t="s">
        <v>180</v>
      </c>
      <c r="J50" s="181" t="s">
        <v>277</v>
      </c>
      <c r="K50" s="181" t="s">
        <v>286</v>
      </c>
      <c r="L50" s="180"/>
      <c r="M50" s="180"/>
      <c r="N50" s="180"/>
      <c r="O50" s="181" t="s">
        <v>180</v>
      </c>
      <c r="P50" s="181" t="s">
        <v>323</v>
      </c>
      <c r="Q50" s="181" t="s">
        <v>332</v>
      </c>
      <c r="R50" s="180"/>
      <c r="S50" s="180"/>
      <c r="T50" s="180"/>
    </row>
    <row r="51" spans="1:20" x14ac:dyDescent="0.2">
      <c r="A51" s="214"/>
      <c r="B51" s="167">
        <v>5</v>
      </c>
      <c r="C51" s="172" t="s">
        <v>180</v>
      </c>
      <c r="D51" s="172" t="s">
        <v>235</v>
      </c>
      <c r="E51" s="172" t="s">
        <v>244</v>
      </c>
      <c r="F51" s="182"/>
      <c r="G51" s="182"/>
      <c r="H51" s="182"/>
      <c r="I51" s="171" t="s">
        <v>180</v>
      </c>
      <c r="J51" s="171" t="s">
        <v>277</v>
      </c>
      <c r="K51" s="171" t="s">
        <v>287</v>
      </c>
      <c r="L51" s="180"/>
      <c r="M51" s="180"/>
      <c r="N51" s="180"/>
      <c r="O51" s="180" t="s">
        <v>180</v>
      </c>
      <c r="P51" s="180" t="s">
        <v>323</v>
      </c>
      <c r="Q51" s="180" t="s">
        <v>333</v>
      </c>
      <c r="R51" s="180"/>
      <c r="S51" s="180"/>
      <c r="T51" s="180"/>
    </row>
    <row r="52" spans="1:20" ht="17" thickBot="1" x14ac:dyDescent="0.25">
      <c r="A52" s="138"/>
      <c r="B52" s="115"/>
      <c r="C52" s="114"/>
      <c r="D52" s="114"/>
      <c r="E52" s="114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1:20" x14ac:dyDescent="0.2">
      <c r="A53" s="214" t="s">
        <v>81</v>
      </c>
      <c r="B53" s="167">
        <v>1</v>
      </c>
      <c r="C53" s="172" t="s">
        <v>180</v>
      </c>
      <c r="D53" s="172" t="s">
        <v>245</v>
      </c>
      <c r="E53" s="172" t="s">
        <v>246</v>
      </c>
      <c r="F53" s="180"/>
      <c r="G53" s="180"/>
      <c r="H53" s="180"/>
      <c r="I53" s="181" t="s">
        <v>180</v>
      </c>
      <c r="J53" s="181" t="s">
        <v>288</v>
      </c>
      <c r="K53" s="181" t="s">
        <v>354</v>
      </c>
      <c r="L53" s="180"/>
      <c r="M53" s="180"/>
      <c r="N53" s="180"/>
      <c r="O53" s="181" t="s">
        <v>180</v>
      </c>
      <c r="P53" s="181" t="s">
        <v>334</v>
      </c>
      <c r="Q53" s="181" t="s">
        <v>335</v>
      </c>
      <c r="R53" s="180"/>
      <c r="S53" s="180"/>
      <c r="T53" s="180"/>
    </row>
    <row r="54" spans="1:20" x14ac:dyDescent="0.2">
      <c r="A54" s="214"/>
      <c r="B54" s="167">
        <v>2</v>
      </c>
      <c r="C54" s="172" t="s">
        <v>180</v>
      </c>
      <c r="D54" s="172" t="s">
        <v>245</v>
      </c>
      <c r="E54" s="172" t="s">
        <v>247</v>
      </c>
      <c r="F54" s="182"/>
      <c r="G54" s="182"/>
      <c r="H54" s="182"/>
      <c r="I54" s="171" t="s">
        <v>24</v>
      </c>
      <c r="J54" s="171" t="s">
        <v>288</v>
      </c>
      <c r="K54" s="171" t="s">
        <v>24</v>
      </c>
      <c r="L54" s="180"/>
      <c r="M54" s="180"/>
      <c r="N54" s="180"/>
      <c r="O54" s="181" t="s">
        <v>180</v>
      </c>
      <c r="P54" s="181" t="s">
        <v>334</v>
      </c>
      <c r="Q54" s="181" t="s">
        <v>336</v>
      </c>
      <c r="R54" s="180"/>
      <c r="S54" s="180"/>
      <c r="T54" s="180"/>
    </row>
    <row r="55" spans="1:20" x14ac:dyDescent="0.2">
      <c r="A55" s="214"/>
      <c r="B55" s="167">
        <v>3</v>
      </c>
      <c r="C55" s="172" t="s">
        <v>24</v>
      </c>
      <c r="D55" s="172" t="s">
        <v>245</v>
      </c>
      <c r="E55" s="172" t="s">
        <v>248</v>
      </c>
      <c r="F55" s="180"/>
      <c r="G55" s="180"/>
      <c r="H55" s="180"/>
      <c r="I55" s="181" t="s">
        <v>24</v>
      </c>
      <c r="J55" s="181" t="s">
        <v>288</v>
      </c>
      <c r="K55" s="181" t="s">
        <v>24</v>
      </c>
      <c r="L55" s="180"/>
      <c r="M55" s="180"/>
      <c r="N55" s="180"/>
      <c r="O55" s="181"/>
      <c r="P55" s="181" t="s">
        <v>334</v>
      </c>
      <c r="Q55" s="181" t="s">
        <v>337</v>
      </c>
      <c r="R55" s="180"/>
      <c r="S55" s="180"/>
      <c r="T55" s="180"/>
    </row>
    <row r="56" spans="1:20" x14ac:dyDescent="0.2">
      <c r="A56" s="214"/>
      <c r="B56" s="167">
        <v>4</v>
      </c>
      <c r="C56" s="172" t="s">
        <v>182</v>
      </c>
      <c r="D56" s="172" t="s">
        <v>245</v>
      </c>
      <c r="E56" s="172" t="s">
        <v>249</v>
      </c>
      <c r="F56" s="182"/>
      <c r="G56" s="182"/>
      <c r="H56" s="182"/>
      <c r="I56" s="171" t="s">
        <v>182</v>
      </c>
      <c r="J56" s="171" t="s">
        <v>288</v>
      </c>
      <c r="K56" s="171" t="s">
        <v>355</v>
      </c>
      <c r="L56" s="180"/>
      <c r="M56" s="180"/>
      <c r="N56" s="180"/>
      <c r="O56" s="181" t="s">
        <v>182</v>
      </c>
      <c r="P56" s="181" t="s">
        <v>334</v>
      </c>
      <c r="Q56" s="181" t="s">
        <v>338</v>
      </c>
      <c r="R56" s="180"/>
      <c r="S56" s="180"/>
      <c r="T56" s="180"/>
    </row>
    <row r="57" spans="1:20" x14ac:dyDescent="0.2">
      <c r="A57" s="214"/>
      <c r="B57" s="167">
        <v>5</v>
      </c>
      <c r="C57" s="172" t="s">
        <v>24</v>
      </c>
      <c r="D57" s="172" t="s">
        <v>245</v>
      </c>
      <c r="E57" s="172" t="s">
        <v>219</v>
      </c>
      <c r="F57" s="182"/>
      <c r="G57" s="182"/>
      <c r="H57" s="182"/>
      <c r="I57" s="171" t="s">
        <v>24</v>
      </c>
      <c r="J57" s="171" t="s">
        <v>288</v>
      </c>
      <c r="K57" s="171" t="s">
        <v>24</v>
      </c>
      <c r="L57" s="180"/>
      <c r="M57" s="180"/>
      <c r="N57" s="180"/>
      <c r="O57" s="181"/>
      <c r="P57" s="181" t="s">
        <v>334</v>
      </c>
      <c r="Q57" s="181" t="s">
        <v>339</v>
      </c>
      <c r="R57" s="180"/>
      <c r="S57" s="180"/>
      <c r="T57" s="180"/>
    </row>
    <row r="58" spans="1:20" x14ac:dyDescent="0.2">
      <c r="A58" s="130"/>
      <c r="B58" s="167"/>
      <c r="C58" s="172"/>
      <c r="D58" s="172"/>
      <c r="E58" s="172"/>
      <c r="F58" s="180"/>
      <c r="G58" s="180"/>
      <c r="H58" s="180"/>
      <c r="I58" s="181"/>
      <c r="J58" s="181"/>
      <c r="K58" s="181"/>
      <c r="L58" s="180"/>
      <c r="M58" s="180"/>
      <c r="N58" s="180"/>
      <c r="O58" s="181"/>
      <c r="P58" s="181"/>
      <c r="Q58" s="181"/>
      <c r="R58" s="180"/>
      <c r="S58" s="180"/>
      <c r="T58" s="180"/>
    </row>
    <row r="59" spans="1:20" x14ac:dyDescent="0.2">
      <c r="A59" s="214" t="s">
        <v>82</v>
      </c>
      <c r="B59" s="167">
        <v>1</v>
      </c>
      <c r="C59" s="172" t="s">
        <v>180</v>
      </c>
      <c r="D59" s="172" t="s">
        <v>245</v>
      </c>
      <c r="E59" s="172" t="s">
        <v>250</v>
      </c>
      <c r="F59" s="180"/>
      <c r="G59" s="180"/>
      <c r="H59" s="180"/>
      <c r="I59" s="181" t="s">
        <v>24</v>
      </c>
      <c r="J59" s="181" t="s">
        <v>288</v>
      </c>
      <c r="K59" s="181" t="s">
        <v>24</v>
      </c>
      <c r="L59" s="180"/>
      <c r="M59" s="180"/>
      <c r="N59" s="180"/>
      <c r="O59" s="181" t="s">
        <v>180</v>
      </c>
      <c r="P59" s="181" t="s">
        <v>334</v>
      </c>
      <c r="Q59" s="181" t="s">
        <v>340</v>
      </c>
      <c r="R59" s="180"/>
      <c r="S59" s="180"/>
      <c r="T59" s="180"/>
    </row>
    <row r="60" spans="1:20" x14ac:dyDescent="0.2">
      <c r="A60" s="214"/>
      <c r="B60" s="167">
        <v>2</v>
      </c>
      <c r="C60" s="172" t="s">
        <v>180</v>
      </c>
      <c r="D60" s="172" t="s">
        <v>245</v>
      </c>
      <c r="E60" s="172" t="s">
        <v>251</v>
      </c>
      <c r="F60" s="182"/>
      <c r="G60" s="182"/>
      <c r="H60" s="185" t="s">
        <v>86</v>
      </c>
      <c r="I60" s="171" t="s">
        <v>24</v>
      </c>
      <c r="J60" s="171" t="s">
        <v>288</v>
      </c>
      <c r="K60" s="171" t="s">
        <v>24</v>
      </c>
      <c r="L60" s="180"/>
      <c r="M60" s="180"/>
      <c r="N60" s="180"/>
      <c r="O60" s="181" t="s">
        <v>180</v>
      </c>
      <c r="P60" s="181" t="s">
        <v>334</v>
      </c>
      <c r="Q60" s="181" t="s">
        <v>341</v>
      </c>
      <c r="R60" s="180"/>
      <c r="S60" s="180"/>
      <c r="T60" s="180"/>
    </row>
    <row r="61" spans="1:20" x14ac:dyDescent="0.2">
      <c r="A61" s="214"/>
      <c r="B61" s="167">
        <v>3</v>
      </c>
      <c r="C61" s="172" t="s">
        <v>24</v>
      </c>
      <c r="D61" s="172" t="s">
        <v>245</v>
      </c>
      <c r="E61" s="172" t="s">
        <v>252</v>
      </c>
      <c r="F61" s="180"/>
      <c r="G61" s="180"/>
      <c r="H61" s="180"/>
      <c r="I61" s="181" t="s">
        <v>24</v>
      </c>
      <c r="J61" s="181" t="s">
        <v>288</v>
      </c>
      <c r="K61" s="181" t="s">
        <v>24</v>
      </c>
      <c r="L61" s="180"/>
      <c r="M61" s="180"/>
      <c r="N61" s="180"/>
      <c r="O61" s="181" t="s">
        <v>24</v>
      </c>
      <c r="P61" s="181" t="s">
        <v>334</v>
      </c>
      <c r="Q61" s="181" t="s">
        <v>342</v>
      </c>
      <c r="R61" s="180"/>
      <c r="S61" s="180"/>
      <c r="T61" s="180"/>
    </row>
    <row r="62" spans="1:20" x14ac:dyDescent="0.2">
      <c r="A62" s="214"/>
      <c r="B62" s="167">
        <v>4</v>
      </c>
      <c r="C62" s="172" t="s">
        <v>182</v>
      </c>
      <c r="D62" s="172" t="s">
        <v>245</v>
      </c>
      <c r="E62" s="172" t="s">
        <v>253</v>
      </c>
      <c r="F62" s="180"/>
      <c r="G62" s="180"/>
      <c r="H62" s="180"/>
      <c r="I62" s="181" t="s">
        <v>182</v>
      </c>
      <c r="J62" s="181" t="s">
        <v>288</v>
      </c>
      <c r="K62" s="181" t="s">
        <v>356</v>
      </c>
      <c r="L62" s="180"/>
      <c r="M62" s="180"/>
      <c r="N62" s="180"/>
      <c r="O62" s="181" t="s">
        <v>182</v>
      </c>
      <c r="P62" s="181" t="s">
        <v>334</v>
      </c>
      <c r="Q62" s="181" t="s">
        <v>343</v>
      </c>
      <c r="R62" s="180"/>
      <c r="S62" s="180"/>
      <c r="T62" s="180"/>
    </row>
    <row r="63" spans="1:20" ht="17" thickBot="1" x14ac:dyDescent="0.25">
      <c r="A63" s="213"/>
      <c r="B63" s="115">
        <v>5</v>
      </c>
      <c r="C63" s="115" t="s">
        <v>24</v>
      </c>
      <c r="D63" s="114" t="s">
        <v>245</v>
      </c>
      <c r="E63" s="114" t="s">
        <v>219</v>
      </c>
      <c r="F63" s="146"/>
      <c r="G63" s="146"/>
      <c r="H63" s="146"/>
      <c r="I63" s="150" t="s">
        <v>24</v>
      </c>
      <c r="J63" s="150" t="s">
        <v>288</v>
      </c>
      <c r="K63" s="150" t="s">
        <v>24</v>
      </c>
      <c r="L63" s="148"/>
      <c r="M63" s="148"/>
      <c r="N63" s="148"/>
      <c r="O63" s="150" t="s">
        <v>24</v>
      </c>
      <c r="P63" s="150" t="s">
        <v>334</v>
      </c>
      <c r="Q63" s="150" t="s">
        <v>339</v>
      </c>
      <c r="R63" s="147"/>
      <c r="S63" s="147"/>
      <c r="T63" s="147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BD41-D588-D749-9DB0-F3315DDF73E4}">
  <dimension ref="A1:W64"/>
  <sheetViews>
    <sheetView showGridLines="0" workbookViewId="0">
      <selection activeCell="A2" sqref="A2:T63"/>
    </sheetView>
  </sheetViews>
  <sheetFormatPr baseColWidth="10" defaultRowHeight="16" x14ac:dyDescent="0.2"/>
  <cols>
    <col min="1" max="1" width="29.1640625" customWidth="1"/>
    <col min="4" max="4" width="20.6640625" customWidth="1"/>
    <col min="5" max="5" width="21.33203125" customWidth="1"/>
    <col min="10" max="10" width="20.5" customWidth="1"/>
    <col min="11" max="11" width="22" customWidth="1"/>
    <col min="16" max="16" width="21.6640625" customWidth="1"/>
    <col min="17" max="17" width="22.1640625" customWidth="1"/>
  </cols>
  <sheetData>
    <row r="1" spans="1:23" ht="17" thickBot="1" x14ac:dyDescent="0.25">
      <c r="A1" s="211" t="s">
        <v>357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3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3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3" ht="35" thickBot="1" x14ac:dyDescent="0.25">
      <c r="A4" s="138" t="s">
        <v>87</v>
      </c>
      <c r="B4" s="115" t="s">
        <v>44</v>
      </c>
      <c r="C4" s="179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3" x14ac:dyDescent="0.2">
      <c r="A5" s="214" t="s">
        <v>73</v>
      </c>
      <c r="B5" s="167">
        <v>1</v>
      </c>
      <c r="C5" s="198">
        <f>F5/H5</f>
        <v>8.2202432477831273</v>
      </c>
      <c r="D5" s="198" t="s">
        <v>203</v>
      </c>
      <c r="E5" s="198" t="s">
        <v>216</v>
      </c>
      <c r="F5" s="202">
        <v>0.67679999999999996</v>
      </c>
      <c r="G5" s="202">
        <v>0.24086669999999999</v>
      </c>
      <c r="H5" s="202">
        <v>8.2333329999999996E-2</v>
      </c>
      <c r="I5" s="197">
        <f t="shared" ref="I5:I7" si="0">L5/N5</f>
        <v>8.2202432477831273</v>
      </c>
      <c r="J5" s="180" t="s">
        <v>254</v>
      </c>
      <c r="K5" s="180" t="s">
        <v>256</v>
      </c>
      <c r="L5" s="202">
        <v>0.67679999999999996</v>
      </c>
      <c r="M5" s="202">
        <v>0.24086669999999999</v>
      </c>
      <c r="N5" s="202">
        <v>8.2333329999999996E-2</v>
      </c>
      <c r="O5" s="197">
        <f t="shared" ref="O5:O8" si="1">R5/T5</f>
        <v>8.2202432477831273</v>
      </c>
      <c r="P5" s="180" t="s">
        <v>289</v>
      </c>
      <c r="Q5" s="180" t="s">
        <v>290</v>
      </c>
      <c r="R5" s="197">
        <v>0.67679999999999996</v>
      </c>
      <c r="S5" s="197">
        <v>0.24086669999999999</v>
      </c>
      <c r="T5" s="197">
        <v>8.2333329999999996E-2</v>
      </c>
    </row>
    <row r="6" spans="1:23" x14ac:dyDescent="0.2">
      <c r="A6" s="214"/>
      <c r="B6" s="167">
        <v>2</v>
      </c>
      <c r="C6" s="198">
        <f t="shared" ref="C6:C7" si="2">F6/H6</f>
        <v>0</v>
      </c>
      <c r="D6" s="198" t="s">
        <v>203</v>
      </c>
      <c r="E6" s="198" t="s">
        <v>204</v>
      </c>
      <c r="F6" s="202">
        <v>0</v>
      </c>
      <c r="G6" s="202">
        <v>0.14696670000000001</v>
      </c>
      <c r="H6" s="202">
        <v>0.85303329999999999</v>
      </c>
      <c r="I6" s="197">
        <f t="shared" si="0"/>
        <v>0</v>
      </c>
      <c r="J6" s="180" t="s">
        <v>254</v>
      </c>
      <c r="K6" s="180" t="s">
        <v>262</v>
      </c>
      <c r="L6" s="202">
        <v>0</v>
      </c>
      <c r="M6" s="202">
        <v>0.30099999999999999</v>
      </c>
      <c r="N6" s="202">
        <v>0.69899999999999995</v>
      </c>
      <c r="O6" s="197">
        <f t="shared" si="1"/>
        <v>0</v>
      </c>
      <c r="P6" s="180" t="s">
        <v>289</v>
      </c>
      <c r="Q6" s="180" t="s">
        <v>291</v>
      </c>
      <c r="R6" s="197">
        <v>0</v>
      </c>
      <c r="S6" s="197">
        <v>0.14696670000000001</v>
      </c>
      <c r="T6" s="197">
        <v>0.85303329999999999</v>
      </c>
    </row>
    <row r="7" spans="1:23" x14ac:dyDescent="0.2">
      <c r="A7" s="214"/>
      <c r="B7" s="167">
        <v>3</v>
      </c>
      <c r="C7" s="198">
        <f t="shared" si="2"/>
        <v>0.80437346896408546</v>
      </c>
      <c r="D7" s="198" t="s">
        <v>203</v>
      </c>
      <c r="E7" s="198" t="s">
        <v>205</v>
      </c>
      <c r="F7" s="202">
        <v>0.3874667</v>
      </c>
      <c r="G7" s="202">
        <v>0.3874667</v>
      </c>
      <c r="H7" s="202">
        <v>0.48170000000000002</v>
      </c>
      <c r="I7" s="197">
        <f t="shared" si="0"/>
        <v>0.98793565602785904</v>
      </c>
      <c r="J7" s="180" t="s">
        <v>254</v>
      </c>
      <c r="K7" s="180" t="s">
        <v>255</v>
      </c>
      <c r="L7" s="202">
        <v>4.9133330000000003E-2</v>
      </c>
      <c r="M7" s="202">
        <v>0.90113330000000003</v>
      </c>
      <c r="N7" s="202">
        <v>4.9733329999999999E-2</v>
      </c>
      <c r="O7" s="197">
        <f t="shared" si="1"/>
        <v>6.9208559217185911E-2</v>
      </c>
      <c r="P7" s="180" t="s">
        <v>289</v>
      </c>
      <c r="Q7" s="180" t="s">
        <v>292</v>
      </c>
      <c r="R7" s="197">
        <v>6.1533329999999997E-2</v>
      </c>
      <c r="S7" s="197">
        <v>4.9366670000000001E-2</v>
      </c>
      <c r="T7" s="197">
        <v>0.8891</v>
      </c>
    </row>
    <row r="8" spans="1:23" x14ac:dyDescent="0.2">
      <c r="A8" s="214"/>
      <c r="B8" s="167">
        <v>4</v>
      </c>
      <c r="C8" s="198" t="s">
        <v>71</v>
      </c>
      <c r="D8" s="198" t="s">
        <v>203</v>
      </c>
      <c r="E8" s="198" t="s">
        <v>206</v>
      </c>
      <c r="F8" s="202">
        <v>0.85586669999999998</v>
      </c>
      <c r="G8" s="202">
        <v>0.14413329999999999</v>
      </c>
      <c r="H8" s="202">
        <v>0</v>
      </c>
      <c r="I8" s="197" t="s">
        <v>71</v>
      </c>
      <c r="J8" s="180" t="s">
        <v>254</v>
      </c>
      <c r="K8" s="180" t="s">
        <v>261</v>
      </c>
      <c r="L8" s="202">
        <v>0.85586669999999998</v>
      </c>
      <c r="M8" s="202">
        <v>0.14413329999999999</v>
      </c>
      <c r="N8" s="202">
        <v>0</v>
      </c>
      <c r="O8" s="197">
        <f t="shared" si="1"/>
        <v>5.2264317439581971</v>
      </c>
      <c r="P8" s="180" t="s">
        <v>289</v>
      </c>
      <c r="Q8" s="180" t="s">
        <v>293</v>
      </c>
      <c r="R8" s="197">
        <v>0.80016670000000001</v>
      </c>
      <c r="S8" s="197">
        <v>4.6733329999999997E-2</v>
      </c>
      <c r="T8" s="197">
        <v>0.15310000000000001</v>
      </c>
    </row>
    <row r="9" spans="1:23" x14ac:dyDescent="0.2">
      <c r="A9" s="214"/>
      <c r="B9" s="167">
        <v>5</v>
      </c>
      <c r="C9" s="198" t="s">
        <v>24</v>
      </c>
      <c r="D9" s="198" t="s">
        <v>203</v>
      </c>
      <c r="E9" s="198" t="s">
        <v>207</v>
      </c>
      <c r="F9" s="182" t="s">
        <v>24</v>
      </c>
      <c r="G9" s="182" t="s">
        <v>24</v>
      </c>
      <c r="H9" s="182" t="s">
        <v>24</v>
      </c>
      <c r="I9" s="187" t="s">
        <v>71</v>
      </c>
      <c r="J9" s="182" t="s">
        <v>254</v>
      </c>
      <c r="K9" s="182" t="s">
        <v>260</v>
      </c>
      <c r="L9" s="202">
        <v>0.85756670000000002</v>
      </c>
      <c r="M9" s="202">
        <v>0.14243330000000001</v>
      </c>
      <c r="N9" s="202">
        <v>0</v>
      </c>
      <c r="O9" s="197" t="s">
        <v>24</v>
      </c>
      <c r="P9" s="180" t="s">
        <v>289</v>
      </c>
      <c r="Q9" s="180" t="s">
        <v>294</v>
      </c>
      <c r="R9" s="197" t="s">
        <v>24</v>
      </c>
      <c r="S9" s="197" t="s">
        <v>24</v>
      </c>
      <c r="T9" s="197" t="s">
        <v>24</v>
      </c>
    </row>
    <row r="10" spans="1:23" x14ac:dyDescent="0.2">
      <c r="A10" s="130"/>
      <c r="B10" s="167"/>
      <c r="C10" s="198"/>
      <c r="D10" s="198"/>
      <c r="E10" s="198"/>
      <c r="F10" s="202"/>
      <c r="G10" s="202"/>
      <c r="H10" s="202"/>
      <c r="I10" s="197"/>
      <c r="J10" s="180"/>
      <c r="K10" s="180"/>
      <c r="L10" s="202"/>
      <c r="M10" s="202"/>
      <c r="N10" s="202"/>
      <c r="O10" s="197"/>
      <c r="P10" s="180"/>
      <c r="Q10" s="180"/>
      <c r="R10" s="197"/>
      <c r="S10" s="197"/>
      <c r="T10" s="197"/>
    </row>
    <row r="11" spans="1:23" x14ac:dyDescent="0.2">
      <c r="A11" s="214" t="s">
        <v>74</v>
      </c>
      <c r="B11" s="167">
        <v>1</v>
      </c>
      <c r="C11" s="198">
        <f t="shared" ref="C11:C14" si="3">F11/H11</f>
        <v>4.7400364966255975</v>
      </c>
      <c r="D11" s="198" t="s">
        <v>203</v>
      </c>
      <c r="E11" s="198" t="s">
        <v>208</v>
      </c>
      <c r="F11" s="202">
        <v>0.25769999999999998</v>
      </c>
      <c r="G11" s="202">
        <v>0.68793329999999997</v>
      </c>
      <c r="H11" s="202">
        <v>5.4366669999999999E-2</v>
      </c>
      <c r="I11" s="197">
        <f t="shared" ref="I11:I14" si="4">L11/N11</f>
        <v>4.791080342634066</v>
      </c>
      <c r="J11" s="180" t="s">
        <v>254</v>
      </c>
      <c r="K11" s="180" t="s">
        <v>257</v>
      </c>
      <c r="L11" s="202">
        <v>0.26143329999999998</v>
      </c>
      <c r="M11" s="202">
        <v>0.68400000000000005</v>
      </c>
      <c r="N11" s="202">
        <v>5.4566669999999998E-2</v>
      </c>
      <c r="O11" s="197">
        <f t="shared" ref="O11:O15" si="5">R11/T11</f>
        <v>4.7400364966255975</v>
      </c>
      <c r="P11" s="180" t="s">
        <v>289</v>
      </c>
      <c r="Q11" s="180" t="s">
        <v>295</v>
      </c>
      <c r="R11" s="197">
        <v>0.25769999999999998</v>
      </c>
      <c r="S11" s="197">
        <v>0.68793329999999997</v>
      </c>
      <c r="T11" s="197">
        <v>5.4366669999999999E-2</v>
      </c>
    </row>
    <row r="12" spans="1:23" x14ac:dyDescent="0.2">
      <c r="A12" s="214"/>
      <c r="B12" s="167">
        <v>2</v>
      </c>
      <c r="C12" s="198" t="s">
        <v>71</v>
      </c>
      <c r="D12" s="198" t="s">
        <v>203</v>
      </c>
      <c r="E12" s="198" t="s">
        <v>209</v>
      </c>
      <c r="F12" s="202">
        <v>0.85716669999999995</v>
      </c>
      <c r="G12" s="202">
        <v>0.1428333</v>
      </c>
      <c r="H12" s="202">
        <v>0</v>
      </c>
      <c r="I12" s="188" t="s">
        <v>71</v>
      </c>
      <c r="J12" s="183" t="s">
        <v>254</v>
      </c>
      <c r="K12" s="183" t="s">
        <v>258</v>
      </c>
      <c r="L12" s="202">
        <v>4.7300000000000002E-2</v>
      </c>
      <c r="M12" s="203">
        <v>0.95269999999999999</v>
      </c>
      <c r="N12" s="202">
        <v>0</v>
      </c>
      <c r="O12" s="197">
        <f t="shared" si="5"/>
        <v>4.480256097560976</v>
      </c>
      <c r="P12" s="180" t="s">
        <v>289</v>
      </c>
      <c r="Q12" s="180" t="s">
        <v>296</v>
      </c>
      <c r="R12" s="197">
        <v>0.25716670000000003</v>
      </c>
      <c r="S12" s="197">
        <v>0.68543330000000002</v>
      </c>
      <c r="T12" s="197">
        <v>5.74E-2</v>
      </c>
      <c r="W12" t="s">
        <v>178</v>
      </c>
    </row>
    <row r="13" spans="1:23" x14ac:dyDescent="0.2">
      <c r="A13" s="214"/>
      <c r="B13" s="167">
        <v>3</v>
      </c>
      <c r="C13" s="198">
        <f t="shared" si="3"/>
        <v>6.163905136708582</v>
      </c>
      <c r="D13" s="198" t="s">
        <v>203</v>
      </c>
      <c r="E13" s="198" t="s">
        <v>210</v>
      </c>
      <c r="F13" s="202">
        <v>0.47133330000000001</v>
      </c>
      <c r="G13" s="202">
        <v>0.45219999999999999</v>
      </c>
      <c r="H13" s="202">
        <v>7.646667E-2</v>
      </c>
      <c r="I13" s="197">
        <f t="shared" si="4"/>
        <v>0</v>
      </c>
      <c r="J13" s="180" t="s">
        <v>254</v>
      </c>
      <c r="K13" s="180" t="s">
        <v>259</v>
      </c>
      <c r="L13" s="202">
        <v>0</v>
      </c>
      <c r="M13" s="202">
        <v>0.58233330000000005</v>
      </c>
      <c r="N13" s="202">
        <v>0.4176667</v>
      </c>
      <c r="O13" s="197">
        <f t="shared" si="5"/>
        <v>0</v>
      </c>
      <c r="P13" s="180" t="s">
        <v>289</v>
      </c>
      <c r="Q13" s="180" t="s">
        <v>297</v>
      </c>
      <c r="R13" s="197">
        <v>0</v>
      </c>
      <c r="S13" s="197">
        <v>0.58306670000000005</v>
      </c>
      <c r="T13" s="197">
        <v>0.41693330000000001</v>
      </c>
    </row>
    <row r="14" spans="1:23" x14ac:dyDescent="0.2">
      <c r="A14" s="214"/>
      <c r="B14" s="167">
        <v>4</v>
      </c>
      <c r="C14" s="198">
        <f t="shared" si="3"/>
        <v>2.3981689271144253</v>
      </c>
      <c r="D14" s="198" t="s">
        <v>203</v>
      </c>
      <c r="E14" s="198" t="s">
        <v>211</v>
      </c>
      <c r="F14" s="182">
        <v>0.66373329999999997</v>
      </c>
      <c r="G14" s="182">
        <v>5.9499999999999997E-2</v>
      </c>
      <c r="H14" s="182">
        <v>0.27676669999999998</v>
      </c>
      <c r="I14" s="187">
        <f t="shared" si="4"/>
        <v>0</v>
      </c>
      <c r="J14" s="182" t="s">
        <v>254</v>
      </c>
      <c r="K14" s="182" t="s">
        <v>263</v>
      </c>
      <c r="L14" s="202">
        <v>0</v>
      </c>
      <c r="M14" s="202">
        <v>0.57813329999999996</v>
      </c>
      <c r="N14" s="202">
        <v>0.42186669999999998</v>
      </c>
      <c r="O14" s="197">
        <f t="shared" si="5"/>
        <v>0</v>
      </c>
      <c r="P14" s="180" t="s">
        <v>289</v>
      </c>
      <c r="Q14" s="180" t="s">
        <v>298</v>
      </c>
      <c r="R14" s="197">
        <v>0</v>
      </c>
      <c r="S14" s="197">
        <v>0.58089999999999997</v>
      </c>
      <c r="T14" s="197">
        <v>0.41909999999999997</v>
      </c>
    </row>
    <row r="15" spans="1:23" x14ac:dyDescent="0.2">
      <c r="A15" s="214"/>
      <c r="B15" s="167">
        <v>5</v>
      </c>
      <c r="C15" s="198" t="s">
        <v>24</v>
      </c>
      <c r="D15" s="198" t="s">
        <v>203</v>
      </c>
      <c r="E15" s="198" t="s">
        <v>212</v>
      </c>
      <c r="F15" s="182" t="s">
        <v>24</v>
      </c>
      <c r="G15" s="182" t="s">
        <v>24</v>
      </c>
      <c r="H15" s="182" t="s">
        <v>24</v>
      </c>
      <c r="I15" s="187" t="s">
        <v>71</v>
      </c>
      <c r="J15" s="182" t="s">
        <v>254</v>
      </c>
      <c r="K15" s="182" t="s">
        <v>264</v>
      </c>
      <c r="L15" s="202">
        <v>0.85750000000000004</v>
      </c>
      <c r="M15" s="202">
        <v>0.1424</v>
      </c>
      <c r="N15" s="202">
        <v>0</v>
      </c>
      <c r="O15" s="197">
        <f t="shared" si="5"/>
        <v>0.43436020797390323</v>
      </c>
      <c r="P15" s="180" t="s">
        <v>289</v>
      </c>
      <c r="Q15" s="180" t="s">
        <v>299</v>
      </c>
      <c r="R15" s="197">
        <v>0.21759999999999999</v>
      </c>
      <c r="S15" s="197">
        <v>0.2814333</v>
      </c>
      <c r="T15" s="197">
        <v>0.50096669999999999</v>
      </c>
    </row>
    <row r="16" spans="1:23" ht="17" thickBot="1" x14ac:dyDescent="0.25">
      <c r="A16" s="138"/>
      <c r="B16" s="115"/>
      <c r="C16" s="201"/>
      <c r="D16" s="201"/>
      <c r="E16" s="201"/>
      <c r="F16" s="158"/>
      <c r="G16" s="158"/>
      <c r="H16" s="158"/>
      <c r="I16" s="151"/>
      <c r="J16" s="152"/>
      <c r="K16" s="152"/>
      <c r="L16" s="158"/>
      <c r="M16" s="158"/>
      <c r="N16" s="158"/>
      <c r="O16" s="151"/>
      <c r="P16" s="152"/>
      <c r="Q16" s="152"/>
      <c r="R16" s="151"/>
      <c r="S16" s="151"/>
      <c r="T16" s="151"/>
    </row>
    <row r="17" spans="1:20" x14ac:dyDescent="0.2">
      <c r="A17" s="214" t="s">
        <v>75</v>
      </c>
      <c r="B17" s="167">
        <v>1</v>
      </c>
      <c r="C17" s="198">
        <f t="shared" ref="C17:C19" si="6">F17/H17</f>
        <v>0.11917304538182315</v>
      </c>
      <c r="D17" s="198" t="s">
        <v>213</v>
      </c>
      <c r="E17" s="198" t="s">
        <v>214</v>
      </c>
      <c r="F17" s="202">
        <v>7.9933329999999997E-2</v>
      </c>
      <c r="G17" s="202">
        <v>0.24933330000000001</v>
      </c>
      <c r="H17" s="202">
        <v>0.67073329999999998</v>
      </c>
      <c r="I17" s="197">
        <f t="shared" ref="I17:I20" si="7">L17/N17</f>
        <v>0.79638572241786987</v>
      </c>
      <c r="J17" s="180" t="s">
        <v>265</v>
      </c>
      <c r="K17" s="180" t="s">
        <v>267</v>
      </c>
      <c r="L17" s="202">
        <v>0.38486670000000001</v>
      </c>
      <c r="M17" s="202">
        <v>0.1318667</v>
      </c>
      <c r="N17" s="202">
        <v>0.48326669999999999</v>
      </c>
      <c r="O17" s="197">
        <f t="shared" ref="O17:O20" si="8">R17/T17</f>
        <v>0.11649440143508555</v>
      </c>
      <c r="P17" s="180" t="s">
        <v>300</v>
      </c>
      <c r="Q17" s="180" t="s">
        <v>301</v>
      </c>
      <c r="R17" s="197">
        <v>7.9266669999999997E-2</v>
      </c>
      <c r="S17" s="197">
        <v>0.24030000000000001</v>
      </c>
      <c r="T17" s="197">
        <v>0.68043330000000002</v>
      </c>
    </row>
    <row r="18" spans="1:20" x14ac:dyDescent="0.2">
      <c r="A18" s="214"/>
      <c r="B18" s="167">
        <v>2</v>
      </c>
      <c r="C18" s="198">
        <f t="shared" si="6"/>
        <v>0</v>
      </c>
      <c r="D18" s="198" t="s">
        <v>213</v>
      </c>
      <c r="E18" s="198" t="s">
        <v>215</v>
      </c>
      <c r="F18" s="202">
        <v>0</v>
      </c>
      <c r="G18" s="202">
        <v>0.14543329999999999</v>
      </c>
      <c r="H18" s="202">
        <v>0.85456670000000001</v>
      </c>
      <c r="I18" s="197">
        <f t="shared" si="7"/>
        <v>0</v>
      </c>
      <c r="J18" s="180" t="s">
        <v>265</v>
      </c>
      <c r="K18" s="180" t="s">
        <v>268</v>
      </c>
      <c r="L18" s="202">
        <v>0</v>
      </c>
      <c r="M18" s="202">
        <v>0.14380000000000001</v>
      </c>
      <c r="N18" s="202">
        <v>0.85619999999999996</v>
      </c>
      <c r="O18" s="197">
        <f t="shared" si="8"/>
        <v>0</v>
      </c>
      <c r="P18" s="180" t="s">
        <v>300</v>
      </c>
      <c r="Q18" s="180" t="s">
        <v>302</v>
      </c>
      <c r="R18" s="197">
        <v>0</v>
      </c>
      <c r="S18" s="197">
        <v>0.1439</v>
      </c>
      <c r="T18" s="197">
        <v>0.85609999999999997</v>
      </c>
    </row>
    <row r="19" spans="1:20" x14ac:dyDescent="0.2">
      <c r="A19" s="214"/>
      <c r="B19" s="167">
        <v>3</v>
      </c>
      <c r="C19" s="198">
        <f t="shared" si="6"/>
        <v>0</v>
      </c>
      <c r="D19" s="198" t="s">
        <v>213</v>
      </c>
      <c r="E19" s="198" t="s">
        <v>217</v>
      </c>
      <c r="F19" s="202">
        <v>0</v>
      </c>
      <c r="G19" s="202">
        <v>0.14319999999999999</v>
      </c>
      <c r="H19" s="202">
        <v>0.85680000000000001</v>
      </c>
      <c r="I19" s="197">
        <f t="shared" si="7"/>
        <v>0.11559073624117526</v>
      </c>
      <c r="J19" s="180" t="s">
        <v>265</v>
      </c>
      <c r="K19" s="180" t="s">
        <v>269</v>
      </c>
      <c r="L19" s="202">
        <v>7.8366669999999999E-2</v>
      </c>
      <c r="M19" s="202">
        <v>0.24366670000000001</v>
      </c>
      <c r="N19" s="202">
        <v>0.67796670000000003</v>
      </c>
      <c r="O19" s="188">
        <f t="shared" si="8"/>
        <v>0</v>
      </c>
      <c r="P19" s="183" t="s">
        <v>300</v>
      </c>
      <c r="Q19" s="183" t="s">
        <v>303</v>
      </c>
      <c r="R19" s="197">
        <v>0</v>
      </c>
      <c r="S19" s="197">
        <v>8.9333329999999999E-3</v>
      </c>
      <c r="T19" s="188">
        <v>0.99106669999999997</v>
      </c>
    </row>
    <row r="20" spans="1:20" x14ac:dyDescent="0.2">
      <c r="A20" s="214"/>
      <c r="B20" s="167">
        <v>4</v>
      </c>
      <c r="C20" s="198" t="s">
        <v>71</v>
      </c>
      <c r="D20" s="198" t="s">
        <v>213</v>
      </c>
      <c r="E20" s="198" t="s">
        <v>218</v>
      </c>
      <c r="F20" s="182">
        <v>0.85619999999999996</v>
      </c>
      <c r="G20" s="182">
        <v>0.14380000000000001</v>
      </c>
      <c r="H20" s="182">
        <v>0</v>
      </c>
      <c r="I20" s="187">
        <f t="shared" si="7"/>
        <v>14.413868061422972</v>
      </c>
      <c r="J20" s="182" t="s">
        <v>265</v>
      </c>
      <c r="K20" s="182" t="s">
        <v>270</v>
      </c>
      <c r="L20" s="202">
        <v>0.88693330000000004</v>
      </c>
      <c r="M20" s="202">
        <v>5.1533330000000002E-2</v>
      </c>
      <c r="N20" s="202">
        <v>6.1533329999999997E-2</v>
      </c>
      <c r="O20" s="197">
        <f t="shared" si="8"/>
        <v>5.1825270723458194</v>
      </c>
      <c r="P20" s="180" t="s">
        <v>300</v>
      </c>
      <c r="Q20" s="180" t="s">
        <v>304</v>
      </c>
      <c r="R20" s="197">
        <v>0.79879999999999995</v>
      </c>
      <c r="S20" s="197">
        <v>4.7066669999999998E-2</v>
      </c>
      <c r="T20" s="197">
        <v>0.1541333</v>
      </c>
    </row>
    <row r="21" spans="1:20" x14ac:dyDescent="0.2">
      <c r="A21" s="214"/>
      <c r="B21" s="167">
        <v>5</v>
      </c>
      <c r="C21" s="198" t="s">
        <v>24</v>
      </c>
      <c r="D21" s="198" t="s">
        <v>213</v>
      </c>
      <c r="E21" s="198" t="s">
        <v>219</v>
      </c>
      <c r="F21" s="182" t="s">
        <v>24</v>
      </c>
      <c r="G21" s="182" t="s">
        <v>24</v>
      </c>
      <c r="H21" s="182" t="s">
        <v>24</v>
      </c>
      <c r="I21" s="186" t="s">
        <v>71</v>
      </c>
      <c r="J21" s="185" t="s">
        <v>265</v>
      </c>
      <c r="K21" s="185" t="s">
        <v>266</v>
      </c>
      <c r="L21" s="203">
        <v>0.9919</v>
      </c>
      <c r="M21" s="202">
        <v>8.0999999999999996E-3</v>
      </c>
      <c r="N21" s="202">
        <v>0</v>
      </c>
      <c r="O21" s="197" t="s">
        <v>24</v>
      </c>
      <c r="P21" s="180" t="s">
        <v>300</v>
      </c>
      <c r="Q21" s="180" t="s">
        <v>306</v>
      </c>
      <c r="R21" s="197" t="s">
        <v>24</v>
      </c>
      <c r="S21" s="197" t="s">
        <v>24</v>
      </c>
      <c r="T21" s="197" t="s">
        <v>24</v>
      </c>
    </row>
    <row r="22" spans="1:20" x14ac:dyDescent="0.2">
      <c r="A22" s="130"/>
      <c r="B22" s="167"/>
      <c r="C22" s="198"/>
      <c r="D22" s="198"/>
      <c r="E22" s="198"/>
      <c r="F22" s="202"/>
      <c r="G22" s="202"/>
      <c r="H22" s="202"/>
      <c r="I22" s="197"/>
      <c r="J22" s="180"/>
      <c r="K22" s="180"/>
      <c r="L22" s="202"/>
      <c r="M22" s="202"/>
      <c r="N22" s="202"/>
      <c r="O22" s="197"/>
      <c r="P22" s="180"/>
      <c r="Q22" s="180"/>
      <c r="R22" s="197"/>
      <c r="S22" s="197"/>
      <c r="T22" s="197"/>
    </row>
    <row r="23" spans="1:20" x14ac:dyDescent="0.2">
      <c r="A23" s="214" t="s">
        <v>76</v>
      </c>
      <c r="B23" s="167">
        <v>1</v>
      </c>
      <c r="C23" s="198">
        <f t="shared" ref="C23:C27" si="9">F23/H23</f>
        <v>4.5693788618049567</v>
      </c>
      <c r="D23" s="198" t="s">
        <v>213</v>
      </c>
      <c r="E23" s="198" t="s">
        <v>220</v>
      </c>
      <c r="F23" s="202">
        <v>0.25466670000000002</v>
      </c>
      <c r="G23" s="202">
        <v>0.68959999999999999</v>
      </c>
      <c r="H23" s="202">
        <v>5.5733329999999998E-2</v>
      </c>
      <c r="I23" s="197" t="s">
        <v>71</v>
      </c>
      <c r="J23" s="180" t="s">
        <v>265</v>
      </c>
      <c r="K23" s="180" t="s">
        <v>271</v>
      </c>
      <c r="L23" s="202">
        <v>0.60596669999999997</v>
      </c>
      <c r="M23" s="202">
        <v>0.39403329999999998</v>
      </c>
      <c r="N23" s="202">
        <v>0</v>
      </c>
      <c r="O23" s="197" t="s">
        <v>71</v>
      </c>
      <c r="P23" s="180" t="s">
        <v>300</v>
      </c>
      <c r="Q23" s="180" t="s">
        <v>307</v>
      </c>
      <c r="R23" s="197">
        <v>0.2344</v>
      </c>
      <c r="S23" s="197">
        <v>0.76559999999999995</v>
      </c>
      <c r="T23" s="197">
        <v>0</v>
      </c>
    </row>
    <row r="24" spans="1:20" x14ac:dyDescent="0.2">
      <c r="A24" s="214"/>
      <c r="B24" s="167">
        <v>2</v>
      </c>
      <c r="C24" s="198">
        <f t="shared" si="9"/>
        <v>0.21649619532515801</v>
      </c>
      <c r="D24" s="198" t="s">
        <v>213</v>
      </c>
      <c r="E24" s="198" t="s">
        <v>221</v>
      </c>
      <c r="F24" s="202">
        <v>5.5733329999999998E-2</v>
      </c>
      <c r="G24" s="202">
        <v>0.68683329999999998</v>
      </c>
      <c r="H24" s="202">
        <v>0.25743329999999998</v>
      </c>
      <c r="I24" s="197">
        <f t="shared" ref="I24:I27" si="10">L24/N24</f>
        <v>3.0909652014652012</v>
      </c>
      <c r="J24" s="180" t="s">
        <v>265</v>
      </c>
      <c r="K24" s="180" t="s">
        <v>272</v>
      </c>
      <c r="L24" s="202">
        <v>0.16876669999999999</v>
      </c>
      <c r="M24" s="202">
        <v>0.77663329999999997</v>
      </c>
      <c r="N24" s="202">
        <v>5.4600000000000003E-2</v>
      </c>
      <c r="O24" s="197">
        <f t="shared" ref="O24:O27" si="11">R24/T24</f>
        <v>0.97841726759860914</v>
      </c>
      <c r="P24" s="180" t="s">
        <v>300</v>
      </c>
      <c r="Q24" s="180" t="s">
        <v>308</v>
      </c>
      <c r="R24" s="197">
        <v>4.9866670000000002E-2</v>
      </c>
      <c r="S24" s="197">
        <v>0.89916669999999999</v>
      </c>
      <c r="T24" s="197">
        <v>5.0966669999999999E-2</v>
      </c>
    </row>
    <row r="25" spans="1:20" x14ac:dyDescent="0.2">
      <c r="A25" s="214"/>
      <c r="B25" s="167">
        <v>3</v>
      </c>
      <c r="C25" s="198">
        <f t="shared" si="9"/>
        <v>0</v>
      </c>
      <c r="D25" s="198" t="s">
        <v>213</v>
      </c>
      <c r="E25" s="198" t="s">
        <v>222</v>
      </c>
      <c r="F25" s="202">
        <v>0</v>
      </c>
      <c r="G25" s="202">
        <v>0.1447667</v>
      </c>
      <c r="H25" s="202">
        <v>0.85523329999999997</v>
      </c>
      <c r="I25" s="197">
        <f t="shared" si="10"/>
        <v>0</v>
      </c>
      <c r="J25" s="180" t="s">
        <v>265</v>
      </c>
      <c r="K25" s="180" t="s">
        <v>273</v>
      </c>
      <c r="L25" s="202">
        <v>0</v>
      </c>
      <c r="M25" s="202">
        <v>0.67163329999999999</v>
      </c>
      <c r="N25" s="202">
        <v>0.32836670000000001</v>
      </c>
      <c r="O25" s="197">
        <f t="shared" si="11"/>
        <v>0</v>
      </c>
      <c r="P25" s="180" t="s">
        <v>300</v>
      </c>
      <c r="Q25" s="180" t="s">
        <v>309</v>
      </c>
      <c r="R25" s="197">
        <v>0</v>
      </c>
      <c r="S25" s="197">
        <v>0.39416669999999998</v>
      </c>
      <c r="T25" s="197">
        <v>0.60583330000000002</v>
      </c>
    </row>
    <row r="26" spans="1:20" x14ac:dyDescent="0.2">
      <c r="A26" s="214"/>
      <c r="B26" s="167">
        <v>4</v>
      </c>
      <c r="C26" s="198">
        <f t="shared" si="9"/>
        <v>0.43737424147607895</v>
      </c>
      <c r="D26" s="198" t="s">
        <v>213</v>
      </c>
      <c r="E26" s="198" t="s">
        <v>223</v>
      </c>
      <c r="F26" s="202">
        <v>0.2174333</v>
      </c>
      <c r="G26" s="202">
        <v>0.2854333</v>
      </c>
      <c r="H26" s="202">
        <v>0.4971333</v>
      </c>
      <c r="I26" s="197">
        <f t="shared" si="10"/>
        <v>0.81243913742605023</v>
      </c>
      <c r="J26" s="180" t="s">
        <v>265</v>
      </c>
      <c r="K26" s="180" t="s">
        <v>274</v>
      </c>
      <c r="L26" s="202">
        <v>0.38969999999999999</v>
      </c>
      <c r="M26" s="202">
        <v>0.13063330000000001</v>
      </c>
      <c r="N26" s="202">
        <v>0.4796667</v>
      </c>
      <c r="O26" s="197">
        <f t="shared" si="11"/>
        <v>0</v>
      </c>
      <c r="P26" s="180" t="s">
        <v>300</v>
      </c>
      <c r="Q26" s="180" t="s">
        <v>310</v>
      </c>
      <c r="R26" s="197">
        <v>0</v>
      </c>
      <c r="S26" s="197">
        <v>0.58540000000000003</v>
      </c>
      <c r="T26" s="197">
        <v>0.41460000000000002</v>
      </c>
    </row>
    <row r="27" spans="1:20" x14ac:dyDescent="0.2">
      <c r="A27" s="214"/>
      <c r="B27" s="167">
        <v>5</v>
      </c>
      <c r="C27" s="198">
        <f t="shared" si="9"/>
        <v>0.10805112561001444</v>
      </c>
      <c r="D27" s="198" t="s">
        <v>213</v>
      </c>
      <c r="E27" s="198" t="s">
        <v>224</v>
      </c>
      <c r="F27" s="182">
        <v>8.3699999999999997E-2</v>
      </c>
      <c r="G27" s="182">
        <v>0.14166670000000001</v>
      </c>
      <c r="H27" s="182">
        <v>0.77463329999999997</v>
      </c>
      <c r="I27" s="187">
        <f t="shared" si="10"/>
        <v>0.11261725357300721</v>
      </c>
      <c r="J27" s="182" t="s">
        <v>265</v>
      </c>
      <c r="K27" s="182" t="s">
        <v>275</v>
      </c>
      <c r="L27" s="202">
        <v>7.6433329999999994E-2</v>
      </c>
      <c r="M27" s="202">
        <v>0.24486669999999999</v>
      </c>
      <c r="N27" s="202">
        <v>0.67869999999999997</v>
      </c>
      <c r="O27" s="197">
        <f t="shared" si="11"/>
        <v>0.11343898663269779</v>
      </c>
      <c r="P27" s="180" t="s">
        <v>300</v>
      </c>
      <c r="Q27" s="180" t="s">
        <v>311</v>
      </c>
      <c r="R27" s="197">
        <v>7.7066670000000004E-2</v>
      </c>
      <c r="S27" s="197">
        <v>0.2435667</v>
      </c>
      <c r="T27" s="197">
        <v>0.67936669999999999</v>
      </c>
    </row>
    <row r="28" spans="1:20" ht="17" thickBot="1" x14ac:dyDescent="0.25">
      <c r="A28" s="138"/>
      <c r="B28" s="115"/>
      <c r="C28" s="201"/>
      <c r="D28" s="201"/>
      <c r="E28" s="201"/>
      <c r="F28" s="158"/>
      <c r="G28" s="158"/>
      <c r="H28" s="158"/>
      <c r="I28" s="151"/>
      <c r="J28" s="152"/>
      <c r="K28" s="152"/>
      <c r="L28" s="158"/>
      <c r="M28" s="158"/>
      <c r="N28" s="158"/>
      <c r="O28" s="151"/>
      <c r="P28" s="152"/>
      <c r="Q28" s="152"/>
      <c r="R28" s="151"/>
      <c r="S28" s="151"/>
      <c r="T28" s="151"/>
    </row>
    <row r="29" spans="1:20" x14ac:dyDescent="0.2">
      <c r="A29" s="214" t="s">
        <v>77</v>
      </c>
      <c r="B29" s="167">
        <v>1</v>
      </c>
      <c r="C29" s="178" t="s">
        <v>71</v>
      </c>
      <c r="D29" s="178" t="s">
        <v>225</v>
      </c>
      <c r="E29" s="178" t="s">
        <v>226</v>
      </c>
      <c r="F29" s="203">
        <v>0.96216670000000004</v>
      </c>
      <c r="G29" s="202">
        <v>3.7833329999999998E-2</v>
      </c>
      <c r="H29" s="202">
        <v>0</v>
      </c>
      <c r="I29" s="188" t="s">
        <v>71</v>
      </c>
      <c r="J29" s="183" t="s">
        <v>276</v>
      </c>
      <c r="K29" s="183" t="s">
        <v>344</v>
      </c>
      <c r="L29" s="203">
        <v>0.96319999999999995</v>
      </c>
      <c r="M29" s="202">
        <v>3.6799999999999999E-2</v>
      </c>
      <c r="N29" s="202">
        <v>0</v>
      </c>
      <c r="O29" s="188" t="s">
        <v>71</v>
      </c>
      <c r="P29" s="183" t="s">
        <v>312</v>
      </c>
      <c r="Q29" s="183" t="s">
        <v>313</v>
      </c>
      <c r="R29" s="188">
        <v>0.9637</v>
      </c>
      <c r="S29" s="197">
        <v>3.6299999999999999E-2</v>
      </c>
      <c r="T29" s="197">
        <v>0</v>
      </c>
    </row>
    <row r="30" spans="1:20" x14ac:dyDescent="0.2">
      <c r="A30" s="214"/>
      <c r="B30" s="167">
        <v>2</v>
      </c>
      <c r="C30" s="198">
        <f t="shared" ref="C30:C31" si="12">F30/H30</f>
        <v>1.0032814396987317</v>
      </c>
      <c r="D30" s="198" t="s">
        <v>225</v>
      </c>
      <c r="E30" s="198" t="s">
        <v>227</v>
      </c>
      <c r="F30" s="202">
        <v>0.34649999999999997</v>
      </c>
      <c r="G30" s="202">
        <v>0.3081333</v>
      </c>
      <c r="H30" s="202">
        <v>0.34536670000000003</v>
      </c>
      <c r="I30" s="197">
        <f t="shared" ref="I30:I33" si="13">L30/N30</f>
        <v>0</v>
      </c>
      <c r="J30" s="180" t="s">
        <v>276</v>
      </c>
      <c r="K30" s="180" t="s">
        <v>345</v>
      </c>
      <c r="L30" s="202">
        <v>0</v>
      </c>
      <c r="M30" s="202">
        <v>0.1440333</v>
      </c>
      <c r="N30" s="202">
        <v>0.85596669999999997</v>
      </c>
      <c r="O30" s="197">
        <f t="shared" ref="O30:O32" si="14">R30/T30</f>
        <v>1.0187440579710145</v>
      </c>
      <c r="P30" s="180" t="s">
        <v>312</v>
      </c>
      <c r="Q30" s="180" t="s">
        <v>314</v>
      </c>
      <c r="R30" s="197">
        <v>0.35146670000000002</v>
      </c>
      <c r="S30" s="197">
        <v>0.30353330000000001</v>
      </c>
      <c r="T30" s="197">
        <v>0.34499999999999997</v>
      </c>
    </row>
    <row r="31" spans="1:20" x14ac:dyDescent="0.2">
      <c r="A31" s="214"/>
      <c r="B31" s="167">
        <v>3</v>
      </c>
      <c r="C31" s="198">
        <f t="shared" si="12"/>
        <v>2.8584509419152271</v>
      </c>
      <c r="D31" s="198" t="s">
        <v>225</v>
      </c>
      <c r="E31" s="198" t="s">
        <v>228</v>
      </c>
      <c r="F31" s="202">
        <v>0.72833329999999996</v>
      </c>
      <c r="G31" s="202">
        <v>1.686667E-2</v>
      </c>
      <c r="H31" s="202">
        <v>0.25480000000000003</v>
      </c>
      <c r="I31" s="197">
        <f t="shared" si="13"/>
        <v>1.6345773178290539</v>
      </c>
      <c r="J31" s="180" t="s">
        <v>276</v>
      </c>
      <c r="K31" s="180" t="s">
        <v>346</v>
      </c>
      <c r="L31" s="202">
        <v>0.49636669999999999</v>
      </c>
      <c r="M31" s="202">
        <v>0.1999667</v>
      </c>
      <c r="N31" s="202">
        <v>0.30366670000000001</v>
      </c>
      <c r="O31" s="197">
        <f t="shared" si="14"/>
        <v>0.82289736939607272</v>
      </c>
      <c r="P31" s="180" t="s">
        <v>312</v>
      </c>
      <c r="Q31" s="180" t="s">
        <v>315</v>
      </c>
      <c r="R31" s="197">
        <v>0.44419999999999998</v>
      </c>
      <c r="S31" s="197">
        <v>1.6E-2</v>
      </c>
      <c r="T31" s="197">
        <v>0.53979999999999995</v>
      </c>
    </row>
    <row r="32" spans="1:20" x14ac:dyDescent="0.2">
      <c r="A32" s="214"/>
      <c r="B32" s="167">
        <v>4</v>
      </c>
      <c r="C32" s="178" t="s">
        <v>71</v>
      </c>
      <c r="D32" s="178" t="s">
        <v>225</v>
      </c>
      <c r="E32" s="178" t="s">
        <v>229</v>
      </c>
      <c r="F32" s="182">
        <v>0.85936670000000004</v>
      </c>
      <c r="G32" s="182">
        <v>0.14063329999999999</v>
      </c>
      <c r="H32" s="182">
        <v>0</v>
      </c>
      <c r="I32" s="187">
        <f t="shared" si="13"/>
        <v>14.677864244375783</v>
      </c>
      <c r="J32" s="182" t="s">
        <v>276</v>
      </c>
      <c r="K32" s="182" t="s">
        <v>347</v>
      </c>
      <c r="L32" s="202">
        <v>0.88849999999999996</v>
      </c>
      <c r="M32" s="202">
        <v>5.0966669999999999E-2</v>
      </c>
      <c r="N32" s="202">
        <v>6.0533330000000003E-2</v>
      </c>
      <c r="O32" s="197">
        <f t="shared" si="14"/>
        <v>8.2214929709465796</v>
      </c>
      <c r="P32" s="180" t="s">
        <v>312</v>
      </c>
      <c r="Q32" s="180" t="s">
        <v>316</v>
      </c>
      <c r="R32" s="197">
        <v>0.87723329999999999</v>
      </c>
      <c r="S32" s="197">
        <v>1.6066670000000002E-2</v>
      </c>
      <c r="T32" s="197">
        <v>0.1067</v>
      </c>
    </row>
    <row r="33" spans="1:20" x14ac:dyDescent="0.2">
      <c r="A33" s="214"/>
      <c r="B33" s="167">
        <v>5</v>
      </c>
      <c r="C33" s="198" t="s">
        <v>71</v>
      </c>
      <c r="D33" s="198" t="s">
        <v>225</v>
      </c>
      <c r="E33" s="198" t="s">
        <v>219</v>
      </c>
      <c r="F33" s="182" t="s">
        <v>24</v>
      </c>
      <c r="G33" s="182" t="s">
        <v>24</v>
      </c>
      <c r="H33" s="182" t="s">
        <v>24</v>
      </c>
      <c r="I33" s="187">
        <f t="shared" si="13"/>
        <v>2.8364535881435256</v>
      </c>
      <c r="J33" s="182" t="s">
        <v>276</v>
      </c>
      <c r="K33" s="182" t="s">
        <v>348</v>
      </c>
      <c r="L33" s="202">
        <v>0.72726670000000004</v>
      </c>
      <c r="M33" s="202">
        <v>1.633333E-2</v>
      </c>
      <c r="N33" s="202">
        <v>0.25640000000000002</v>
      </c>
      <c r="O33" s="197" t="s">
        <v>24</v>
      </c>
      <c r="P33" s="180" t="s">
        <v>312</v>
      </c>
      <c r="Q33" s="180" t="s">
        <v>317</v>
      </c>
      <c r="R33" s="197" t="s">
        <v>24</v>
      </c>
      <c r="S33" s="197" t="s">
        <v>24</v>
      </c>
      <c r="T33" s="197" t="s">
        <v>24</v>
      </c>
    </row>
    <row r="34" spans="1:20" x14ac:dyDescent="0.2">
      <c r="A34" s="130"/>
      <c r="B34" s="167"/>
      <c r="C34" s="198"/>
      <c r="D34" s="198"/>
      <c r="E34" s="198"/>
      <c r="F34" s="202"/>
      <c r="G34" s="202"/>
      <c r="H34" s="202"/>
      <c r="I34" s="197"/>
      <c r="J34" s="180"/>
      <c r="K34" s="180"/>
      <c r="L34" s="202"/>
      <c r="M34" s="202"/>
      <c r="N34" s="202"/>
      <c r="O34" s="197"/>
      <c r="P34" s="180"/>
      <c r="Q34" s="180"/>
      <c r="R34" s="197"/>
      <c r="S34" s="197"/>
      <c r="T34" s="197"/>
    </row>
    <row r="35" spans="1:20" x14ac:dyDescent="0.2">
      <c r="A35" s="214" t="s">
        <v>78</v>
      </c>
      <c r="B35" s="167">
        <v>1</v>
      </c>
      <c r="C35" s="198">
        <f t="shared" ref="C35:C37" si="15">F35/H35</f>
        <v>14.500271144399393</v>
      </c>
      <c r="D35" s="198" t="s">
        <v>225</v>
      </c>
      <c r="E35" s="198" t="s">
        <v>230</v>
      </c>
      <c r="F35" s="202">
        <v>0.88693330000000004</v>
      </c>
      <c r="G35" s="202">
        <v>5.1900000000000002E-2</v>
      </c>
      <c r="H35" s="202">
        <v>6.1166669999999999E-2</v>
      </c>
      <c r="I35" s="188">
        <f t="shared" ref="I35:I37" si="16">L35/N35</f>
        <v>0</v>
      </c>
      <c r="J35" s="183" t="s">
        <v>276</v>
      </c>
      <c r="K35" s="183" t="s">
        <v>349</v>
      </c>
      <c r="L35" s="202">
        <v>0</v>
      </c>
      <c r="M35" s="202">
        <v>3.696667E-2</v>
      </c>
      <c r="N35" s="203">
        <v>0.96303329999999998</v>
      </c>
      <c r="O35" s="197">
        <f t="shared" ref="O35" si="17">R35/T35</f>
        <v>6.2080591327201047</v>
      </c>
      <c r="P35" s="180" t="s">
        <v>312</v>
      </c>
      <c r="Q35" s="180" t="s">
        <v>318</v>
      </c>
      <c r="R35" s="197">
        <v>0.4724333</v>
      </c>
      <c r="S35" s="197">
        <v>0.4514667</v>
      </c>
      <c r="T35" s="197">
        <v>7.6100000000000001E-2</v>
      </c>
    </row>
    <row r="36" spans="1:20" x14ac:dyDescent="0.2">
      <c r="A36" s="214"/>
      <c r="B36" s="167">
        <v>2</v>
      </c>
      <c r="C36" s="198">
        <f t="shared" si="15"/>
        <v>6.2749345222830772</v>
      </c>
      <c r="D36" s="198" t="s">
        <v>225</v>
      </c>
      <c r="E36" s="198" t="s">
        <v>231</v>
      </c>
      <c r="F36" s="202">
        <v>0.47396670000000002</v>
      </c>
      <c r="G36" s="202">
        <v>0.45050000000000001</v>
      </c>
      <c r="H36" s="202">
        <v>7.5533329999999996E-2</v>
      </c>
      <c r="I36" s="197">
        <f t="shared" si="16"/>
        <v>3.4386983063410606</v>
      </c>
      <c r="J36" s="180" t="s">
        <v>276</v>
      </c>
      <c r="K36" s="180" t="s">
        <v>350</v>
      </c>
      <c r="L36" s="202">
        <v>0.4899</v>
      </c>
      <c r="M36" s="202">
        <v>0.3676333</v>
      </c>
      <c r="N36" s="202">
        <v>0.1424667</v>
      </c>
      <c r="O36" s="197" t="s">
        <v>71</v>
      </c>
      <c r="P36" s="180" t="s">
        <v>312</v>
      </c>
      <c r="Q36" s="180" t="s">
        <v>319</v>
      </c>
      <c r="R36" s="197">
        <v>0.42483330000000002</v>
      </c>
      <c r="S36" s="197">
        <v>0.57516670000000003</v>
      </c>
      <c r="T36" s="197">
        <v>0</v>
      </c>
    </row>
    <row r="37" spans="1:20" x14ac:dyDescent="0.2">
      <c r="A37" s="214"/>
      <c r="B37" s="167">
        <v>3</v>
      </c>
      <c r="C37" s="198">
        <f t="shared" si="15"/>
        <v>6.475889748720606</v>
      </c>
      <c r="D37" s="198" t="s">
        <v>225</v>
      </c>
      <c r="E37" s="198" t="s">
        <v>232</v>
      </c>
      <c r="F37" s="202">
        <v>0.47899999999999998</v>
      </c>
      <c r="G37" s="202">
        <v>0.44703330000000002</v>
      </c>
      <c r="H37" s="202">
        <v>7.3966669999999998E-2</v>
      </c>
      <c r="I37" s="197">
        <f t="shared" si="16"/>
        <v>3.5262401979956781</v>
      </c>
      <c r="J37" s="180" t="s">
        <v>276</v>
      </c>
      <c r="K37" s="180" t="s">
        <v>351</v>
      </c>
      <c r="L37" s="202">
        <v>0.49496669999999998</v>
      </c>
      <c r="M37" s="202">
        <v>0.36466670000000001</v>
      </c>
      <c r="N37" s="202">
        <v>0.14036670000000001</v>
      </c>
      <c r="O37" s="197" t="s">
        <v>71</v>
      </c>
      <c r="P37" s="180" t="s">
        <v>312</v>
      </c>
      <c r="Q37" s="180" t="s">
        <v>320</v>
      </c>
      <c r="R37" s="197">
        <v>0.4201667</v>
      </c>
      <c r="S37" s="197">
        <v>0.5798333</v>
      </c>
      <c r="T37" s="197">
        <v>0</v>
      </c>
    </row>
    <row r="38" spans="1:20" x14ac:dyDescent="0.2">
      <c r="A38" s="214"/>
      <c r="B38" s="167">
        <v>4</v>
      </c>
      <c r="C38" s="198" t="s">
        <v>71</v>
      </c>
      <c r="D38" s="198" t="s">
        <v>225</v>
      </c>
      <c r="E38" s="198" t="s">
        <v>233</v>
      </c>
      <c r="F38" s="202">
        <v>0.85663330000000004</v>
      </c>
      <c r="G38" s="202">
        <v>0.14336670000000001</v>
      </c>
      <c r="H38" s="202">
        <v>0</v>
      </c>
      <c r="I38" s="197" t="s">
        <v>71</v>
      </c>
      <c r="J38" s="180" t="s">
        <v>276</v>
      </c>
      <c r="K38" s="180" t="s">
        <v>352</v>
      </c>
      <c r="L38" s="202">
        <v>0.42133330000000002</v>
      </c>
      <c r="M38" s="202">
        <v>0.57866669999999998</v>
      </c>
      <c r="N38" s="202">
        <v>0</v>
      </c>
      <c r="O38" s="197" t="s">
        <v>71</v>
      </c>
      <c r="P38" s="180" t="s">
        <v>312</v>
      </c>
      <c r="Q38" s="180" t="s">
        <v>321</v>
      </c>
      <c r="R38" s="197">
        <v>0.85483330000000002</v>
      </c>
      <c r="S38" s="197">
        <v>0.14516670000000001</v>
      </c>
      <c r="T38" s="197">
        <v>0</v>
      </c>
    </row>
    <row r="39" spans="1:20" x14ac:dyDescent="0.2">
      <c r="A39" s="214"/>
      <c r="B39" s="167">
        <v>5</v>
      </c>
      <c r="C39" s="178" t="s">
        <v>71</v>
      </c>
      <c r="D39" s="178" t="s">
        <v>225</v>
      </c>
      <c r="E39" s="178" t="s">
        <v>234</v>
      </c>
      <c r="F39" s="185">
        <v>0.96303329999999998</v>
      </c>
      <c r="G39" s="182">
        <v>3.696667E-2</v>
      </c>
      <c r="H39" s="182">
        <v>0</v>
      </c>
      <c r="I39" s="186" t="s">
        <v>71</v>
      </c>
      <c r="J39" s="185" t="s">
        <v>276</v>
      </c>
      <c r="K39" s="185" t="s">
        <v>353</v>
      </c>
      <c r="L39" s="203">
        <v>0.96233329999999995</v>
      </c>
      <c r="M39" s="202">
        <v>3.7666669999999999E-2</v>
      </c>
      <c r="N39" s="202">
        <v>0</v>
      </c>
      <c r="O39" s="197" t="s">
        <v>71</v>
      </c>
      <c r="P39" s="180" t="s">
        <v>312</v>
      </c>
      <c r="Q39" s="180" t="s">
        <v>322</v>
      </c>
      <c r="R39" s="197">
        <v>0.85393330000000001</v>
      </c>
      <c r="S39" s="197">
        <v>0.14606669999999999</v>
      </c>
      <c r="T39" s="197">
        <v>0</v>
      </c>
    </row>
    <row r="40" spans="1:20" ht="17" thickBot="1" x14ac:dyDescent="0.25">
      <c r="A40" s="138"/>
      <c r="B40" s="115"/>
      <c r="C40" s="201"/>
      <c r="D40" s="201"/>
      <c r="E40" s="201"/>
      <c r="F40" s="158"/>
      <c r="G40" s="158"/>
      <c r="H40" s="158"/>
      <c r="I40" s="151"/>
      <c r="J40" s="152"/>
      <c r="K40" s="152"/>
      <c r="L40" s="158"/>
      <c r="M40" s="158"/>
      <c r="N40" s="158"/>
      <c r="O40" s="151"/>
      <c r="P40" s="152"/>
      <c r="Q40" s="152"/>
      <c r="R40" s="151"/>
      <c r="S40" s="151"/>
      <c r="T40" s="151"/>
    </row>
    <row r="41" spans="1:20" x14ac:dyDescent="0.2">
      <c r="A41" s="214" t="s">
        <v>79</v>
      </c>
      <c r="B41" s="167">
        <v>1</v>
      </c>
      <c r="C41" s="198" t="s">
        <v>71</v>
      </c>
      <c r="D41" s="198" t="s">
        <v>235</v>
      </c>
      <c r="E41" s="198" t="s">
        <v>236</v>
      </c>
      <c r="F41" s="202">
        <v>0.60676669999999999</v>
      </c>
      <c r="G41" s="202">
        <v>0.39323330000000001</v>
      </c>
      <c r="H41" s="202">
        <v>0</v>
      </c>
      <c r="I41" s="197">
        <f t="shared" ref="I41:I45" si="18">L41/N41</f>
        <v>9.3234706388056523</v>
      </c>
      <c r="J41" s="180" t="s">
        <v>277</v>
      </c>
      <c r="K41" s="180" t="s">
        <v>278</v>
      </c>
      <c r="L41" s="202">
        <v>0.77726669999999998</v>
      </c>
      <c r="M41" s="202">
        <v>0.13936670000000001</v>
      </c>
      <c r="N41" s="202">
        <v>8.3366670000000004E-2</v>
      </c>
      <c r="O41" s="197">
        <f t="shared" ref="O41:O44" si="19">R41/T41</f>
        <v>0.32342657342657344</v>
      </c>
      <c r="P41" s="180" t="s">
        <v>323</v>
      </c>
      <c r="Q41" s="180" t="s">
        <v>324</v>
      </c>
      <c r="R41" s="197">
        <v>5.5500000000000001E-2</v>
      </c>
      <c r="S41" s="197">
        <v>0.77290000000000003</v>
      </c>
      <c r="T41" s="197">
        <v>0.1716</v>
      </c>
    </row>
    <row r="42" spans="1:20" x14ac:dyDescent="0.2">
      <c r="A42" s="214"/>
      <c r="B42" s="167">
        <v>2</v>
      </c>
      <c r="C42" s="198">
        <f t="shared" ref="C42:C43" si="20">F42/H42</f>
        <v>0</v>
      </c>
      <c r="D42" s="198" t="s">
        <v>235</v>
      </c>
      <c r="E42" s="198" t="s">
        <v>237</v>
      </c>
      <c r="F42" s="202">
        <v>0</v>
      </c>
      <c r="G42" s="202">
        <v>0.57926670000000002</v>
      </c>
      <c r="H42" s="202">
        <v>0.42073329999999998</v>
      </c>
      <c r="I42" s="197">
        <f t="shared" si="18"/>
        <v>0</v>
      </c>
      <c r="J42" s="180" t="s">
        <v>277</v>
      </c>
      <c r="K42" s="180" t="s">
        <v>279</v>
      </c>
      <c r="L42" s="202">
        <v>0</v>
      </c>
      <c r="M42" s="202">
        <v>0.14593329999999999</v>
      </c>
      <c r="N42" s="202">
        <v>0.85406669999999996</v>
      </c>
      <c r="O42" s="197">
        <f t="shared" si="19"/>
        <v>0</v>
      </c>
      <c r="P42" s="180" t="s">
        <v>323</v>
      </c>
      <c r="Q42" s="180" t="s">
        <v>325</v>
      </c>
      <c r="R42" s="197">
        <v>0</v>
      </c>
      <c r="S42" s="197">
        <v>0.14313329999999999</v>
      </c>
      <c r="T42" s="197">
        <v>0.85686669999999998</v>
      </c>
    </row>
    <row r="43" spans="1:20" x14ac:dyDescent="0.2">
      <c r="A43" s="214"/>
      <c r="B43" s="167">
        <v>3</v>
      </c>
      <c r="C43" s="198">
        <f t="shared" si="20"/>
        <v>0.16200882538348393</v>
      </c>
      <c r="D43" s="198" t="s">
        <v>235</v>
      </c>
      <c r="E43" s="198" t="s">
        <v>238</v>
      </c>
      <c r="F43" s="202">
        <v>7.7100000000000002E-2</v>
      </c>
      <c r="G43" s="202">
        <v>0.44700000000000001</v>
      </c>
      <c r="H43" s="202">
        <v>0.47589999999999999</v>
      </c>
      <c r="I43" s="197">
        <f t="shared" si="18"/>
        <v>0.11632944912125238</v>
      </c>
      <c r="J43" s="180" t="s">
        <v>277</v>
      </c>
      <c r="K43" s="180" t="s">
        <v>280</v>
      </c>
      <c r="L43" s="202">
        <v>7.8766669999999997E-2</v>
      </c>
      <c r="M43" s="202">
        <v>0.2441333</v>
      </c>
      <c r="N43" s="202">
        <v>0.67710000000000004</v>
      </c>
      <c r="O43" s="197">
        <f t="shared" si="19"/>
        <v>6.8565638369736545E-2</v>
      </c>
      <c r="P43" s="180" t="s">
        <v>323</v>
      </c>
      <c r="Q43" s="180" t="s">
        <v>326</v>
      </c>
      <c r="R43" s="197">
        <v>6.0900000000000003E-2</v>
      </c>
      <c r="S43" s="197">
        <v>5.0900000000000001E-2</v>
      </c>
      <c r="T43" s="197">
        <v>0.88819999999999999</v>
      </c>
    </row>
    <row r="44" spans="1:20" x14ac:dyDescent="0.2">
      <c r="A44" s="214"/>
      <c r="B44" s="167">
        <v>4</v>
      </c>
      <c r="C44" s="198" t="s">
        <v>71</v>
      </c>
      <c r="D44" s="198" t="s">
        <v>235</v>
      </c>
      <c r="E44" s="198" t="s">
        <v>239</v>
      </c>
      <c r="F44" s="182">
        <v>0.85386669999999998</v>
      </c>
      <c r="G44" s="182">
        <v>0.14613329999999999</v>
      </c>
      <c r="H44" s="182">
        <v>0</v>
      </c>
      <c r="I44" s="186">
        <f t="shared" si="18"/>
        <v>14.331715210355988</v>
      </c>
      <c r="J44" s="185" t="s">
        <v>277</v>
      </c>
      <c r="K44" s="185" t="s">
        <v>281</v>
      </c>
      <c r="L44" s="202">
        <v>0.88570000000000004</v>
      </c>
      <c r="M44" s="202">
        <v>5.2499999999999998E-2</v>
      </c>
      <c r="N44" s="202">
        <v>6.1800000000000001E-2</v>
      </c>
      <c r="O44" s="197">
        <f t="shared" si="19"/>
        <v>7.8857826871055003</v>
      </c>
      <c r="P44" s="180" t="s">
        <v>323</v>
      </c>
      <c r="Q44" s="180" t="s">
        <v>327</v>
      </c>
      <c r="R44" s="197">
        <v>0.87453329999999996</v>
      </c>
      <c r="S44" s="197">
        <v>1.456667E-2</v>
      </c>
      <c r="T44" s="197">
        <v>0.1109</v>
      </c>
    </row>
    <row r="45" spans="1:20" x14ac:dyDescent="0.2">
      <c r="A45" s="214"/>
      <c r="B45" s="167">
        <v>5</v>
      </c>
      <c r="C45" s="198" t="s">
        <v>71</v>
      </c>
      <c r="D45" s="198" t="s">
        <v>235</v>
      </c>
      <c r="E45" s="198" t="s">
        <v>305</v>
      </c>
      <c r="F45" s="182" t="s">
        <v>24</v>
      </c>
      <c r="G45" s="182" t="s">
        <v>24</v>
      </c>
      <c r="H45" s="182" t="s">
        <v>24</v>
      </c>
      <c r="I45" s="187">
        <f t="shared" si="18"/>
        <v>1.2286553764131218</v>
      </c>
      <c r="J45" s="182" t="s">
        <v>277</v>
      </c>
      <c r="K45" s="182" t="s">
        <v>282</v>
      </c>
      <c r="L45" s="202">
        <v>0.5425333</v>
      </c>
      <c r="M45" s="202">
        <v>1.5900000000000001E-2</v>
      </c>
      <c r="N45" s="202">
        <v>0.44156669999999998</v>
      </c>
      <c r="O45" s="197" t="s">
        <v>24</v>
      </c>
      <c r="P45" s="180" t="s">
        <v>323</v>
      </c>
      <c r="Q45" s="180" t="s">
        <v>328</v>
      </c>
      <c r="R45" s="197" t="s">
        <v>24</v>
      </c>
      <c r="S45" s="197" t="s">
        <v>24</v>
      </c>
      <c r="T45" s="197" t="s">
        <v>24</v>
      </c>
    </row>
    <row r="46" spans="1:20" x14ac:dyDescent="0.2">
      <c r="A46" s="130"/>
      <c r="B46" s="167"/>
      <c r="C46" s="198"/>
      <c r="D46" s="198"/>
      <c r="E46" s="198"/>
      <c r="F46" s="202"/>
      <c r="G46" s="202"/>
      <c r="H46" s="202"/>
      <c r="I46" s="197"/>
      <c r="J46" s="180"/>
      <c r="K46" s="180"/>
      <c r="L46" s="202"/>
      <c r="M46" s="202"/>
      <c r="N46" s="202"/>
      <c r="O46" s="197"/>
      <c r="P46" s="180"/>
      <c r="Q46" s="180"/>
      <c r="R46" s="197"/>
      <c r="S46" s="197"/>
      <c r="T46" s="197"/>
    </row>
    <row r="47" spans="1:20" x14ac:dyDescent="0.2">
      <c r="A47" s="214" t="s">
        <v>80</v>
      </c>
      <c r="B47" s="167">
        <v>1</v>
      </c>
      <c r="C47" s="198">
        <f>F47/H47</f>
        <v>0.27454576891781934</v>
      </c>
      <c r="D47" s="198" t="s">
        <v>235</v>
      </c>
      <c r="E47" s="198" t="s">
        <v>240</v>
      </c>
      <c r="F47" s="202">
        <v>0.1349667</v>
      </c>
      <c r="G47" s="202">
        <v>0.37343330000000002</v>
      </c>
      <c r="H47" s="202">
        <v>0.49159999999999998</v>
      </c>
      <c r="I47" s="197">
        <f t="shared" ref="I47:I51" si="21">L47/N47</f>
        <v>0.42437396888257428</v>
      </c>
      <c r="J47" s="180" t="s">
        <v>277</v>
      </c>
      <c r="K47" s="180" t="s">
        <v>283</v>
      </c>
      <c r="L47" s="202">
        <v>0.2802</v>
      </c>
      <c r="M47" s="202">
        <v>5.9533330000000002E-2</v>
      </c>
      <c r="N47" s="202">
        <v>0.66026669999999998</v>
      </c>
      <c r="O47" s="197">
        <f t="shared" ref="O47:O51" si="22">R47/T47</f>
        <v>0.41985994159524942</v>
      </c>
      <c r="P47" s="180" t="s">
        <v>323</v>
      </c>
      <c r="Q47" s="180" t="s">
        <v>329</v>
      </c>
      <c r="R47" s="197">
        <v>0.27793329999999999</v>
      </c>
      <c r="S47" s="197">
        <v>6.0100000000000001E-2</v>
      </c>
      <c r="T47" s="197">
        <v>0.66196670000000002</v>
      </c>
    </row>
    <row r="48" spans="1:20" x14ac:dyDescent="0.2">
      <c r="A48" s="214"/>
      <c r="B48" s="167">
        <v>2</v>
      </c>
      <c r="C48" s="198" t="s">
        <v>71</v>
      </c>
      <c r="D48" s="198" t="s">
        <v>235</v>
      </c>
      <c r="E48" s="198" t="s">
        <v>241</v>
      </c>
      <c r="F48" s="202">
        <v>0.2336</v>
      </c>
      <c r="G48" s="202">
        <v>0.76639999999999997</v>
      </c>
      <c r="H48" s="202">
        <v>0</v>
      </c>
      <c r="I48" s="197">
        <f t="shared" si="21"/>
        <v>0.60453750471573386</v>
      </c>
      <c r="J48" s="180" t="s">
        <v>277</v>
      </c>
      <c r="K48" s="180" t="s">
        <v>284</v>
      </c>
      <c r="L48" s="202">
        <v>0.30109999999999998</v>
      </c>
      <c r="M48" s="202">
        <v>0.20083329999999999</v>
      </c>
      <c r="N48" s="202">
        <v>0.49806669999999997</v>
      </c>
      <c r="O48" s="197">
        <f t="shared" si="22"/>
        <v>0.60468374699759808</v>
      </c>
      <c r="P48" s="180" t="s">
        <v>323</v>
      </c>
      <c r="Q48" s="180" t="s">
        <v>331</v>
      </c>
      <c r="R48" s="197">
        <v>0.30209999999999998</v>
      </c>
      <c r="S48" s="197">
        <v>0.1983</v>
      </c>
      <c r="T48" s="197">
        <v>0.49959999999999999</v>
      </c>
    </row>
    <row r="49" spans="1:20" x14ac:dyDescent="0.2">
      <c r="A49" s="214"/>
      <c r="B49" s="167">
        <v>3</v>
      </c>
      <c r="C49" s="198">
        <f t="shared" ref="C49:C51" si="23">F49/H49</f>
        <v>0</v>
      </c>
      <c r="D49" s="198" t="s">
        <v>235</v>
      </c>
      <c r="E49" s="198" t="s">
        <v>242</v>
      </c>
      <c r="F49" s="202">
        <v>0</v>
      </c>
      <c r="G49" s="202">
        <v>0.57913329999999996</v>
      </c>
      <c r="H49" s="202">
        <v>0.42086669999999998</v>
      </c>
      <c r="I49" s="197">
        <f t="shared" si="21"/>
        <v>0.98483824648552576</v>
      </c>
      <c r="J49" s="180" t="s">
        <v>277</v>
      </c>
      <c r="K49" s="180" t="s">
        <v>285</v>
      </c>
      <c r="L49" s="202">
        <v>0.3464333</v>
      </c>
      <c r="M49" s="202">
        <v>0.30180000000000001</v>
      </c>
      <c r="N49" s="202">
        <v>0.35176669999999999</v>
      </c>
      <c r="O49" s="197">
        <f t="shared" si="22"/>
        <v>1.0106136329711424</v>
      </c>
      <c r="P49" s="180" t="s">
        <v>323</v>
      </c>
      <c r="Q49" s="180" t="s">
        <v>330</v>
      </c>
      <c r="R49" s="197">
        <v>0.34596670000000002</v>
      </c>
      <c r="S49" s="197">
        <v>0.31169999999999998</v>
      </c>
      <c r="T49" s="197">
        <v>0.34233330000000001</v>
      </c>
    </row>
    <row r="50" spans="1:20" x14ac:dyDescent="0.2">
      <c r="A50" s="214"/>
      <c r="B50" s="167">
        <v>4</v>
      </c>
      <c r="C50" s="198">
        <f t="shared" si="23"/>
        <v>0.16050875092431088</v>
      </c>
      <c r="D50" s="198" t="s">
        <v>235</v>
      </c>
      <c r="E50" s="198" t="s">
        <v>243</v>
      </c>
      <c r="F50" s="202">
        <v>7.5300000000000006E-2</v>
      </c>
      <c r="G50" s="202">
        <v>0.45556669999999999</v>
      </c>
      <c r="H50" s="202">
        <v>0.46913329999999998</v>
      </c>
      <c r="I50" s="197">
        <f t="shared" si="21"/>
        <v>0.1021528389161661</v>
      </c>
      <c r="J50" s="180" t="s">
        <v>277</v>
      </c>
      <c r="K50" s="180" t="s">
        <v>286</v>
      </c>
      <c r="L50" s="202">
        <v>7.9399999999999998E-2</v>
      </c>
      <c r="M50" s="202">
        <v>0.1433333</v>
      </c>
      <c r="N50" s="202">
        <v>0.77726669999999998</v>
      </c>
      <c r="O50" s="197">
        <f t="shared" si="22"/>
        <v>0</v>
      </c>
      <c r="P50" s="180" t="s">
        <v>323</v>
      </c>
      <c r="Q50" s="180" t="s">
        <v>332</v>
      </c>
      <c r="R50" s="197">
        <v>0</v>
      </c>
      <c r="S50" s="197">
        <v>0.29399999999999998</v>
      </c>
      <c r="T50" s="197">
        <v>0.70599999999999996</v>
      </c>
    </row>
    <row r="51" spans="1:20" x14ac:dyDescent="0.2">
      <c r="A51" s="214"/>
      <c r="B51" s="167">
        <v>5</v>
      </c>
      <c r="C51" s="198">
        <f t="shared" si="23"/>
        <v>0.79464849362939916</v>
      </c>
      <c r="D51" s="198" t="s">
        <v>235</v>
      </c>
      <c r="E51" s="198" t="s">
        <v>244</v>
      </c>
      <c r="F51" s="182">
        <v>0.38606669999999998</v>
      </c>
      <c r="G51" s="182">
        <v>0.12809999999999999</v>
      </c>
      <c r="H51" s="182">
        <v>0.48583330000000002</v>
      </c>
      <c r="I51" s="187">
        <f t="shared" si="21"/>
        <v>7.161414209872359E-2</v>
      </c>
      <c r="J51" s="182" t="s">
        <v>277</v>
      </c>
      <c r="K51" s="182" t="s">
        <v>287</v>
      </c>
      <c r="L51" s="202">
        <v>6.3399999999999998E-2</v>
      </c>
      <c r="M51" s="202">
        <v>5.1299999999999998E-2</v>
      </c>
      <c r="N51" s="202">
        <v>0.88529999999999998</v>
      </c>
      <c r="O51" s="197">
        <f t="shared" si="22"/>
        <v>0</v>
      </c>
      <c r="P51" s="180" t="s">
        <v>323</v>
      </c>
      <c r="Q51" s="180" t="s">
        <v>333</v>
      </c>
      <c r="R51" s="197">
        <v>0</v>
      </c>
      <c r="S51" s="197">
        <v>0.1454</v>
      </c>
      <c r="T51" s="197">
        <v>0.85460000000000003</v>
      </c>
    </row>
    <row r="52" spans="1:20" ht="17" thickBot="1" x14ac:dyDescent="0.25">
      <c r="A52" s="138"/>
      <c r="B52" s="115"/>
      <c r="C52" s="201"/>
      <c r="D52" s="201"/>
      <c r="E52" s="201"/>
      <c r="F52" s="158"/>
      <c r="G52" s="158"/>
      <c r="H52" s="158"/>
      <c r="I52" s="151"/>
      <c r="J52" s="152"/>
      <c r="K52" s="152"/>
      <c r="L52" s="158"/>
      <c r="M52" s="158"/>
      <c r="N52" s="158"/>
      <c r="O52" s="151"/>
      <c r="P52" s="152"/>
      <c r="Q52" s="152"/>
      <c r="R52" s="151"/>
      <c r="S52" s="151"/>
      <c r="T52" s="151"/>
    </row>
    <row r="53" spans="1:20" x14ac:dyDescent="0.2">
      <c r="A53" s="214" t="s">
        <v>81</v>
      </c>
      <c r="B53" s="167">
        <v>1</v>
      </c>
      <c r="C53" s="198">
        <f t="shared" ref="C53:C56" si="24">F53/H53</f>
        <v>2.3830729432085302</v>
      </c>
      <c r="D53" s="198" t="s">
        <v>245</v>
      </c>
      <c r="E53" s="198" t="s">
        <v>246</v>
      </c>
      <c r="F53" s="202">
        <v>0.66169999999999995</v>
      </c>
      <c r="G53" s="202">
        <v>6.0633329999999999E-2</v>
      </c>
      <c r="H53" s="202">
        <v>0.27766669999999999</v>
      </c>
      <c r="I53" s="197">
        <f>L53/N53</f>
        <v>2.3587116179846799</v>
      </c>
      <c r="J53" s="180" t="s">
        <v>288</v>
      </c>
      <c r="K53" s="180" t="s">
        <v>354</v>
      </c>
      <c r="L53" s="202">
        <v>0.65886670000000003</v>
      </c>
      <c r="M53" s="202">
        <v>6.1800000000000001E-2</v>
      </c>
      <c r="N53" s="202">
        <v>0.27933330000000001</v>
      </c>
      <c r="O53" s="197">
        <f t="shared" ref="O53:O56" si="25">R53/T53</f>
        <v>2.7888991120260971</v>
      </c>
      <c r="P53" s="180" t="s">
        <v>334</v>
      </c>
      <c r="Q53" s="180" t="s">
        <v>335</v>
      </c>
      <c r="R53" s="197">
        <v>0.72353330000000005</v>
      </c>
      <c r="S53" s="197">
        <v>1.7033329999999999E-2</v>
      </c>
      <c r="T53" s="197">
        <v>0.25943329999999998</v>
      </c>
    </row>
    <row r="54" spans="1:20" x14ac:dyDescent="0.2">
      <c r="A54" s="214"/>
      <c r="B54" s="167">
        <v>2</v>
      </c>
      <c r="C54" s="198">
        <f t="shared" si="24"/>
        <v>0</v>
      </c>
      <c r="D54" s="198" t="s">
        <v>245</v>
      </c>
      <c r="E54" s="198" t="s">
        <v>247</v>
      </c>
      <c r="F54" s="182">
        <v>0</v>
      </c>
      <c r="G54" s="182">
        <v>0.1429</v>
      </c>
      <c r="H54" s="182">
        <v>0.85709999999999997</v>
      </c>
      <c r="I54" s="187" t="s">
        <v>24</v>
      </c>
      <c r="J54" s="182" t="s">
        <v>288</v>
      </c>
      <c r="K54" s="182" t="s">
        <v>24</v>
      </c>
      <c r="L54" s="202" t="s">
        <v>24</v>
      </c>
      <c r="M54" s="202" t="s">
        <v>24</v>
      </c>
      <c r="N54" s="202" t="s">
        <v>24</v>
      </c>
      <c r="O54" s="197">
        <f t="shared" si="25"/>
        <v>0</v>
      </c>
      <c r="P54" s="180" t="s">
        <v>334</v>
      </c>
      <c r="Q54" s="180" t="s">
        <v>336</v>
      </c>
      <c r="R54" s="197">
        <v>0</v>
      </c>
      <c r="S54" s="197">
        <v>0.1427667</v>
      </c>
      <c r="T54" s="197">
        <v>0.85723329999999998</v>
      </c>
    </row>
    <row r="55" spans="1:20" x14ac:dyDescent="0.2">
      <c r="A55" s="214"/>
      <c r="B55" s="167">
        <v>3</v>
      </c>
      <c r="C55" s="178" t="s">
        <v>24</v>
      </c>
      <c r="D55" s="198" t="s">
        <v>245</v>
      </c>
      <c r="E55" s="198" t="s">
        <v>248</v>
      </c>
      <c r="F55" s="202" t="s">
        <v>24</v>
      </c>
      <c r="G55" s="202" t="s">
        <v>24</v>
      </c>
      <c r="H55" s="202" t="s">
        <v>24</v>
      </c>
      <c r="I55" s="197" t="s">
        <v>24</v>
      </c>
      <c r="J55" s="180" t="s">
        <v>288</v>
      </c>
      <c r="K55" s="180" t="s">
        <v>24</v>
      </c>
      <c r="L55" s="202" t="s">
        <v>24</v>
      </c>
      <c r="M55" s="202" t="s">
        <v>24</v>
      </c>
      <c r="N55" s="202" t="s">
        <v>24</v>
      </c>
      <c r="O55" s="207" t="s">
        <v>24</v>
      </c>
      <c r="P55" s="180" t="s">
        <v>334</v>
      </c>
      <c r="Q55" s="180" t="s">
        <v>337</v>
      </c>
      <c r="R55" s="197" t="s">
        <v>24</v>
      </c>
      <c r="S55" s="197" t="s">
        <v>24</v>
      </c>
      <c r="T55" s="197" t="s">
        <v>24</v>
      </c>
    </row>
    <row r="56" spans="1:20" x14ac:dyDescent="0.2">
      <c r="A56" s="214"/>
      <c r="B56" s="167">
        <v>4</v>
      </c>
      <c r="C56" s="198">
        <f t="shared" si="24"/>
        <v>5.2347297120418856</v>
      </c>
      <c r="D56" s="198" t="s">
        <v>245</v>
      </c>
      <c r="E56" s="198" t="s">
        <v>249</v>
      </c>
      <c r="F56" s="182">
        <v>0.79986670000000004</v>
      </c>
      <c r="G56" s="182">
        <v>4.733333E-2</v>
      </c>
      <c r="H56" s="182">
        <v>0.15279999999999999</v>
      </c>
      <c r="I56" s="187">
        <f>L56/N56</f>
        <v>5.1981806367771277</v>
      </c>
      <c r="J56" s="182" t="s">
        <v>288</v>
      </c>
      <c r="K56" s="182" t="s">
        <v>355</v>
      </c>
      <c r="L56" s="202">
        <v>0.8</v>
      </c>
      <c r="M56" s="202">
        <v>4.6100000000000002E-2</v>
      </c>
      <c r="N56" s="202">
        <v>0.15390000000000001</v>
      </c>
      <c r="O56" s="197">
        <f t="shared" si="25"/>
        <v>5.248853104931797</v>
      </c>
      <c r="P56" s="180" t="s">
        <v>334</v>
      </c>
      <c r="Q56" s="180" t="s">
        <v>338</v>
      </c>
      <c r="R56" s="197">
        <v>0.80010000000000003</v>
      </c>
      <c r="S56" s="197">
        <v>4.7466670000000002E-2</v>
      </c>
      <c r="T56" s="197">
        <v>0.15243329999999999</v>
      </c>
    </row>
    <row r="57" spans="1:20" x14ac:dyDescent="0.2">
      <c r="A57" s="214"/>
      <c r="B57" s="167">
        <v>5</v>
      </c>
      <c r="C57" s="178" t="s">
        <v>24</v>
      </c>
      <c r="D57" s="198" t="s">
        <v>245</v>
      </c>
      <c r="E57" s="198" t="s">
        <v>219</v>
      </c>
      <c r="F57" s="182" t="s">
        <v>24</v>
      </c>
      <c r="G57" s="182" t="s">
        <v>24</v>
      </c>
      <c r="H57" s="182" t="s">
        <v>24</v>
      </c>
      <c r="I57" s="187" t="s">
        <v>24</v>
      </c>
      <c r="J57" s="182" t="s">
        <v>288</v>
      </c>
      <c r="K57" s="182" t="s">
        <v>24</v>
      </c>
      <c r="L57" s="202" t="s">
        <v>24</v>
      </c>
      <c r="M57" s="202" t="s">
        <v>24</v>
      </c>
      <c r="N57" s="202" t="s">
        <v>24</v>
      </c>
      <c r="O57" s="197" t="s">
        <v>24</v>
      </c>
      <c r="P57" s="180" t="s">
        <v>334</v>
      </c>
      <c r="Q57" s="180" t="s">
        <v>339</v>
      </c>
      <c r="R57" s="197" t="s">
        <v>24</v>
      </c>
      <c r="S57" s="197" t="s">
        <v>24</v>
      </c>
      <c r="T57" s="197" t="s">
        <v>24</v>
      </c>
    </row>
    <row r="58" spans="1:20" x14ac:dyDescent="0.2">
      <c r="A58" s="130"/>
      <c r="B58" s="167"/>
      <c r="C58" s="198"/>
      <c r="D58" s="198"/>
      <c r="E58" s="198"/>
      <c r="F58" s="202"/>
      <c r="G58" s="202"/>
      <c r="H58" s="202"/>
      <c r="I58" s="197"/>
      <c r="J58" s="180"/>
      <c r="K58" s="180"/>
      <c r="L58" s="202"/>
      <c r="M58" s="202"/>
      <c r="N58" s="202"/>
      <c r="O58" s="197"/>
      <c r="P58" s="180"/>
      <c r="Q58" s="180"/>
      <c r="R58" s="197"/>
      <c r="S58" s="197"/>
      <c r="T58" s="197"/>
    </row>
    <row r="59" spans="1:20" x14ac:dyDescent="0.2">
      <c r="A59" s="214" t="s">
        <v>82</v>
      </c>
      <c r="B59" s="167">
        <v>1</v>
      </c>
      <c r="C59" s="198">
        <f t="shared" ref="C59:C62" si="26">F59/H59</f>
        <v>0.15944459043891529</v>
      </c>
      <c r="D59" s="198" t="s">
        <v>245</v>
      </c>
      <c r="E59" s="198" t="s">
        <v>250</v>
      </c>
      <c r="F59" s="202">
        <v>5.703333E-2</v>
      </c>
      <c r="G59" s="202">
        <v>0.58526670000000003</v>
      </c>
      <c r="H59" s="202">
        <v>0.35770000000000002</v>
      </c>
      <c r="I59" s="197" t="s">
        <v>24</v>
      </c>
      <c r="J59" s="180" t="s">
        <v>288</v>
      </c>
      <c r="K59" s="180" t="s">
        <v>24</v>
      </c>
      <c r="L59" s="202" t="s">
        <v>24</v>
      </c>
      <c r="M59" s="202" t="s">
        <v>24</v>
      </c>
      <c r="N59" s="202" t="s">
        <v>24</v>
      </c>
      <c r="O59" s="197">
        <f t="shared" ref="O59:O62" si="27">R59/T59</f>
        <v>0.15204035763411278</v>
      </c>
      <c r="P59" s="180" t="s">
        <v>334</v>
      </c>
      <c r="Q59" s="180" t="s">
        <v>340</v>
      </c>
      <c r="R59" s="197">
        <v>5.5266669999999997E-2</v>
      </c>
      <c r="S59" s="197">
        <v>0.58123329999999995</v>
      </c>
      <c r="T59" s="197">
        <v>0.36349999999999999</v>
      </c>
    </row>
    <row r="60" spans="1:20" x14ac:dyDescent="0.2">
      <c r="A60" s="214"/>
      <c r="B60" s="167">
        <v>2</v>
      </c>
      <c r="C60" s="178">
        <f t="shared" si="26"/>
        <v>0</v>
      </c>
      <c r="D60" s="178" t="s">
        <v>245</v>
      </c>
      <c r="E60" s="178" t="s">
        <v>251</v>
      </c>
      <c r="F60" s="182">
        <v>0</v>
      </c>
      <c r="G60" s="182">
        <v>8.633333E-3</v>
      </c>
      <c r="H60" s="185">
        <v>0.99136670000000005</v>
      </c>
      <c r="I60" s="187" t="s">
        <v>24</v>
      </c>
      <c r="J60" s="182" t="s">
        <v>288</v>
      </c>
      <c r="K60" s="182" t="s">
        <v>24</v>
      </c>
      <c r="L60" s="202" t="s">
        <v>24</v>
      </c>
      <c r="M60" s="202" t="s">
        <v>24</v>
      </c>
      <c r="N60" s="202" t="s">
        <v>24</v>
      </c>
      <c r="O60" s="197">
        <f t="shared" si="27"/>
        <v>0</v>
      </c>
      <c r="P60" s="180" t="s">
        <v>334</v>
      </c>
      <c r="Q60" s="180" t="s">
        <v>341</v>
      </c>
      <c r="R60" s="197">
        <v>0</v>
      </c>
      <c r="S60" s="197">
        <v>0.1449</v>
      </c>
      <c r="T60" s="197">
        <v>0.85509999999999997</v>
      </c>
    </row>
    <row r="61" spans="1:20" x14ac:dyDescent="0.2">
      <c r="A61" s="214"/>
      <c r="B61" s="167">
        <v>3</v>
      </c>
      <c r="C61" s="198" t="s">
        <v>24</v>
      </c>
      <c r="D61" s="198" t="s">
        <v>245</v>
      </c>
      <c r="E61" s="198" t="s">
        <v>252</v>
      </c>
      <c r="F61" s="202" t="s">
        <v>24</v>
      </c>
      <c r="G61" s="202" t="s">
        <v>24</v>
      </c>
      <c r="H61" s="202" t="s">
        <v>24</v>
      </c>
      <c r="I61" s="197" t="s">
        <v>24</v>
      </c>
      <c r="J61" s="180" t="s">
        <v>288</v>
      </c>
      <c r="K61" s="180" t="s">
        <v>24</v>
      </c>
      <c r="L61" s="202" t="s">
        <v>24</v>
      </c>
      <c r="M61" s="202" t="s">
        <v>24</v>
      </c>
      <c r="N61" s="202" t="s">
        <v>24</v>
      </c>
      <c r="O61" s="197" t="s">
        <v>24</v>
      </c>
      <c r="P61" s="180" t="s">
        <v>334</v>
      </c>
      <c r="Q61" s="180" t="s">
        <v>342</v>
      </c>
      <c r="R61" s="197" t="s">
        <v>24</v>
      </c>
      <c r="S61" s="197" t="s">
        <v>24</v>
      </c>
      <c r="T61" s="197" t="s">
        <v>24</v>
      </c>
    </row>
    <row r="62" spans="1:20" x14ac:dyDescent="0.2">
      <c r="A62" s="214"/>
      <c r="B62" s="167">
        <v>4</v>
      </c>
      <c r="C62" s="198">
        <f t="shared" si="26"/>
        <v>8.0669741935483863</v>
      </c>
      <c r="D62" s="198" t="s">
        <v>245</v>
      </c>
      <c r="E62" s="198" t="s">
        <v>253</v>
      </c>
      <c r="F62" s="202">
        <v>0.87526669999999995</v>
      </c>
      <c r="G62" s="202">
        <v>1.6233330000000001E-2</v>
      </c>
      <c r="H62" s="202">
        <v>0.1085</v>
      </c>
      <c r="I62" s="197">
        <f t="shared" ref="I62" si="28">L62/N62</f>
        <v>5.2807914996249172</v>
      </c>
      <c r="J62" s="180" t="s">
        <v>288</v>
      </c>
      <c r="K62" s="180" t="s">
        <v>356</v>
      </c>
      <c r="L62" s="202">
        <v>0.80179999999999996</v>
      </c>
      <c r="M62" s="202">
        <v>4.6366669999999999E-2</v>
      </c>
      <c r="N62" s="202">
        <v>0.1518333</v>
      </c>
      <c r="O62" s="197">
        <f t="shared" si="27"/>
        <v>5.1981806367771277</v>
      </c>
      <c r="P62" s="180" t="s">
        <v>334</v>
      </c>
      <c r="Q62" s="180" t="s">
        <v>343</v>
      </c>
      <c r="R62" s="197">
        <v>0.8</v>
      </c>
      <c r="S62" s="197">
        <v>4.6100000000000002E-2</v>
      </c>
      <c r="T62" s="197">
        <v>0.15390000000000001</v>
      </c>
    </row>
    <row r="63" spans="1:20" ht="17" thickBot="1" x14ac:dyDescent="0.25">
      <c r="A63" s="213"/>
      <c r="B63" s="115">
        <v>5</v>
      </c>
      <c r="C63" s="201" t="s">
        <v>24</v>
      </c>
      <c r="D63" s="201" t="s">
        <v>245</v>
      </c>
      <c r="E63" s="201" t="s">
        <v>219</v>
      </c>
      <c r="F63" s="150" t="s">
        <v>24</v>
      </c>
      <c r="G63" s="150" t="s">
        <v>24</v>
      </c>
      <c r="H63" s="150" t="s">
        <v>24</v>
      </c>
      <c r="I63" s="148" t="s">
        <v>24</v>
      </c>
      <c r="J63" s="150" t="s">
        <v>288</v>
      </c>
      <c r="K63" s="150" t="s">
        <v>24</v>
      </c>
      <c r="L63" s="150" t="s">
        <v>24</v>
      </c>
      <c r="M63" s="150" t="s">
        <v>24</v>
      </c>
      <c r="N63" s="150" t="s">
        <v>24</v>
      </c>
      <c r="O63" s="148" t="s">
        <v>24</v>
      </c>
      <c r="P63" s="150" t="s">
        <v>334</v>
      </c>
      <c r="Q63" s="150" t="s">
        <v>339</v>
      </c>
      <c r="R63" s="151" t="s">
        <v>24</v>
      </c>
      <c r="S63" s="151" t="s">
        <v>24</v>
      </c>
      <c r="T63" s="151" t="s">
        <v>24</v>
      </c>
    </row>
    <row r="64" spans="1:20" x14ac:dyDescent="0.2">
      <c r="R64" s="11"/>
    </row>
  </sheetData>
  <mergeCells count="15">
    <mergeCell ref="A53:A57"/>
    <mergeCell ref="A59:A63"/>
    <mergeCell ref="A17:A21"/>
    <mergeCell ref="A23:A27"/>
    <mergeCell ref="A29:A33"/>
    <mergeCell ref="A35:A39"/>
    <mergeCell ref="A41:A45"/>
    <mergeCell ref="A47:A51"/>
    <mergeCell ref="A11:A15"/>
    <mergeCell ref="C2:T2"/>
    <mergeCell ref="A1:T1"/>
    <mergeCell ref="C3:H3"/>
    <mergeCell ref="I3:N3"/>
    <mergeCell ref="O3:T3"/>
    <mergeCell ref="A5:A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EF42-2143-B74F-9CD3-D64AEF621F9F}">
  <dimension ref="A1:T63"/>
  <sheetViews>
    <sheetView showGridLines="0" workbookViewId="0">
      <selection activeCell="A2" sqref="A2:T63"/>
    </sheetView>
  </sheetViews>
  <sheetFormatPr baseColWidth="10" defaultRowHeight="16" x14ac:dyDescent="0.2"/>
  <cols>
    <col min="1" max="1" width="27.6640625" customWidth="1"/>
    <col min="4" max="4" width="22" customWidth="1"/>
    <col min="5" max="5" width="22.5" customWidth="1"/>
    <col min="10" max="10" width="22.5" customWidth="1"/>
    <col min="11" max="11" width="22.1640625" customWidth="1"/>
    <col min="16" max="16" width="22.6640625" customWidth="1"/>
    <col min="17" max="17" width="21.6640625" customWidth="1"/>
  </cols>
  <sheetData>
    <row r="1" spans="1:20" ht="17" thickBot="1" x14ac:dyDescent="0.25">
      <c r="A1" s="211" t="s">
        <v>359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</row>
    <row r="2" spans="1:20" x14ac:dyDescent="0.2">
      <c r="A2" s="167"/>
      <c r="B2" s="167"/>
      <c r="C2" s="221" t="s">
        <v>505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7" thickBot="1" x14ac:dyDescent="0.25">
      <c r="A3" s="130"/>
      <c r="B3" s="130"/>
      <c r="C3" s="222" t="s">
        <v>83</v>
      </c>
      <c r="D3" s="222"/>
      <c r="E3" s="222"/>
      <c r="F3" s="222"/>
      <c r="G3" s="222"/>
      <c r="H3" s="222"/>
      <c r="I3" s="222" t="s">
        <v>84</v>
      </c>
      <c r="J3" s="222"/>
      <c r="K3" s="222"/>
      <c r="L3" s="222"/>
      <c r="M3" s="222"/>
      <c r="N3" s="222"/>
      <c r="O3" s="222" t="s">
        <v>85</v>
      </c>
      <c r="P3" s="222"/>
      <c r="Q3" s="222"/>
      <c r="R3" s="222"/>
      <c r="S3" s="222"/>
      <c r="T3" s="222"/>
    </row>
    <row r="4" spans="1:20" ht="35" thickBot="1" x14ac:dyDescent="0.25">
      <c r="A4" s="115" t="s">
        <v>123</v>
      </c>
      <c r="B4" s="115" t="s">
        <v>44</v>
      </c>
      <c r="C4" s="115" t="s">
        <v>177</v>
      </c>
      <c r="D4" s="174" t="s">
        <v>193</v>
      </c>
      <c r="E4" s="174" t="s">
        <v>194</v>
      </c>
      <c r="F4" s="115" t="s">
        <v>55</v>
      </c>
      <c r="G4" s="115" t="s">
        <v>72</v>
      </c>
      <c r="H4" s="115" t="s">
        <v>57</v>
      </c>
      <c r="I4" s="115" t="s">
        <v>177</v>
      </c>
      <c r="J4" s="174" t="s">
        <v>193</v>
      </c>
      <c r="K4" s="174" t="s">
        <v>194</v>
      </c>
      <c r="L4" s="115" t="s">
        <v>55</v>
      </c>
      <c r="M4" s="115" t="s">
        <v>72</v>
      </c>
      <c r="N4" s="115" t="s">
        <v>57</v>
      </c>
      <c r="O4" s="115" t="s">
        <v>177</v>
      </c>
      <c r="P4" s="174" t="s">
        <v>193</v>
      </c>
      <c r="Q4" s="174" t="s">
        <v>194</v>
      </c>
      <c r="R4" s="115" t="s">
        <v>55</v>
      </c>
      <c r="S4" s="115" t="s">
        <v>72</v>
      </c>
      <c r="T4" s="115" t="s">
        <v>57</v>
      </c>
    </row>
    <row r="5" spans="1:20" x14ac:dyDescent="0.2">
      <c r="A5" s="214" t="s">
        <v>73</v>
      </c>
      <c r="B5" s="167">
        <v>1</v>
      </c>
      <c r="C5" s="172" t="s">
        <v>180</v>
      </c>
      <c r="D5" s="173" t="s">
        <v>360</v>
      </c>
      <c r="E5" s="173" t="s">
        <v>361</v>
      </c>
      <c r="F5" s="180"/>
      <c r="G5" s="180"/>
      <c r="H5" s="180" t="s">
        <v>86</v>
      </c>
      <c r="I5" s="181" t="s">
        <v>180</v>
      </c>
      <c r="J5" s="190" t="s">
        <v>411</v>
      </c>
      <c r="K5" s="190" t="s">
        <v>412</v>
      </c>
      <c r="L5" s="180"/>
      <c r="M5" s="180"/>
      <c r="N5" s="180" t="s">
        <v>86</v>
      </c>
      <c r="O5" s="181" t="s">
        <v>180</v>
      </c>
      <c r="P5" s="176" t="s">
        <v>449</v>
      </c>
      <c r="Q5" s="176" t="s">
        <v>450</v>
      </c>
      <c r="R5" s="180"/>
      <c r="S5" s="180"/>
      <c r="T5" s="180" t="s">
        <v>86</v>
      </c>
    </row>
    <row r="6" spans="1:20" x14ac:dyDescent="0.2">
      <c r="A6" s="214"/>
      <c r="B6" s="167">
        <v>2</v>
      </c>
      <c r="C6" s="172" t="s">
        <v>180</v>
      </c>
      <c r="D6" s="173" t="s">
        <v>360</v>
      </c>
      <c r="E6" s="173" t="s">
        <v>362</v>
      </c>
      <c r="F6" s="180"/>
      <c r="G6" s="180"/>
      <c r="H6" s="180" t="s">
        <v>86</v>
      </c>
      <c r="I6" s="181" t="s">
        <v>180</v>
      </c>
      <c r="J6" s="190" t="s">
        <v>411</v>
      </c>
      <c r="K6" s="190" t="s">
        <v>413</v>
      </c>
      <c r="L6" s="180"/>
      <c r="M6" s="180"/>
      <c r="N6" s="180" t="s">
        <v>86</v>
      </c>
      <c r="O6" s="181" t="s">
        <v>180</v>
      </c>
      <c r="P6" s="176" t="s">
        <v>449</v>
      </c>
      <c r="Q6" s="176" t="s">
        <v>451</v>
      </c>
      <c r="R6" s="180"/>
      <c r="S6" s="180"/>
      <c r="T6" s="180" t="s">
        <v>86</v>
      </c>
    </row>
    <row r="7" spans="1:20" x14ac:dyDescent="0.2">
      <c r="A7" s="214"/>
      <c r="B7" s="167">
        <v>3</v>
      </c>
      <c r="C7" s="172" t="s">
        <v>180</v>
      </c>
      <c r="D7" s="173" t="s">
        <v>360</v>
      </c>
      <c r="E7" s="173" t="s">
        <v>363</v>
      </c>
      <c r="F7" s="180"/>
      <c r="G7" s="180"/>
      <c r="H7" s="180" t="s">
        <v>86</v>
      </c>
      <c r="I7" s="181" t="s">
        <v>180</v>
      </c>
      <c r="J7" s="190" t="s">
        <v>411</v>
      </c>
      <c r="K7" s="190" t="s">
        <v>414</v>
      </c>
      <c r="L7" s="180"/>
      <c r="M7" s="180"/>
      <c r="N7" s="180" t="s">
        <v>86</v>
      </c>
      <c r="O7" s="181" t="s">
        <v>180</v>
      </c>
      <c r="P7" s="176" t="s">
        <v>449</v>
      </c>
      <c r="Q7" s="176" t="s">
        <v>452</v>
      </c>
      <c r="R7" s="180"/>
      <c r="S7" s="180"/>
      <c r="T7" s="180" t="s">
        <v>86</v>
      </c>
    </row>
    <row r="8" spans="1:20" x14ac:dyDescent="0.2">
      <c r="A8" s="214"/>
      <c r="B8" s="167">
        <v>4</v>
      </c>
      <c r="C8" s="172" t="s">
        <v>180</v>
      </c>
      <c r="D8" s="173" t="s">
        <v>360</v>
      </c>
      <c r="E8" s="173" t="s">
        <v>364</v>
      </c>
      <c r="F8" s="180"/>
      <c r="G8" s="180"/>
      <c r="H8" s="180" t="s">
        <v>86</v>
      </c>
      <c r="I8" s="181" t="s">
        <v>180</v>
      </c>
      <c r="J8" s="190" t="s">
        <v>411</v>
      </c>
      <c r="K8" s="190" t="s">
        <v>415</v>
      </c>
      <c r="L8" s="180"/>
      <c r="M8" s="180"/>
      <c r="N8" s="180" t="s">
        <v>86</v>
      </c>
      <c r="O8" s="181" t="s">
        <v>180</v>
      </c>
      <c r="P8" s="176" t="s">
        <v>449</v>
      </c>
      <c r="Q8" s="176" t="s">
        <v>453</v>
      </c>
      <c r="R8" s="180"/>
      <c r="S8" s="180"/>
      <c r="T8" s="180" t="s">
        <v>86</v>
      </c>
    </row>
    <row r="9" spans="1:20" x14ac:dyDescent="0.2">
      <c r="A9" s="214"/>
      <c r="B9" s="167">
        <v>5</v>
      </c>
      <c r="C9" s="172"/>
      <c r="D9" s="173" t="s">
        <v>360</v>
      </c>
      <c r="E9" s="173" t="s">
        <v>365</v>
      </c>
      <c r="F9" s="182"/>
      <c r="G9" s="182"/>
      <c r="H9" s="182"/>
      <c r="I9" s="171" t="s">
        <v>180</v>
      </c>
      <c r="J9" s="170" t="s">
        <v>411</v>
      </c>
      <c r="K9" s="170" t="s">
        <v>416</v>
      </c>
      <c r="L9" s="180"/>
      <c r="M9" s="180"/>
      <c r="N9" s="180" t="s">
        <v>86</v>
      </c>
      <c r="O9" s="181"/>
      <c r="P9" s="176" t="s">
        <v>449</v>
      </c>
      <c r="Q9" s="176" t="s">
        <v>454</v>
      </c>
      <c r="R9" s="180"/>
      <c r="S9" s="180"/>
      <c r="T9" s="180"/>
    </row>
    <row r="10" spans="1:20" x14ac:dyDescent="0.2">
      <c r="A10" s="130"/>
      <c r="B10" s="167"/>
      <c r="C10" s="172"/>
      <c r="D10" s="173"/>
      <c r="E10" s="173"/>
      <c r="F10" s="180"/>
      <c r="G10" s="180"/>
      <c r="H10" s="180"/>
      <c r="I10" s="180"/>
      <c r="J10" s="170"/>
      <c r="K10" s="170"/>
      <c r="L10" s="180"/>
      <c r="M10" s="180"/>
      <c r="N10" s="180"/>
      <c r="O10" s="181"/>
      <c r="P10" s="170"/>
      <c r="Q10" s="170"/>
      <c r="R10" s="180"/>
      <c r="S10" s="180"/>
      <c r="T10" s="180"/>
    </row>
    <row r="11" spans="1:20" x14ac:dyDescent="0.2">
      <c r="A11" s="214" t="s">
        <v>74</v>
      </c>
      <c r="B11" s="167">
        <v>1</v>
      </c>
      <c r="C11" s="172" t="s">
        <v>182</v>
      </c>
      <c r="D11" s="173" t="s">
        <v>360</v>
      </c>
      <c r="E11" s="173" t="s">
        <v>366</v>
      </c>
      <c r="F11" s="180"/>
      <c r="G11" s="180"/>
      <c r="H11" s="180"/>
      <c r="I11" s="183" t="s">
        <v>181</v>
      </c>
      <c r="J11" s="191" t="s">
        <v>411</v>
      </c>
      <c r="K11" s="191" t="s">
        <v>417</v>
      </c>
      <c r="L11" s="180"/>
      <c r="M11" s="180"/>
      <c r="N11" s="180"/>
      <c r="O11" s="181" t="s">
        <v>182</v>
      </c>
      <c r="P11" s="176" t="s">
        <v>449</v>
      </c>
      <c r="Q11" s="176" t="s">
        <v>455</v>
      </c>
      <c r="R11" s="180"/>
      <c r="S11" s="180"/>
      <c r="T11" s="180"/>
    </row>
    <row r="12" spans="1:20" x14ac:dyDescent="0.2">
      <c r="A12" s="214"/>
      <c r="B12" s="167">
        <v>2</v>
      </c>
      <c r="C12" s="172" t="s">
        <v>180</v>
      </c>
      <c r="D12" s="173" t="s">
        <v>360</v>
      </c>
      <c r="E12" s="173" t="s">
        <v>367</v>
      </c>
      <c r="F12" s="180"/>
      <c r="G12" s="180"/>
      <c r="H12" s="180"/>
      <c r="I12" s="181" t="s">
        <v>180</v>
      </c>
      <c r="J12" s="190" t="s">
        <v>411</v>
      </c>
      <c r="K12" s="190" t="s">
        <v>418</v>
      </c>
      <c r="L12" s="180"/>
      <c r="M12" s="183"/>
      <c r="N12" s="180"/>
      <c r="O12" s="181" t="s">
        <v>180</v>
      </c>
      <c r="P12" s="176" t="s">
        <v>449</v>
      </c>
      <c r="Q12" s="176" t="s">
        <v>456</v>
      </c>
      <c r="R12" s="180"/>
      <c r="S12" s="180"/>
      <c r="T12" s="180"/>
    </row>
    <row r="13" spans="1:20" x14ac:dyDescent="0.2">
      <c r="A13" s="214"/>
      <c r="B13" s="167">
        <v>3</v>
      </c>
      <c r="C13" s="172" t="s">
        <v>180</v>
      </c>
      <c r="D13" s="173" t="s">
        <v>360</v>
      </c>
      <c r="E13" s="173" t="s">
        <v>368</v>
      </c>
      <c r="F13" s="180"/>
      <c r="G13" s="180"/>
      <c r="H13" s="180"/>
      <c r="I13" s="181" t="s">
        <v>180</v>
      </c>
      <c r="J13" s="190" t="s">
        <v>411</v>
      </c>
      <c r="K13" s="190" t="s">
        <v>419</v>
      </c>
      <c r="L13" s="180"/>
      <c r="M13" s="180"/>
      <c r="N13" s="180"/>
      <c r="O13" s="181" t="s">
        <v>180</v>
      </c>
      <c r="P13" s="176" t="s">
        <v>449</v>
      </c>
      <c r="Q13" s="176" t="s">
        <v>457</v>
      </c>
      <c r="R13" s="180"/>
      <c r="S13" s="180"/>
      <c r="T13" s="180"/>
    </row>
    <row r="14" spans="1:20" x14ac:dyDescent="0.2">
      <c r="A14" s="214"/>
      <c r="B14" s="167">
        <v>4</v>
      </c>
      <c r="C14" s="172" t="s">
        <v>180</v>
      </c>
      <c r="D14" s="173" t="s">
        <v>360</v>
      </c>
      <c r="E14" s="173" t="s">
        <v>369</v>
      </c>
      <c r="F14" s="182"/>
      <c r="G14" s="182"/>
      <c r="H14" s="182"/>
      <c r="I14" s="171" t="s">
        <v>180</v>
      </c>
      <c r="J14" s="190" t="s">
        <v>411</v>
      </c>
      <c r="K14" s="190" t="s">
        <v>420</v>
      </c>
      <c r="L14" s="180"/>
      <c r="M14" s="180"/>
      <c r="N14" s="180"/>
      <c r="O14" s="181" t="s">
        <v>180</v>
      </c>
      <c r="P14" s="176" t="s">
        <v>449</v>
      </c>
      <c r="Q14" s="176" t="s">
        <v>458</v>
      </c>
      <c r="R14" s="180"/>
      <c r="S14" s="180"/>
      <c r="T14" s="180"/>
    </row>
    <row r="15" spans="1:20" x14ac:dyDescent="0.2">
      <c r="A15" s="214"/>
      <c r="B15" s="167">
        <v>5</v>
      </c>
      <c r="C15" s="172" t="s">
        <v>180</v>
      </c>
      <c r="D15" s="173" t="s">
        <v>360</v>
      </c>
      <c r="E15" s="173" t="s">
        <v>370</v>
      </c>
      <c r="F15" s="182"/>
      <c r="G15" s="182"/>
      <c r="H15" s="182" t="s">
        <v>86</v>
      </c>
      <c r="I15" s="171" t="s">
        <v>180</v>
      </c>
      <c r="J15" s="190" t="s">
        <v>411</v>
      </c>
      <c r="K15" s="190" t="s">
        <v>421</v>
      </c>
      <c r="L15" s="180"/>
      <c r="M15" s="180"/>
      <c r="N15" s="180"/>
      <c r="O15" s="181" t="s">
        <v>180</v>
      </c>
      <c r="P15" s="176" t="s">
        <v>449</v>
      </c>
      <c r="Q15" s="176" t="s">
        <v>459</v>
      </c>
      <c r="R15" s="180"/>
      <c r="S15" s="180"/>
      <c r="T15" s="180"/>
    </row>
    <row r="16" spans="1:20" ht="17" thickBot="1" x14ac:dyDescent="0.25">
      <c r="A16" s="138"/>
      <c r="B16" s="115"/>
      <c r="C16" s="114"/>
      <c r="D16" s="175"/>
      <c r="E16" s="175"/>
      <c r="F16" s="152"/>
      <c r="G16" s="152"/>
      <c r="H16" s="152"/>
      <c r="I16" s="152"/>
      <c r="J16" s="164"/>
      <c r="K16" s="164"/>
      <c r="L16" s="152"/>
      <c r="M16" s="152"/>
      <c r="N16" s="152"/>
      <c r="O16" s="152"/>
      <c r="P16" s="164"/>
      <c r="Q16" s="164"/>
      <c r="R16" s="152"/>
      <c r="S16" s="152"/>
      <c r="T16" s="152"/>
    </row>
    <row r="17" spans="1:20" x14ac:dyDescent="0.2">
      <c r="A17" s="214" t="s">
        <v>75</v>
      </c>
      <c r="B17" s="167">
        <v>1</v>
      </c>
      <c r="C17" s="172" t="s">
        <v>180</v>
      </c>
      <c r="D17" s="173" t="s">
        <v>371</v>
      </c>
      <c r="E17" s="173" t="s">
        <v>372</v>
      </c>
      <c r="F17" s="180"/>
      <c r="G17" s="180"/>
      <c r="H17" s="180" t="s">
        <v>86</v>
      </c>
      <c r="I17" s="181" t="s">
        <v>180</v>
      </c>
      <c r="J17" s="190" t="s">
        <v>422</v>
      </c>
      <c r="K17" s="190" t="s">
        <v>423</v>
      </c>
      <c r="L17" s="180"/>
      <c r="M17" s="180"/>
      <c r="N17" s="180" t="s">
        <v>86</v>
      </c>
      <c r="O17" s="181" t="s">
        <v>180</v>
      </c>
      <c r="P17" s="176" t="s">
        <v>460</v>
      </c>
      <c r="Q17" s="176" t="s">
        <v>461</v>
      </c>
      <c r="R17" s="180"/>
      <c r="S17" s="180"/>
      <c r="T17" s="180" t="s">
        <v>86</v>
      </c>
    </row>
    <row r="18" spans="1:20" x14ac:dyDescent="0.2">
      <c r="A18" s="214"/>
      <c r="B18" s="167">
        <v>2</v>
      </c>
      <c r="C18" s="172" t="s">
        <v>180</v>
      </c>
      <c r="D18" s="173" t="s">
        <v>371</v>
      </c>
      <c r="E18" s="173" t="s">
        <v>373</v>
      </c>
      <c r="F18" s="180"/>
      <c r="G18" s="180"/>
      <c r="H18" s="180" t="s">
        <v>86</v>
      </c>
      <c r="I18" s="181" t="s">
        <v>180</v>
      </c>
      <c r="J18" s="190" t="s">
        <v>422</v>
      </c>
      <c r="K18" s="190" t="s">
        <v>424</v>
      </c>
      <c r="L18" s="180"/>
      <c r="M18" s="180"/>
      <c r="N18" s="180" t="s">
        <v>86</v>
      </c>
      <c r="O18" s="181" t="s">
        <v>180</v>
      </c>
      <c r="P18" s="176" t="s">
        <v>460</v>
      </c>
      <c r="Q18" s="176" t="s">
        <v>462</v>
      </c>
      <c r="R18" s="180"/>
      <c r="S18" s="180"/>
      <c r="T18" s="180" t="s">
        <v>86</v>
      </c>
    </row>
    <row r="19" spans="1:20" x14ac:dyDescent="0.2">
      <c r="A19" s="214"/>
      <c r="B19" s="167">
        <v>3</v>
      </c>
      <c r="C19" s="172" t="s">
        <v>180</v>
      </c>
      <c r="D19" s="173" t="s">
        <v>371</v>
      </c>
      <c r="E19" s="173" t="s">
        <v>374</v>
      </c>
      <c r="F19" s="180"/>
      <c r="G19" s="180"/>
      <c r="H19" s="180" t="s">
        <v>86</v>
      </c>
      <c r="I19" s="181" t="s">
        <v>180</v>
      </c>
      <c r="J19" s="190" t="s">
        <v>422</v>
      </c>
      <c r="K19" s="190" t="s">
        <v>425</v>
      </c>
      <c r="L19" s="180"/>
      <c r="M19" s="180"/>
      <c r="N19" s="180" t="s">
        <v>86</v>
      </c>
      <c r="O19" s="181" t="s">
        <v>180</v>
      </c>
      <c r="P19" s="176" t="s">
        <v>460</v>
      </c>
      <c r="Q19" s="176" t="s">
        <v>463</v>
      </c>
      <c r="R19" s="180"/>
      <c r="S19" s="180"/>
      <c r="T19" s="180" t="s">
        <v>86</v>
      </c>
    </row>
    <row r="20" spans="1:20" x14ac:dyDescent="0.2">
      <c r="A20" s="214"/>
      <c r="B20" s="167">
        <v>4</v>
      </c>
      <c r="C20" s="172" t="s">
        <v>180</v>
      </c>
      <c r="D20" s="173" t="s">
        <v>371</v>
      </c>
      <c r="E20" s="173" t="s">
        <v>375</v>
      </c>
      <c r="F20" s="182"/>
      <c r="G20" s="182"/>
      <c r="H20" s="182" t="s">
        <v>86</v>
      </c>
      <c r="I20" s="171" t="s">
        <v>180</v>
      </c>
      <c r="J20" s="190" t="s">
        <v>422</v>
      </c>
      <c r="K20" s="190" t="s">
        <v>426</v>
      </c>
      <c r="L20" s="180"/>
      <c r="M20" s="180"/>
      <c r="N20" s="180" t="s">
        <v>86</v>
      </c>
      <c r="O20" s="181" t="s">
        <v>180</v>
      </c>
      <c r="P20" s="176" t="s">
        <v>460</v>
      </c>
      <c r="Q20" s="176" t="s">
        <v>464</v>
      </c>
      <c r="R20" s="180"/>
      <c r="S20" s="180"/>
      <c r="T20" s="180" t="s">
        <v>86</v>
      </c>
    </row>
    <row r="21" spans="1:20" x14ac:dyDescent="0.2">
      <c r="A21" s="214"/>
      <c r="B21" s="167">
        <v>5</v>
      </c>
      <c r="C21" s="172"/>
      <c r="D21" s="173" t="s">
        <v>371</v>
      </c>
      <c r="E21" s="173" t="s">
        <v>365</v>
      </c>
      <c r="F21" s="182"/>
      <c r="G21" s="182"/>
      <c r="H21" s="182"/>
      <c r="I21" s="171" t="s">
        <v>180</v>
      </c>
      <c r="J21" s="170" t="s">
        <v>422</v>
      </c>
      <c r="K21" s="170" t="s">
        <v>427</v>
      </c>
      <c r="L21" s="183"/>
      <c r="M21" s="180"/>
      <c r="N21" s="180" t="s">
        <v>86</v>
      </c>
      <c r="O21" s="180"/>
      <c r="P21" s="176" t="s">
        <v>460</v>
      </c>
      <c r="Q21" s="176" t="s">
        <v>465</v>
      </c>
      <c r="R21" s="180"/>
      <c r="S21" s="180"/>
      <c r="T21" s="180"/>
    </row>
    <row r="22" spans="1:20" x14ac:dyDescent="0.2">
      <c r="A22" s="130"/>
      <c r="B22" s="167"/>
      <c r="C22" s="172"/>
      <c r="D22" s="173"/>
      <c r="E22" s="173"/>
      <c r="F22" s="180"/>
      <c r="G22" s="180"/>
      <c r="H22" s="180"/>
      <c r="I22" s="180"/>
      <c r="J22" s="170"/>
      <c r="K22" s="170"/>
      <c r="L22" s="180"/>
      <c r="M22" s="180"/>
      <c r="N22" s="180"/>
      <c r="O22" s="181" t="s">
        <v>180</v>
      </c>
      <c r="P22" s="170"/>
      <c r="Q22" s="170"/>
      <c r="R22" s="180"/>
      <c r="S22" s="180"/>
      <c r="T22" s="180"/>
    </row>
    <row r="23" spans="1:20" x14ac:dyDescent="0.2">
      <c r="A23" s="214" t="s">
        <v>76</v>
      </c>
      <c r="B23" s="167">
        <v>1</v>
      </c>
      <c r="C23" s="172" t="s">
        <v>180</v>
      </c>
      <c r="D23" s="173" t="s">
        <v>371</v>
      </c>
      <c r="E23" s="173" t="s">
        <v>376</v>
      </c>
      <c r="F23" s="180"/>
      <c r="G23" s="180"/>
      <c r="H23" s="180"/>
      <c r="I23" s="181" t="s">
        <v>180</v>
      </c>
      <c r="J23" s="190" t="s">
        <v>422</v>
      </c>
      <c r="K23" s="190" t="s">
        <v>428</v>
      </c>
      <c r="L23" s="180"/>
      <c r="M23" s="180"/>
      <c r="N23" s="180"/>
      <c r="O23" s="181" t="s">
        <v>180</v>
      </c>
      <c r="P23" s="176" t="s">
        <v>460</v>
      </c>
      <c r="Q23" s="176" t="s">
        <v>466</v>
      </c>
      <c r="R23" s="180"/>
      <c r="S23" s="180"/>
      <c r="T23" s="180"/>
    </row>
    <row r="24" spans="1:20" x14ac:dyDescent="0.2">
      <c r="A24" s="214"/>
      <c r="B24" s="167">
        <v>2</v>
      </c>
      <c r="C24" s="172" t="s">
        <v>180</v>
      </c>
      <c r="D24" s="173" t="s">
        <v>371</v>
      </c>
      <c r="E24" s="173" t="s">
        <v>377</v>
      </c>
      <c r="F24" s="180"/>
      <c r="G24" s="180"/>
      <c r="H24" s="180"/>
      <c r="I24" s="181" t="s">
        <v>180</v>
      </c>
      <c r="J24" s="190" t="s">
        <v>422</v>
      </c>
      <c r="K24" s="190" t="s">
        <v>429</v>
      </c>
      <c r="L24" s="180"/>
      <c r="M24" s="180"/>
      <c r="N24" s="180"/>
      <c r="O24" s="181" t="s">
        <v>180</v>
      </c>
      <c r="P24" s="176" t="s">
        <v>460</v>
      </c>
      <c r="Q24" s="176" t="s">
        <v>467</v>
      </c>
      <c r="R24" s="180"/>
      <c r="S24" s="180"/>
      <c r="T24" s="180"/>
    </row>
    <row r="25" spans="1:20" x14ac:dyDescent="0.2">
      <c r="A25" s="214"/>
      <c r="B25" s="167">
        <v>3</v>
      </c>
      <c r="C25" s="172" t="s">
        <v>180</v>
      </c>
      <c r="D25" s="173" t="s">
        <v>371</v>
      </c>
      <c r="E25" s="173" t="s">
        <v>378</v>
      </c>
      <c r="F25" s="180"/>
      <c r="G25" s="180"/>
      <c r="H25" s="180"/>
      <c r="I25" s="181" t="s">
        <v>180</v>
      </c>
      <c r="J25" s="190" t="s">
        <v>422</v>
      </c>
      <c r="K25" s="190" t="s">
        <v>430</v>
      </c>
      <c r="L25" s="180"/>
      <c r="M25" s="180"/>
      <c r="N25" s="180"/>
      <c r="O25" s="181" t="s">
        <v>180</v>
      </c>
      <c r="P25" s="176" t="s">
        <v>460</v>
      </c>
      <c r="Q25" s="176" t="s">
        <v>468</v>
      </c>
      <c r="R25" s="180"/>
      <c r="S25" s="180"/>
      <c r="T25" s="180"/>
    </row>
    <row r="26" spans="1:20" x14ac:dyDescent="0.2">
      <c r="A26" s="214"/>
      <c r="B26" s="167">
        <v>4</v>
      </c>
      <c r="C26" s="172" t="s">
        <v>180</v>
      </c>
      <c r="D26" s="173" t="s">
        <v>371</v>
      </c>
      <c r="E26" s="173" t="s">
        <v>379</v>
      </c>
      <c r="F26" s="180"/>
      <c r="G26" s="180"/>
      <c r="H26" s="180" t="s">
        <v>86</v>
      </c>
      <c r="I26" s="181" t="s">
        <v>180</v>
      </c>
      <c r="J26" s="190" t="s">
        <v>422</v>
      </c>
      <c r="K26" s="190" t="s">
        <v>431</v>
      </c>
      <c r="L26" s="180"/>
      <c r="M26" s="180"/>
      <c r="N26" s="180" t="s">
        <v>86</v>
      </c>
      <c r="O26" s="181" t="s">
        <v>180</v>
      </c>
      <c r="P26" s="176" t="s">
        <v>460</v>
      </c>
      <c r="Q26" s="176" t="s">
        <v>469</v>
      </c>
      <c r="R26" s="180"/>
      <c r="S26" s="180"/>
      <c r="T26" s="180"/>
    </row>
    <row r="27" spans="1:20" x14ac:dyDescent="0.2">
      <c r="A27" s="214"/>
      <c r="B27" s="167">
        <v>5</v>
      </c>
      <c r="C27" s="172" t="s">
        <v>180</v>
      </c>
      <c r="D27" s="173" t="s">
        <v>371</v>
      </c>
      <c r="E27" s="173" t="s">
        <v>380</v>
      </c>
      <c r="F27" s="182"/>
      <c r="G27" s="182"/>
      <c r="H27" s="182"/>
      <c r="I27" s="171" t="s">
        <v>180</v>
      </c>
      <c r="J27" s="190" t="s">
        <v>422</v>
      </c>
      <c r="K27" s="190" t="s">
        <v>432</v>
      </c>
      <c r="L27" s="180"/>
      <c r="M27" s="180"/>
      <c r="N27" s="180"/>
      <c r="O27" s="180"/>
      <c r="P27" s="176" t="s">
        <v>460</v>
      </c>
      <c r="Q27" s="176" t="s">
        <v>470</v>
      </c>
      <c r="R27" s="180"/>
      <c r="S27" s="180"/>
      <c r="T27" s="180"/>
    </row>
    <row r="28" spans="1:20" ht="17" thickBot="1" x14ac:dyDescent="0.25">
      <c r="A28" s="138"/>
      <c r="B28" s="115"/>
      <c r="C28" s="114"/>
      <c r="D28" s="175"/>
      <c r="E28" s="175"/>
      <c r="F28" s="152"/>
      <c r="G28" s="152"/>
      <c r="H28" s="152"/>
      <c r="I28" s="152"/>
      <c r="J28" s="164"/>
      <c r="K28" s="164"/>
      <c r="L28" s="152"/>
      <c r="M28" s="152"/>
      <c r="N28" s="152"/>
      <c r="O28" s="152"/>
      <c r="P28" s="164"/>
      <c r="Q28" s="164"/>
      <c r="R28" s="152"/>
      <c r="S28" s="152"/>
      <c r="T28" s="152"/>
    </row>
    <row r="29" spans="1:20" x14ac:dyDescent="0.2">
      <c r="A29" s="214" t="s">
        <v>77</v>
      </c>
      <c r="B29" s="167">
        <v>1</v>
      </c>
      <c r="C29" s="172" t="s">
        <v>180</v>
      </c>
      <c r="D29" s="173" t="s">
        <v>381</v>
      </c>
      <c r="E29" s="173" t="s">
        <v>382</v>
      </c>
      <c r="F29" s="183"/>
      <c r="G29" s="180"/>
      <c r="H29" s="180"/>
      <c r="I29" s="6" t="s">
        <v>180</v>
      </c>
      <c r="J29" s="190" t="s">
        <v>422</v>
      </c>
      <c r="K29" s="190" t="s">
        <v>423</v>
      </c>
      <c r="L29" s="183"/>
      <c r="M29" s="180"/>
      <c r="N29" s="180" t="s">
        <v>86</v>
      </c>
      <c r="O29" s="181" t="s">
        <v>180</v>
      </c>
      <c r="P29" s="176" t="s">
        <v>471</v>
      </c>
      <c r="Q29" s="176" t="s">
        <v>472</v>
      </c>
      <c r="R29" s="183"/>
      <c r="S29" s="180"/>
      <c r="T29" s="180"/>
    </row>
    <row r="30" spans="1:20" x14ac:dyDescent="0.2">
      <c r="A30" s="214"/>
      <c r="B30" s="167">
        <v>2</v>
      </c>
      <c r="C30" s="172" t="s">
        <v>180</v>
      </c>
      <c r="D30" s="173" t="s">
        <v>381</v>
      </c>
      <c r="E30" s="173" t="s">
        <v>383</v>
      </c>
      <c r="F30" s="180"/>
      <c r="G30" s="180"/>
      <c r="H30" s="180"/>
      <c r="I30" s="181" t="s">
        <v>180</v>
      </c>
      <c r="J30" s="190" t="s">
        <v>422</v>
      </c>
      <c r="K30" s="190" t="s">
        <v>424</v>
      </c>
      <c r="L30" s="180"/>
      <c r="M30" s="180"/>
      <c r="N30" s="180" t="s">
        <v>86</v>
      </c>
      <c r="O30" s="181" t="s">
        <v>180</v>
      </c>
      <c r="P30" s="176" t="s">
        <v>471</v>
      </c>
      <c r="Q30" s="176" t="s">
        <v>473</v>
      </c>
      <c r="R30" s="180"/>
      <c r="S30" s="180"/>
      <c r="T30" s="180"/>
    </row>
    <row r="31" spans="1:20" x14ac:dyDescent="0.2">
      <c r="A31" s="214"/>
      <c r="B31" s="167">
        <v>3</v>
      </c>
      <c r="C31" s="172" t="s">
        <v>180</v>
      </c>
      <c r="D31" s="173" t="s">
        <v>381</v>
      </c>
      <c r="E31" s="173" t="s">
        <v>384</v>
      </c>
      <c r="F31" s="180"/>
      <c r="G31" s="180"/>
      <c r="H31" s="180" t="s">
        <v>86</v>
      </c>
      <c r="I31" s="181" t="s">
        <v>180</v>
      </c>
      <c r="J31" s="190" t="s">
        <v>422</v>
      </c>
      <c r="K31" s="190" t="s">
        <v>425</v>
      </c>
      <c r="L31" s="180"/>
      <c r="M31" s="180"/>
      <c r="N31" s="180" t="s">
        <v>86</v>
      </c>
      <c r="O31" s="181" t="s">
        <v>180</v>
      </c>
      <c r="P31" s="176" t="s">
        <v>471</v>
      </c>
      <c r="Q31" s="176" t="s">
        <v>474</v>
      </c>
      <c r="R31" s="180"/>
      <c r="S31" s="180"/>
      <c r="T31" s="180"/>
    </row>
    <row r="32" spans="1:20" x14ac:dyDescent="0.2">
      <c r="A32" s="214"/>
      <c r="B32" s="167">
        <v>4</v>
      </c>
      <c r="C32" s="172" t="s">
        <v>180</v>
      </c>
      <c r="D32" s="173" t="s">
        <v>381</v>
      </c>
      <c r="E32" s="173" t="s">
        <v>385</v>
      </c>
      <c r="F32" s="182"/>
      <c r="G32" s="182"/>
      <c r="H32" s="182"/>
      <c r="I32" s="171" t="s">
        <v>180</v>
      </c>
      <c r="J32" s="190" t="s">
        <v>422</v>
      </c>
      <c r="K32" s="190" t="s">
        <v>426</v>
      </c>
      <c r="L32" s="180"/>
      <c r="M32" s="180"/>
      <c r="N32" s="180" t="s">
        <v>86</v>
      </c>
      <c r="O32" s="181" t="s">
        <v>180</v>
      </c>
      <c r="P32" s="176" t="s">
        <v>471</v>
      </c>
      <c r="Q32" s="176" t="s">
        <v>475</v>
      </c>
      <c r="R32" s="180"/>
      <c r="S32" s="180"/>
      <c r="T32" s="180" t="s">
        <v>86</v>
      </c>
    </row>
    <row r="33" spans="1:20" x14ac:dyDescent="0.2">
      <c r="A33" s="214"/>
      <c r="B33" s="167">
        <v>5</v>
      </c>
      <c r="C33" s="172"/>
      <c r="D33" s="173" t="s">
        <v>381</v>
      </c>
      <c r="E33" s="173" t="s">
        <v>365</v>
      </c>
      <c r="F33" s="182"/>
      <c r="G33" s="182"/>
      <c r="H33" s="182"/>
      <c r="I33" s="171" t="s">
        <v>180</v>
      </c>
      <c r="J33" s="170" t="s">
        <v>422</v>
      </c>
      <c r="K33" s="170" t="s">
        <v>444</v>
      </c>
      <c r="L33" s="180"/>
      <c r="M33" s="180"/>
      <c r="N33" s="180" t="s">
        <v>86</v>
      </c>
      <c r="O33" s="181" t="s">
        <v>180</v>
      </c>
      <c r="P33" s="176" t="s">
        <v>471</v>
      </c>
      <c r="Q33" s="176" t="s">
        <v>476</v>
      </c>
      <c r="R33" s="180"/>
      <c r="S33" s="180"/>
      <c r="T33" s="180" t="s">
        <v>86</v>
      </c>
    </row>
    <row r="34" spans="1:20" x14ac:dyDescent="0.2">
      <c r="A34" s="130"/>
      <c r="B34" s="167"/>
      <c r="C34" s="172"/>
      <c r="D34" s="173"/>
      <c r="E34" s="173"/>
      <c r="F34" s="180"/>
      <c r="G34" s="180"/>
      <c r="H34" s="180"/>
      <c r="I34" s="180"/>
      <c r="J34" s="170"/>
      <c r="K34" s="170"/>
      <c r="L34" s="180"/>
      <c r="M34" s="180"/>
      <c r="N34" s="180"/>
      <c r="O34" s="180"/>
      <c r="P34" s="170"/>
      <c r="Q34" s="170"/>
      <c r="R34" s="180"/>
      <c r="S34" s="180"/>
      <c r="T34" s="180"/>
    </row>
    <row r="35" spans="1:20" x14ac:dyDescent="0.2">
      <c r="A35" s="214" t="s">
        <v>78</v>
      </c>
      <c r="B35" s="167">
        <v>1</v>
      </c>
      <c r="C35" s="172" t="s">
        <v>180</v>
      </c>
      <c r="D35" s="173" t="s">
        <v>381</v>
      </c>
      <c r="E35" s="173" t="s">
        <v>386</v>
      </c>
      <c r="F35" s="180"/>
      <c r="G35" s="180"/>
      <c r="H35" s="180"/>
      <c r="I35" s="181" t="s">
        <v>180</v>
      </c>
      <c r="J35" s="190" t="s">
        <v>422</v>
      </c>
      <c r="K35" s="190" t="s">
        <v>428</v>
      </c>
      <c r="L35" s="180"/>
      <c r="M35" s="180"/>
      <c r="N35" s="180"/>
      <c r="O35" s="181" t="s">
        <v>180</v>
      </c>
      <c r="P35" s="176" t="s">
        <v>471</v>
      </c>
      <c r="Q35" s="176" t="s">
        <v>477</v>
      </c>
      <c r="R35" s="180"/>
      <c r="S35" s="180"/>
      <c r="T35" s="180"/>
    </row>
    <row r="36" spans="1:20" x14ac:dyDescent="0.2">
      <c r="A36" s="214"/>
      <c r="B36" s="167">
        <v>2</v>
      </c>
      <c r="C36" s="172" t="s">
        <v>180</v>
      </c>
      <c r="D36" s="173" t="s">
        <v>381</v>
      </c>
      <c r="E36" s="173" t="s">
        <v>387</v>
      </c>
      <c r="F36" s="180"/>
      <c r="G36" s="180"/>
      <c r="H36" s="180"/>
      <c r="I36" s="181" t="s">
        <v>180</v>
      </c>
      <c r="J36" s="190" t="s">
        <v>422</v>
      </c>
      <c r="K36" s="190" t="s">
        <v>429</v>
      </c>
      <c r="L36" s="180"/>
      <c r="M36" s="180"/>
      <c r="N36" s="180"/>
      <c r="O36" s="184" t="s">
        <v>181</v>
      </c>
      <c r="P36" s="176" t="s">
        <v>471</v>
      </c>
      <c r="Q36" s="176" t="s">
        <v>478</v>
      </c>
      <c r="R36" s="180"/>
      <c r="S36" s="180"/>
      <c r="T36" s="180"/>
    </row>
    <row r="37" spans="1:20" x14ac:dyDescent="0.2">
      <c r="A37" s="214"/>
      <c r="B37" s="167">
        <v>3</v>
      </c>
      <c r="C37" s="172" t="s">
        <v>182</v>
      </c>
      <c r="D37" s="173" t="s">
        <v>381</v>
      </c>
      <c r="E37" s="173" t="s">
        <v>388</v>
      </c>
      <c r="F37" s="180"/>
      <c r="G37" s="180"/>
      <c r="H37" s="180"/>
      <c r="I37" s="181" t="s">
        <v>180</v>
      </c>
      <c r="J37" s="190" t="s">
        <v>422</v>
      </c>
      <c r="K37" s="190" t="s">
        <v>430</v>
      </c>
      <c r="L37" s="180"/>
      <c r="M37" s="180"/>
      <c r="N37" s="180"/>
      <c r="O37" s="184" t="s">
        <v>181</v>
      </c>
      <c r="P37" s="176" t="s">
        <v>471</v>
      </c>
      <c r="Q37" s="176" t="s">
        <v>479</v>
      </c>
      <c r="R37" s="180"/>
      <c r="S37" s="180"/>
      <c r="T37" s="180"/>
    </row>
    <row r="38" spans="1:20" x14ac:dyDescent="0.2">
      <c r="A38" s="214"/>
      <c r="B38" s="167">
        <v>4</v>
      </c>
      <c r="C38" s="172" t="s">
        <v>180</v>
      </c>
      <c r="D38" s="173" t="s">
        <v>381</v>
      </c>
      <c r="E38" s="173" t="s">
        <v>389</v>
      </c>
      <c r="F38" s="180"/>
      <c r="G38" s="180"/>
      <c r="H38" s="180"/>
      <c r="I38" s="181" t="s">
        <v>180</v>
      </c>
      <c r="J38" s="190" t="s">
        <v>422</v>
      </c>
      <c r="K38" s="190" t="s">
        <v>445</v>
      </c>
      <c r="L38" s="180"/>
      <c r="M38" s="180"/>
      <c r="N38" s="180" t="s">
        <v>86</v>
      </c>
      <c r="O38" s="184" t="s">
        <v>181</v>
      </c>
      <c r="P38" s="176" t="s">
        <v>471</v>
      </c>
      <c r="Q38" s="176" t="s">
        <v>480</v>
      </c>
      <c r="R38" s="180"/>
      <c r="S38" s="180" t="s">
        <v>86</v>
      </c>
      <c r="T38" s="180"/>
    </row>
    <row r="39" spans="1:20" x14ac:dyDescent="0.2">
      <c r="A39" s="214"/>
      <c r="B39" s="167">
        <v>5</v>
      </c>
      <c r="C39" s="172" t="s">
        <v>180</v>
      </c>
      <c r="D39" s="173" t="s">
        <v>381</v>
      </c>
      <c r="E39" s="173" t="s">
        <v>390</v>
      </c>
      <c r="F39" s="185"/>
      <c r="G39" s="182"/>
      <c r="H39" s="182"/>
      <c r="I39" s="171" t="s">
        <v>180</v>
      </c>
      <c r="J39" s="190" t="s">
        <v>422</v>
      </c>
      <c r="K39" s="190" t="s">
        <v>432</v>
      </c>
      <c r="L39" s="183"/>
      <c r="M39" s="180"/>
      <c r="N39" s="180" t="s">
        <v>86</v>
      </c>
      <c r="O39" s="181" t="s">
        <v>180</v>
      </c>
      <c r="P39" s="176" t="s">
        <v>471</v>
      </c>
      <c r="Q39" s="176" t="s">
        <v>481</v>
      </c>
      <c r="R39" s="180"/>
      <c r="S39" s="180"/>
      <c r="T39" s="180"/>
    </row>
    <row r="40" spans="1:20" ht="17" thickBot="1" x14ac:dyDescent="0.25">
      <c r="A40" s="138"/>
      <c r="B40" s="115"/>
      <c r="C40" s="114"/>
      <c r="D40" s="175"/>
      <c r="E40" s="175"/>
      <c r="F40" s="152"/>
      <c r="G40" s="152"/>
      <c r="H40" s="152"/>
      <c r="I40" s="152"/>
      <c r="J40" s="164"/>
      <c r="K40" s="164"/>
      <c r="L40" s="152"/>
      <c r="M40" s="152"/>
      <c r="N40" s="152"/>
      <c r="O40" s="152"/>
      <c r="P40" s="164"/>
      <c r="Q40" s="164"/>
      <c r="R40" s="152"/>
      <c r="S40" s="152"/>
      <c r="T40" s="152"/>
    </row>
    <row r="41" spans="1:20" x14ac:dyDescent="0.2">
      <c r="A41" s="214" t="s">
        <v>79</v>
      </c>
      <c r="B41" s="167">
        <v>1</v>
      </c>
      <c r="C41" s="172" t="s">
        <v>180</v>
      </c>
      <c r="D41" s="173" t="s">
        <v>391</v>
      </c>
      <c r="E41" s="173" t="s">
        <v>392</v>
      </c>
      <c r="F41" s="180"/>
      <c r="G41" s="180"/>
      <c r="H41" s="180" t="s">
        <v>86</v>
      </c>
      <c r="I41" s="181" t="s">
        <v>180</v>
      </c>
      <c r="J41" s="190" t="s">
        <v>433</v>
      </c>
      <c r="K41" s="190" t="s">
        <v>434</v>
      </c>
      <c r="L41" s="180"/>
      <c r="M41" s="180"/>
      <c r="N41" s="180"/>
      <c r="O41" s="181" t="s">
        <v>180</v>
      </c>
      <c r="P41" s="176" t="s">
        <v>482</v>
      </c>
      <c r="Q41" s="176" t="s">
        <v>483</v>
      </c>
      <c r="R41" s="180"/>
      <c r="S41" s="180"/>
      <c r="T41" s="180" t="s">
        <v>86</v>
      </c>
    </row>
    <row r="42" spans="1:20" x14ac:dyDescent="0.2">
      <c r="A42" s="214"/>
      <c r="B42" s="167">
        <v>2</v>
      </c>
      <c r="C42" s="172" t="s">
        <v>180</v>
      </c>
      <c r="D42" s="173" t="s">
        <v>391</v>
      </c>
      <c r="E42" s="173" t="s">
        <v>393</v>
      </c>
      <c r="F42" s="180"/>
      <c r="G42" s="180"/>
      <c r="H42" s="180" t="s">
        <v>86</v>
      </c>
      <c r="I42" s="181" t="s">
        <v>180</v>
      </c>
      <c r="J42" s="190" t="s">
        <v>433</v>
      </c>
      <c r="K42" s="190" t="s">
        <v>435</v>
      </c>
      <c r="L42" s="180"/>
      <c r="M42" s="180"/>
      <c r="N42" s="180"/>
      <c r="O42" s="181" t="s">
        <v>180</v>
      </c>
      <c r="P42" s="176" t="s">
        <v>482</v>
      </c>
      <c r="Q42" s="176" t="s">
        <v>484</v>
      </c>
      <c r="R42" s="180"/>
      <c r="S42" s="180"/>
      <c r="T42" s="180"/>
    </row>
    <row r="43" spans="1:20" x14ac:dyDescent="0.2">
      <c r="A43" s="214"/>
      <c r="B43" s="167">
        <v>3</v>
      </c>
      <c r="C43" s="172" t="s">
        <v>180</v>
      </c>
      <c r="D43" s="173" t="s">
        <v>391</v>
      </c>
      <c r="E43" s="173" t="s">
        <v>394</v>
      </c>
      <c r="F43" s="180"/>
      <c r="G43" s="180"/>
      <c r="H43" s="180" t="s">
        <v>86</v>
      </c>
      <c r="I43" s="181" t="s">
        <v>180</v>
      </c>
      <c r="J43" s="190" t="s">
        <v>433</v>
      </c>
      <c r="K43" s="190" t="s">
        <v>436</v>
      </c>
      <c r="L43" s="180"/>
      <c r="M43" s="180"/>
      <c r="N43" s="180" t="s">
        <v>86</v>
      </c>
      <c r="O43" s="181" t="s">
        <v>180</v>
      </c>
      <c r="P43" s="176" t="s">
        <v>482</v>
      </c>
      <c r="Q43" s="176" t="s">
        <v>485</v>
      </c>
      <c r="R43" s="180"/>
      <c r="S43" s="180"/>
      <c r="T43" s="180" t="s">
        <v>86</v>
      </c>
    </row>
    <row r="44" spans="1:20" x14ac:dyDescent="0.2">
      <c r="A44" s="214"/>
      <c r="B44" s="167">
        <v>4</v>
      </c>
      <c r="C44" s="172" t="s">
        <v>180</v>
      </c>
      <c r="D44" s="173" t="s">
        <v>391</v>
      </c>
      <c r="E44" s="173" t="s">
        <v>395</v>
      </c>
      <c r="F44" s="182"/>
      <c r="G44" s="182"/>
      <c r="H44" s="182" t="s">
        <v>86</v>
      </c>
      <c r="I44" s="171" t="s">
        <v>180</v>
      </c>
      <c r="J44" s="190" t="s">
        <v>433</v>
      </c>
      <c r="K44" s="190" t="s">
        <v>437</v>
      </c>
      <c r="L44" s="180"/>
      <c r="M44" s="180"/>
      <c r="N44" s="180" t="s">
        <v>86</v>
      </c>
      <c r="O44" s="181" t="s">
        <v>180</v>
      </c>
      <c r="P44" s="176" t="s">
        <v>482</v>
      </c>
      <c r="Q44" s="176" t="s">
        <v>486</v>
      </c>
      <c r="R44" s="180"/>
      <c r="S44" s="180"/>
      <c r="T44" s="180" t="s">
        <v>86</v>
      </c>
    </row>
    <row r="45" spans="1:20" x14ac:dyDescent="0.2">
      <c r="A45" s="214"/>
      <c r="B45" s="167">
        <v>5</v>
      </c>
      <c r="C45" s="172"/>
      <c r="D45" s="173" t="s">
        <v>391</v>
      </c>
      <c r="E45" s="173" t="s">
        <v>396</v>
      </c>
      <c r="F45" s="182"/>
      <c r="G45" s="182"/>
      <c r="H45" s="182"/>
      <c r="I45" s="171" t="s">
        <v>180</v>
      </c>
      <c r="J45" s="170" t="s">
        <v>433</v>
      </c>
      <c r="K45" s="170" t="s">
        <v>438</v>
      </c>
      <c r="L45" s="180"/>
      <c r="M45" s="180"/>
      <c r="N45" s="180" t="s">
        <v>86</v>
      </c>
      <c r="O45" s="180"/>
      <c r="P45" s="176" t="s">
        <v>482</v>
      </c>
      <c r="Q45" s="176" t="s">
        <v>487</v>
      </c>
      <c r="R45" s="180"/>
      <c r="S45" s="180"/>
      <c r="T45" s="180"/>
    </row>
    <row r="46" spans="1:20" x14ac:dyDescent="0.2">
      <c r="A46" s="130"/>
      <c r="B46" s="167"/>
      <c r="C46" s="172"/>
      <c r="D46" s="173"/>
      <c r="E46" s="173"/>
      <c r="F46" s="180"/>
      <c r="G46" s="180"/>
      <c r="H46" s="180"/>
      <c r="I46" s="180"/>
      <c r="J46" s="170"/>
      <c r="K46" s="170"/>
      <c r="L46" s="180"/>
      <c r="M46" s="180"/>
      <c r="N46" s="180"/>
      <c r="O46" s="181" t="s">
        <v>180</v>
      </c>
      <c r="P46" s="170"/>
      <c r="Q46" s="170"/>
      <c r="R46" s="180"/>
      <c r="S46" s="180"/>
      <c r="T46" s="180"/>
    </row>
    <row r="47" spans="1:20" x14ac:dyDescent="0.2">
      <c r="A47" s="214" t="s">
        <v>80</v>
      </c>
      <c r="B47" s="167">
        <v>1</v>
      </c>
      <c r="C47" s="172" t="s">
        <v>180</v>
      </c>
      <c r="D47" s="173" t="s">
        <v>391</v>
      </c>
      <c r="E47" s="173" t="s">
        <v>397</v>
      </c>
      <c r="F47" s="180"/>
      <c r="G47" s="180"/>
      <c r="H47" s="180"/>
      <c r="I47" s="180" t="s">
        <v>181</v>
      </c>
      <c r="J47" s="190" t="s">
        <v>433</v>
      </c>
      <c r="K47" s="190" t="s">
        <v>439</v>
      </c>
      <c r="L47" s="180"/>
      <c r="M47" s="180"/>
      <c r="N47" s="180"/>
      <c r="O47" s="181" t="s">
        <v>180</v>
      </c>
      <c r="P47" s="176" t="s">
        <v>482</v>
      </c>
      <c r="Q47" s="176" t="s">
        <v>488</v>
      </c>
      <c r="R47" s="180"/>
      <c r="S47" s="180"/>
      <c r="T47" s="180"/>
    </row>
    <row r="48" spans="1:20" x14ac:dyDescent="0.2">
      <c r="A48" s="214"/>
      <c r="B48" s="167">
        <v>2</v>
      </c>
      <c r="C48" s="172" t="s">
        <v>180</v>
      </c>
      <c r="D48" s="173" t="s">
        <v>391</v>
      </c>
      <c r="E48" s="173" t="s">
        <v>398</v>
      </c>
      <c r="F48" s="180"/>
      <c r="G48" s="180"/>
      <c r="H48" s="180"/>
      <c r="I48" s="181" t="s">
        <v>180</v>
      </c>
      <c r="J48" s="190" t="s">
        <v>433</v>
      </c>
      <c r="K48" s="190" t="s">
        <v>440</v>
      </c>
      <c r="L48" s="180"/>
      <c r="M48" s="180" t="s">
        <v>86</v>
      </c>
      <c r="N48" s="180"/>
      <c r="O48" s="181" t="s">
        <v>180</v>
      </c>
      <c r="P48" s="176" t="s">
        <v>482</v>
      </c>
      <c r="Q48" s="176" t="s">
        <v>489</v>
      </c>
      <c r="R48" s="180"/>
      <c r="S48" s="180"/>
      <c r="T48" s="180"/>
    </row>
    <row r="49" spans="1:20" x14ac:dyDescent="0.2">
      <c r="A49" s="214"/>
      <c r="B49" s="167">
        <v>3</v>
      </c>
      <c r="C49" s="172" t="s">
        <v>180</v>
      </c>
      <c r="D49" s="173" t="s">
        <v>391</v>
      </c>
      <c r="E49" s="173" t="s">
        <v>399</v>
      </c>
      <c r="F49" s="180"/>
      <c r="G49" s="180"/>
      <c r="H49" s="180"/>
      <c r="I49" s="181" t="s">
        <v>180</v>
      </c>
      <c r="J49" s="170" t="s">
        <v>433</v>
      </c>
      <c r="K49" s="170" t="s">
        <v>441</v>
      </c>
      <c r="L49" s="180"/>
      <c r="M49" s="180"/>
      <c r="N49" s="180"/>
      <c r="O49" s="181" t="s">
        <v>180</v>
      </c>
      <c r="P49" s="176" t="s">
        <v>482</v>
      </c>
      <c r="Q49" s="176" t="s">
        <v>490</v>
      </c>
      <c r="R49" s="180"/>
      <c r="S49" s="180"/>
      <c r="T49" s="180"/>
    </row>
    <row r="50" spans="1:20" x14ac:dyDescent="0.2">
      <c r="A50" s="214"/>
      <c r="B50" s="167">
        <v>4</v>
      </c>
      <c r="C50" s="172" t="s">
        <v>180</v>
      </c>
      <c r="D50" s="173" t="s">
        <v>391</v>
      </c>
      <c r="E50" s="173" t="s">
        <v>400</v>
      </c>
      <c r="F50" s="180"/>
      <c r="G50" s="180"/>
      <c r="H50" s="180"/>
      <c r="I50" s="181" t="s">
        <v>180</v>
      </c>
      <c r="J50" s="190" t="s">
        <v>433</v>
      </c>
      <c r="K50" s="190" t="s">
        <v>442</v>
      </c>
      <c r="L50" s="180"/>
      <c r="M50" s="180"/>
      <c r="N50" s="180"/>
      <c r="O50" s="181" t="s">
        <v>180</v>
      </c>
      <c r="P50" s="176" t="s">
        <v>482</v>
      </c>
      <c r="Q50" s="176" t="s">
        <v>491</v>
      </c>
      <c r="R50" s="180"/>
      <c r="S50" s="180"/>
      <c r="T50" s="180" t="s">
        <v>86</v>
      </c>
    </row>
    <row r="51" spans="1:20" x14ac:dyDescent="0.2">
      <c r="A51" s="214"/>
      <c r="B51" s="167">
        <v>5</v>
      </c>
      <c r="C51" s="172" t="s">
        <v>180</v>
      </c>
      <c r="D51" s="173" t="s">
        <v>391</v>
      </c>
      <c r="E51" s="173" t="s">
        <v>401</v>
      </c>
      <c r="F51" s="182"/>
      <c r="G51" s="182"/>
      <c r="H51" s="182" t="s">
        <v>86</v>
      </c>
      <c r="I51" s="171" t="s">
        <v>180</v>
      </c>
      <c r="J51" s="190" t="s">
        <v>433</v>
      </c>
      <c r="K51" s="190" t="s">
        <v>443</v>
      </c>
      <c r="L51" s="180"/>
      <c r="M51" s="180"/>
      <c r="N51" s="180" t="s">
        <v>86</v>
      </c>
      <c r="O51" s="180"/>
      <c r="P51" s="176" t="s">
        <v>482</v>
      </c>
      <c r="Q51" s="176" t="s">
        <v>492</v>
      </c>
      <c r="R51" s="180"/>
      <c r="S51" s="180"/>
      <c r="T51" s="180" t="s">
        <v>86</v>
      </c>
    </row>
    <row r="52" spans="1:20" ht="17" thickBot="1" x14ac:dyDescent="0.25">
      <c r="A52" s="138"/>
      <c r="B52" s="115"/>
      <c r="C52" s="114"/>
      <c r="D52" s="175"/>
      <c r="E52" s="175"/>
      <c r="F52" s="152"/>
      <c r="G52" s="152"/>
      <c r="H52" s="152"/>
      <c r="I52" s="152"/>
      <c r="J52" s="164"/>
      <c r="K52" s="164"/>
      <c r="L52" s="152"/>
      <c r="M52" s="152"/>
      <c r="N52" s="152"/>
      <c r="O52" s="152"/>
      <c r="P52" s="164"/>
      <c r="Q52" s="164"/>
      <c r="R52" s="152"/>
      <c r="S52" s="152"/>
      <c r="T52" s="152"/>
    </row>
    <row r="53" spans="1:20" x14ac:dyDescent="0.2">
      <c r="A53" s="214" t="s">
        <v>81</v>
      </c>
      <c r="B53" s="167">
        <v>1</v>
      </c>
      <c r="C53" s="172" t="s">
        <v>180</v>
      </c>
      <c r="D53" s="173" t="s">
        <v>402</v>
      </c>
      <c r="E53" s="173" t="s">
        <v>403</v>
      </c>
      <c r="F53" s="180"/>
      <c r="G53" s="180"/>
      <c r="H53" s="180" t="s">
        <v>86</v>
      </c>
      <c r="I53" s="181" t="s">
        <v>180</v>
      </c>
      <c r="J53" s="190" t="s">
        <v>446</v>
      </c>
      <c r="K53" s="190" t="s">
        <v>447</v>
      </c>
      <c r="L53" s="180"/>
      <c r="M53" s="180"/>
      <c r="N53" s="180" t="s">
        <v>86</v>
      </c>
      <c r="O53" s="181" t="s">
        <v>180</v>
      </c>
      <c r="P53" s="176" t="s">
        <v>493</v>
      </c>
      <c r="Q53" s="176" t="s">
        <v>494</v>
      </c>
      <c r="R53" s="180"/>
      <c r="S53" s="180"/>
      <c r="T53" s="180" t="s">
        <v>86</v>
      </c>
    </row>
    <row r="54" spans="1:20" x14ac:dyDescent="0.2">
      <c r="A54" s="214"/>
      <c r="B54" s="167">
        <v>2</v>
      </c>
      <c r="C54" s="172" t="s">
        <v>180</v>
      </c>
      <c r="D54" s="173" t="s">
        <v>402</v>
      </c>
      <c r="E54" s="173" t="s">
        <v>404</v>
      </c>
      <c r="F54" s="182"/>
      <c r="G54" s="182"/>
      <c r="H54" s="182" t="s">
        <v>86</v>
      </c>
      <c r="I54" s="171" t="s">
        <v>180</v>
      </c>
      <c r="J54" s="190" t="s">
        <v>446</v>
      </c>
      <c r="K54" s="190" t="s">
        <v>499</v>
      </c>
      <c r="L54" s="180"/>
      <c r="M54" s="180"/>
      <c r="N54" s="180"/>
      <c r="O54" s="181" t="s">
        <v>180</v>
      </c>
      <c r="P54" s="170" t="s">
        <v>493</v>
      </c>
      <c r="Q54" s="170" t="s">
        <v>495</v>
      </c>
      <c r="R54" s="180"/>
      <c r="S54" s="180"/>
      <c r="T54" s="180"/>
    </row>
    <row r="55" spans="1:20" x14ac:dyDescent="0.2">
      <c r="A55" s="214"/>
      <c r="B55" s="167">
        <v>3</v>
      </c>
      <c r="C55" s="172"/>
      <c r="D55" s="173" t="s">
        <v>402</v>
      </c>
      <c r="E55" s="173" t="s">
        <v>405</v>
      </c>
      <c r="F55" s="180"/>
      <c r="G55" s="180"/>
      <c r="H55" s="180"/>
      <c r="I55" s="181"/>
      <c r="J55" s="173" t="s">
        <v>446</v>
      </c>
      <c r="K55" s="173" t="s">
        <v>500</v>
      </c>
      <c r="L55" s="180"/>
      <c r="M55" s="180"/>
      <c r="N55" s="180"/>
      <c r="O55" s="181"/>
      <c r="P55" s="176" t="s">
        <v>493</v>
      </c>
      <c r="Q55" s="176" t="s">
        <v>503</v>
      </c>
      <c r="R55" s="180"/>
      <c r="S55" s="180"/>
      <c r="T55" s="180"/>
    </row>
    <row r="56" spans="1:20" x14ac:dyDescent="0.2">
      <c r="A56" s="214"/>
      <c r="B56" s="167">
        <v>4</v>
      </c>
      <c r="C56" s="172" t="s">
        <v>180</v>
      </c>
      <c r="D56" s="173" t="s">
        <v>402</v>
      </c>
      <c r="E56" s="173" t="s">
        <v>406</v>
      </c>
      <c r="F56" s="182"/>
      <c r="G56" s="182"/>
      <c r="H56" s="182" t="s">
        <v>86</v>
      </c>
      <c r="I56" s="171" t="s">
        <v>180</v>
      </c>
      <c r="J56" s="190" t="s">
        <v>446</v>
      </c>
      <c r="K56" s="190" t="s">
        <v>448</v>
      </c>
      <c r="L56" s="180"/>
      <c r="M56" s="180"/>
      <c r="N56" s="180" t="s">
        <v>86</v>
      </c>
      <c r="O56" s="181" t="s">
        <v>180</v>
      </c>
      <c r="P56" s="176" t="s">
        <v>493</v>
      </c>
      <c r="Q56" s="176" t="s">
        <v>496</v>
      </c>
      <c r="R56" s="180"/>
      <c r="S56" s="180"/>
      <c r="T56" s="180" t="s">
        <v>86</v>
      </c>
    </row>
    <row r="57" spans="1:20" x14ac:dyDescent="0.2">
      <c r="A57" s="214"/>
      <c r="B57" s="167">
        <v>5</v>
      </c>
      <c r="C57" s="172"/>
      <c r="D57" s="173" t="s">
        <v>402</v>
      </c>
      <c r="E57" s="173" t="s">
        <v>365</v>
      </c>
      <c r="F57" s="182"/>
      <c r="G57" s="182"/>
      <c r="H57" s="182"/>
      <c r="I57" s="171"/>
      <c r="J57" s="170" t="s">
        <v>446</v>
      </c>
      <c r="K57" s="170" t="s">
        <v>365</v>
      </c>
      <c r="L57" s="180"/>
      <c r="M57" s="180"/>
      <c r="N57" s="180"/>
      <c r="O57" s="181"/>
      <c r="P57" s="170" t="s">
        <v>493</v>
      </c>
      <c r="Q57" s="170" t="s">
        <v>365</v>
      </c>
      <c r="R57" s="180"/>
      <c r="S57" s="180"/>
      <c r="T57" s="180"/>
    </row>
    <row r="58" spans="1:20" x14ac:dyDescent="0.2">
      <c r="A58" s="130"/>
      <c r="B58" s="167"/>
      <c r="C58" s="172"/>
      <c r="D58" s="173"/>
      <c r="E58" s="173"/>
      <c r="F58" s="180"/>
      <c r="G58" s="180"/>
      <c r="H58" s="180"/>
      <c r="I58" s="181"/>
      <c r="J58" s="170"/>
      <c r="K58" s="170"/>
      <c r="L58" s="180"/>
      <c r="M58" s="180"/>
      <c r="N58" s="180"/>
      <c r="O58" s="181"/>
      <c r="P58" s="170"/>
      <c r="Q58" s="170"/>
      <c r="R58" s="180"/>
      <c r="S58" s="180"/>
      <c r="T58" s="180"/>
    </row>
    <row r="59" spans="1:20" x14ac:dyDescent="0.2">
      <c r="A59" s="214" t="s">
        <v>82</v>
      </c>
      <c r="B59" s="167">
        <v>1</v>
      </c>
      <c r="C59" s="172" t="s">
        <v>180</v>
      </c>
      <c r="D59" s="173" t="s">
        <v>402</v>
      </c>
      <c r="E59" s="173" t="s">
        <v>407</v>
      </c>
      <c r="F59" s="180"/>
      <c r="G59" s="180"/>
      <c r="H59" s="180"/>
      <c r="I59" s="181" t="s">
        <v>180</v>
      </c>
      <c r="J59" s="190" t="s">
        <v>446</v>
      </c>
      <c r="K59" s="190" t="s">
        <v>501</v>
      </c>
      <c r="L59" s="180"/>
      <c r="M59" s="180"/>
      <c r="N59" s="180"/>
      <c r="O59" s="181" t="s">
        <v>180</v>
      </c>
      <c r="P59" s="176" t="s">
        <v>493</v>
      </c>
      <c r="Q59" s="176" t="s">
        <v>497</v>
      </c>
      <c r="R59" s="180"/>
      <c r="S59" s="180"/>
      <c r="T59" s="180"/>
    </row>
    <row r="60" spans="1:20" x14ac:dyDescent="0.2">
      <c r="A60" s="214"/>
      <c r="B60" s="167">
        <v>2</v>
      </c>
      <c r="C60" s="172" t="s">
        <v>180</v>
      </c>
      <c r="D60" s="173" t="s">
        <v>402</v>
      </c>
      <c r="E60" s="173" t="s">
        <v>404</v>
      </c>
      <c r="F60" s="182"/>
      <c r="G60" s="182"/>
      <c r="H60" s="185" t="s">
        <v>86</v>
      </c>
      <c r="I60" s="171" t="s">
        <v>180</v>
      </c>
      <c r="J60" s="190" t="s">
        <v>446</v>
      </c>
      <c r="K60" s="190" t="s">
        <v>502</v>
      </c>
      <c r="L60" s="180"/>
      <c r="M60" s="180"/>
      <c r="N60" s="180"/>
      <c r="O60" s="181" t="s">
        <v>180</v>
      </c>
      <c r="P60" s="176" t="s">
        <v>493</v>
      </c>
      <c r="Q60" s="176" t="s">
        <v>495</v>
      </c>
      <c r="R60" s="180"/>
      <c r="S60" s="180"/>
      <c r="T60" s="180"/>
    </row>
    <row r="61" spans="1:20" x14ac:dyDescent="0.2">
      <c r="A61" s="214"/>
      <c r="B61" s="167">
        <v>3</v>
      </c>
      <c r="C61" s="172"/>
      <c r="D61" s="173" t="s">
        <v>402</v>
      </c>
      <c r="E61" s="173" t="s">
        <v>408</v>
      </c>
      <c r="F61" s="180"/>
      <c r="G61" s="180"/>
      <c r="H61" s="180"/>
      <c r="I61" s="181"/>
      <c r="J61" s="170" t="s">
        <v>446</v>
      </c>
      <c r="K61" s="170" t="s">
        <v>500</v>
      </c>
      <c r="L61" s="180"/>
      <c r="M61" s="180"/>
      <c r="N61" s="180"/>
      <c r="O61" s="181"/>
      <c r="P61" s="170" t="s">
        <v>493</v>
      </c>
      <c r="Q61" s="170" t="s">
        <v>504</v>
      </c>
      <c r="R61" s="180"/>
      <c r="S61" s="180"/>
      <c r="T61" s="180"/>
    </row>
    <row r="62" spans="1:20" x14ac:dyDescent="0.2">
      <c r="A62" s="214"/>
      <c r="B62" s="167">
        <v>4</v>
      </c>
      <c r="C62" s="172" t="s">
        <v>180</v>
      </c>
      <c r="D62" s="173" t="s">
        <v>402</v>
      </c>
      <c r="E62" s="173" t="s">
        <v>409</v>
      </c>
      <c r="F62" s="180"/>
      <c r="G62" s="180"/>
      <c r="H62" s="180" t="s">
        <v>86</v>
      </c>
      <c r="I62" s="181" t="s">
        <v>180</v>
      </c>
      <c r="J62" s="190" t="s">
        <v>446</v>
      </c>
      <c r="K62" s="190" t="s">
        <v>448</v>
      </c>
      <c r="L62" s="180"/>
      <c r="M62" s="180"/>
      <c r="N62" s="180" t="s">
        <v>86</v>
      </c>
      <c r="O62" s="181" t="s">
        <v>180</v>
      </c>
      <c r="P62" s="176" t="s">
        <v>493</v>
      </c>
      <c r="Q62" s="176" t="s">
        <v>498</v>
      </c>
      <c r="R62" s="180"/>
      <c r="S62" s="180"/>
      <c r="T62" s="180" t="s">
        <v>86</v>
      </c>
    </row>
    <row r="63" spans="1:20" ht="17" thickBot="1" x14ac:dyDescent="0.25">
      <c r="A63" s="213"/>
      <c r="B63" s="115">
        <v>5</v>
      </c>
      <c r="C63" s="115"/>
      <c r="D63" s="175" t="s">
        <v>402</v>
      </c>
      <c r="E63" s="175" t="s">
        <v>410</v>
      </c>
      <c r="F63" s="146"/>
      <c r="G63" s="146"/>
      <c r="H63" s="146"/>
      <c r="I63" s="146"/>
      <c r="J63" s="164" t="s">
        <v>446</v>
      </c>
      <c r="K63" s="164" t="s">
        <v>365</v>
      </c>
      <c r="L63" s="148"/>
      <c r="M63" s="148"/>
      <c r="N63" s="148"/>
      <c r="O63" s="148"/>
      <c r="P63" s="164" t="s">
        <v>493</v>
      </c>
      <c r="Q63" s="164" t="s">
        <v>365</v>
      </c>
      <c r="R63" s="147"/>
      <c r="S63" s="147"/>
      <c r="T63" s="147"/>
    </row>
  </sheetData>
  <mergeCells count="15">
    <mergeCell ref="A59:A63"/>
    <mergeCell ref="A1:T1"/>
    <mergeCell ref="C3:H3"/>
    <mergeCell ref="I3:N3"/>
    <mergeCell ref="O3:T3"/>
    <mergeCell ref="A23:A27"/>
    <mergeCell ref="A29:A33"/>
    <mergeCell ref="A35:A39"/>
    <mergeCell ref="A41:A45"/>
    <mergeCell ref="A47:A51"/>
    <mergeCell ref="A53:A57"/>
    <mergeCell ref="A5:A9"/>
    <mergeCell ref="A11:A15"/>
    <mergeCell ref="A17:A21"/>
    <mergeCell ref="C2:T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2910-17FF-48F3-B5C0-18593876B690}">
  <dimension ref="A1:T64"/>
  <sheetViews>
    <sheetView showGridLines="0" workbookViewId="0">
      <selection activeCell="A6" sqref="A6:A10"/>
    </sheetView>
  </sheetViews>
  <sheetFormatPr baseColWidth="10" defaultColWidth="11" defaultRowHeight="16" x14ac:dyDescent="0.2"/>
  <cols>
    <col min="1" max="1" width="27.5" customWidth="1"/>
    <col min="4" max="4" width="20.6640625" customWidth="1"/>
    <col min="5" max="5" width="19.83203125" customWidth="1"/>
    <col min="10" max="10" width="21.83203125" customWidth="1"/>
    <col min="11" max="11" width="23.6640625" customWidth="1"/>
    <col min="16" max="16" width="22.5" customWidth="1"/>
    <col min="17" max="17" width="23.33203125" customWidth="1"/>
  </cols>
  <sheetData>
    <row r="1" spans="1:20" x14ac:dyDescent="0.2">
      <c r="A1" s="223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</row>
    <row r="2" spans="1:20" ht="17" thickBot="1" x14ac:dyDescent="0.25">
      <c r="A2" s="222" t="s">
        <v>359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</row>
    <row r="3" spans="1:20" x14ac:dyDescent="0.2">
      <c r="A3" s="167"/>
      <c r="B3" s="167"/>
      <c r="C3" s="221" t="s">
        <v>505</v>
      </c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</row>
    <row r="4" spans="1:20" ht="17" thickBot="1" x14ac:dyDescent="0.25">
      <c r="A4" s="130"/>
      <c r="B4" s="130"/>
      <c r="C4" s="222" t="s">
        <v>83</v>
      </c>
      <c r="D4" s="222"/>
      <c r="E4" s="222"/>
      <c r="F4" s="222"/>
      <c r="G4" s="222"/>
      <c r="H4" s="222"/>
      <c r="I4" s="224" t="s">
        <v>84</v>
      </c>
      <c r="J4" s="224"/>
      <c r="K4" s="224"/>
      <c r="L4" s="224"/>
      <c r="M4" s="224"/>
      <c r="N4" s="224"/>
      <c r="O4" s="222" t="s">
        <v>85</v>
      </c>
      <c r="P4" s="222"/>
      <c r="Q4" s="222"/>
      <c r="R4" s="222"/>
      <c r="S4" s="222"/>
      <c r="T4" s="222"/>
    </row>
    <row r="5" spans="1:20" ht="35" thickBot="1" x14ac:dyDescent="0.25">
      <c r="A5" s="115" t="s">
        <v>123</v>
      </c>
      <c r="B5" s="115" t="s">
        <v>44</v>
      </c>
      <c r="C5" s="115" t="s">
        <v>177</v>
      </c>
      <c r="D5" s="174" t="s">
        <v>193</v>
      </c>
      <c r="E5" s="174" t="s">
        <v>194</v>
      </c>
      <c r="F5" s="115" t="s">
        <v>55</v>
      </c>
      <c r="G5" s="115" t="s">
        <v>72</v>
      </c>
      <c r="H5" s="115" t="s">
        <v>57</v>
      </c>
      <c r="I5" s="115" t="s">
        <v>177</v>
      </c>
      <c r="J5" s="174" t="s">
        <v>193</v>
      </c>
      <c r="K5" s="174" t="s">
        <v>194</v>
      </c>
      <c r="L5" s="115" t="s">
        <v>55</v>
      </c>
      <c r="M5" s="115" t="s">
        <v>72</v>
      </c>
      <c r="N5" s="115" t="s">
        <v>57</v>
      </c>
      <c r="O5" s="115" t="s">
        <v>177</v>
      </c>
      <c r="P5" s="174" t="s">
        <v>193</v>
      </c>
      <c r="Q5" s="174" t="s">
        <v>194</v>
      </c>
      <c r="R5" s="115" t="s">
        <v>55</v>
      </c>
      <c r="S5" s="115" t="s">
        <v>72</v>
      </c>
      <c r="T5" s="115" t="s">
        <v>57</v>
      </c>
    </row>
    <row r="6" spans="1:20" x14ac:dyDescent="0.2">
      <c r="A6" s="214" t="s">
        <v>73</v>
      </c>
      <c r="B6" s="167">
        <v>1</v>
      </c>
      <c r="C6" s="173">
        <f>F6/H6</f>
        <v>0</v>
      </c>
      <c r="D6" s="173" t="s">
        <v>360</v>
      </c>
      <c r="E6" s="173" t="s">
        <v>361</v>
      </c>
      <c r="F6" s="204">
        <v>0</v>
      </c>
      <c r="G6" s="204">
        <v>3.7266670000000002E-2</v>
      </c>
      <c r="H6" s="205">
        <v>0.96273330000000001</v>
      </c>
      <c r="I6" s="190">
        <f t="shared" ref="I6:I10" si="0">L6/N6</f>
        <v>0</v>
      </c>
      <c r="J6" s="190" t="s">
        <v>411</v>
      </c>
      <c r="K6" s="190" t="s">
        <v>412</v>
      </c>
      <c r="L6" s="204">
        <v>0</v>
      </c>
      <c r="M6" s="204">
        <v>3.7266670000000002E-2</v>
      </c>
      <c r="N6" s="205">
        <v>0.96273330000000001</v>
      </c>
      <c r="O6" s="176">
        <f t="shared" ref="O6:O10" si="1">R6/T6</f>
        <v>0</v>
      </c>
      <c r="P6" s="176" t="s">
        <v>449</v>
      </c>
      <c r="Q6" s="176" t="s">
        <v>450</v>
      </c>
      <c r="R6" s="204">
        <v>0</v>
      </c>
      <c r="S6" s="204">
        <v>9.3666670000000004E-3</v>
      </c>
      <c r="T6" s="205">
        <v>0.99063330000000005</v>
      </c>
    </row>
    <row r="7" spans="1:20" x14ac:dyDescent="0.2">
      <c r="A7" s="214"/>
      <c r="B7" s="167">
        <v>2</v>
      </c>
      <c r="C7" s="173">
        <f t="shared" ref="C7:C9" si="2">F7/H7</f>
        <v>0</v>
      </c>
      <c r="D7" s="173" t="s">
        <v>360</v>
      </c>
      <c r="E7" s="173" t="s">
        <v>362</v>
      </c>
      <c r="F7" s="204">
        <v>0</v>
      </c>
      <c r="G7" s="204">
        <v>8.6999999999999994E-3</v>
      </c>
      <c r="H7" s="205">
        <v>0.99129999999999996</v>
      </c>
      <c r="I7" s="190">
        <f t="shared" si="0"/>
        <v>0</v>
      </c>
      <c r="J7" s="190" t="s">
        <v>411</v>
      </c>
      <c r="K7" s="190" t="s">
        <v>413</v>
      </c>
      <c r="L7" s="204">
        <v>0</v>
      </c>
      <c r="M7" s="204">
        <v>8.6999999999999994E-3</v>
      </c>
      <c r="N7" s="205">
        <v>0.99129999999999996</v>
      </c>
      <c r="O7" s="176">
        <f t="shared" si="1"/>
        <v>0</v>
      </c>
      <c r="P7" s="176" t="s">
        <v>449</v>
      </c>
      <c r="Q7" s="176" t="s">
        <v>451</v>
      </c>
      <c r="R7" s="204">
        <v>0</v>
      </c>
      <c r="S7" s="204">
        <v>8.6999999999999994E-3</v>
      </c>
      <c r="T7" s="205">
        <v>0.99129999999999996</v>
      </c>
    </row>
    <row r="8" spans="1:20" x14ac:dyDescent="0.2">
      <c r="A8" s="214"/>
      <c r="B8" s="167">
        <v>3</v>
      </c>
      <c r="C8" s="173">
        <f t="shared" si="2"/>
        <v>0</v>
      </c>
      <c r="D8" s="173" t="s">
        <v>360</v>
      </c>
      <c r="E8" s="173" t="s">
        <v>363</v>
      </c>
      <c r="F8" s="204">
        <v>0</v>
      </c>
      <c r="G8" s="204">
        <v>8.5333330000000006E-3</v>
      </c>
      <c r="H8" s="205">
        <v>0.99146670000000003</v>
      </c>
      <c r="I8" s="190">
        <f t="shared" si="0"/>
        <v>0</v>
      </c>
      <c r="J8" s="190" t="s">
        <v>411</v>
      </c>
      <c r="K8" s="190" t="s">
        <v>414</v>
      </c>
      <c r="L8" s="204">
        <v>0</v>
      </c>
      <c r="M8" s="204">
        <v>8.5333330000000006E-3</v>
      </c>
      <c r="N8" s="205">
        <v>0.99146670000000003</v>
      </c>
      <c r="O8" s="176">
        <f t="shared" si="1"/>
        <v>0</v>
      </c>
      <c r="P8" s="176" t="s">
        <v>449</v>
      </c>
      <c r="Q8" s="176" t="s">
        <v>452</v>
      </c>
      <c r="R8" s="204">
        <v>0</v>
      </c>
      <c r="S8" s="204">
        <v>8.5333330000000006E-3</v>
      </c>
      <c r="T8" s="205">
        <v>0.99146670000000003</v>
      </c>
    </row>
    <row r="9" spans="1:20" x14ac:dyDescent="0.2">
      <c r="A9" s="214"/>
      <c r="B9" s="167">
        <v>4</v>
      </c>
      <c r="C9" s="173">
        <f t="shared" si="2"/>
        <v>0</v>
      </c>
      <c r="D9" s="173" t="s">
        <v>360</v>
      </c>
      <c r="E9" s="173" t="s">
        <v>364</v>
      </c>
      <c r="F9" s="204">
        <v>0</v>
      </c>
      <c r="G9" s="204">
        <v>9.7000000000000003E-3</v>
      </c>
      <c r="H9" s="205">
        <v>0.99029999999999996</v>
      </c>
      <c r="I9" s="190">
        <f t="shared" si="0"/>
        <v>0</v>
      </c>
      <c r="J9" s="190" t="s">
        <v>411</v>
      </c>
      <c r="K9" s="190" t="s">
        <v>415</v>
      </c>
      <c r="L9" s="204">
        <v>0</v>
      </c>
      <c r="M9" s="204">
        <v>9.7000000000000003E-3</v>
      </c>
      <c r="N9" s="205">
        <v>0.99029999999999996</v>
      </c>
      <c r="O9" s="176">
        <f t="shared" si="1"/>
        <v>0</v>
      </c>
      <c r="P9" s="176" t="s">
        <v>449</v>
      </c>
      <c r="Q9" s="176" t="s">
        <v>453</v>
      </c>
      <c r="R9" s="204">
        <v>0</v>
      </c>
      <c r="S9" s="204">
        <v>9.7000000000000003E-3</v>
      </c>
      <c r="T9" s="205">
        <v>0.99029999999999996</v>
      </c>
    </row>
    <row r="10" spans="1:20" x14ac:dyDescent="0.2">
      <c r="A10" s="214"/>
      <c r="B10" s="167">
        <v>5</v>
      </c>
      <c r="C10" s="173" t="s">
        <v>24</v>
      </c>
      <c r="D10" s="173" t="s">
        <v>360</v>
      </c>
      <c r="E10" s="173" t="s">
        <v>365</v>
      </c>
      <c r="F10" s="194" t="s">
        <v>24</v>
      </c>
      <c r="G10" s="194" t="s">
        <v>24</v>
      </c>
      <c r="H10" s="194" t="s">
        <v>24</v>
      </c>
      <c r="I10" s="170">
        <f t="shared" si="0"/>
        <v>0</v>
      </c>
      <c r="J10" s="170" t="s">
        <v>411</v>
      </c>
      <c r="K10" s="170" t="s">
        <v>416</v>
      </c>
      <c r="L10" s="204">
        <v>0</v>
      </c>
      <c r="M10" s="204">
        <v>9.3333329999999992E-3</v>
      </c>
      <c r="N10" s="205">
        <v>0.99066670000000001</v>
      </c>
      <c r="O10" s="176" t="e">
        <f t="shared" si="1"/>
        <v>#VALUE!</v>
      </c>
      <c r="P10" s="176" t="s">
        <v>449</v>
      </c>
      <c r="Q10" s="176" t="s">
        <v>454</v>
      </c>
      <c r="R10" s="194" t="s">
        <v>24</v>
      </c>
      <c r="S10" s="194" t="s">
        <v>24</v>
      </c>
      <c r="T10" s="194" t="s">
        <v>24</v>
      </c>
    </row>
    <row r="11" spans="1:20" x14ac:dyDescent="0.2">
      <c r="A11" s="130"/>
      <c r="B11" s="167"/>
      <c r="C11" s="173"/>
      <c r="D11" s="173"/>
      <c r="E11" s="173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</row>
    <row r="12" spans="1:20" x14ac:dyDescent="0.2">
      <c r="A12" s="214" t="s">
        <v>74</v>
      </c>
      <c r="B12" s="167">
        <v>1</v>
      </c>
      <c r="C12" s="173">
        <f t="shared" ref="C12:C22" si="3">F12/H12</f>
        <v>8.6185217239370555</v>
      </c>
      <c r="D12" s="173" t="s">
        <v>360</v>
      </c>
      <c r="E12" s="173" t="s">
        <v>366</v>
      </c>
      <c r="F12" s="204">
        <v>0.6762667</v>
      </c>
      <c r="G12" s="204">
        <v>0.2452667</v>
      </c>
      <c r="H12" s="204">
        <v>7.8466670000000002E-2</v>
      </c>
      <c r="I12" s="191" t="e">
        <f t="shared" ref="I12:I16" si="4">L12/N12</f>
        <v>#DIV/0!</v>
      </c>
      <c r="J12" s="191" t="s">
        <v>411</v>
      </c>
      <c r="K12" s="191" t="s">
        <v>417</v>
      </c>
      <c r="L12" s="204">
        <v>0.60706669999999996</v>
      </c>
      <c r="M12" s="204">
        <v>0.39293329999999999</v>
      </c>
      <c r="N12" s="204">
        <v>0</v>
      </c>
      <c r="O12" s="176">
        <f t="shared" ref="O12:O16" si="5">R12/T12</f>
        <v>8.6185217239370555</v>
      </c>
      <c r="P12" s="176" t="s">
        <v>449</v>
      </c>
      <c r="Q12" s="176" t="s">
        <v>455</v>
      </c>
      <c r="R12" s="204">
        <v>0.6762667</v>
      </c>
      <c r="S12" s="204">
        <v>0.2452667</v>
      </c>
      <c r="T12" s="204">
        <v>7.8466670000000002E-2</v>
      </c>
    </row>
    <row r="13" spans="1:20" x14ac:dyDescent="0.2">
      <c r="A13" s="214"/>
      <c r="B13" s="167">
        <v>2</v>
      </c>
      <c r="C13" s="173">
        <f t="shared" si="3"/>
        <v>0.253789100290229</v>
      </c>
      <c r="D13" s="173" t="s">
        <v>360</v>
      </c>
      <c r="E13" s="173" t="s">
        <v>367</v>
      </c>
      <c r="F13" s="204">
        <v>0.15740000000000001</v>
      </c>
      <c r="G13" s="204">
        <v>0.22239999999999999</v>
      </c>
      <c r="H13" s="204">
        <v>0.62019999999999997</v>
      </c>
      <c r="I13" s="190">
        <f t="shared" si="4"/>
        <v>0.52658327984595632</v>
      </c>
      <c r="J13" s="190" t="s">
        <v>411</v>
      </c>
      <c r="K13" s="190" t="s">
        <v>418</v>
      </c>
      <c r="L13" s="204">
        <v>0.32816669999999998</v>
      </c>
      <c r="M13" s="204">
        <v>4.8633330000000002E-2</v>
      </c>
      <c r="N13" s="204">
        <v>0.62319999999999998</v>
      </c>
      <c r="O13" s="176">
        <f t="shared" si="5"/>
        <v>0.53925853974421234</v>
      </c>
      <c r="P13" s="176" t="s">
        <v>449</v>
      </c>
      <c r="Q13" s="176" t="s">
        <v>456</v>
      </c>
      <c r="R13" s="204">
        <v>0.33310000000000001</v>
      </c>
      <c r="S13" s="204">
        <v>4.9200000000000001E-2</v>
      </c>
      <c r="T13" s="204">
        <v>0.61770000000000003</v>
      </c>
    </row>
    <row r="14" spans="1:20" x14ac:dyDescent="0.2">
      <c r="A14" s="214"/>
      <c r="B14" s="167">
        <v>3</v>
      </c>
      <c r="C14" s="173">
        <f t="shared" si="3"/>
        <v>0.60766346076879363</v>
      </c>
      <c r="D14" s="173" t="s">
        <v>360</v>
      </c>
      <c r="E14" s="173" t="s">
        <v>368</v>
      </c>
      <c r="F14" s="204">
        <v>0.3029</v>
      </c>
      <c r="G14" s="204">
        <v>0.19863330000000001</v>
      </c>
      <c r="H14" s="204">
        <v>0.49846669999999998</v>
      </c>
      <c r="I14" s="190">
        <f t="shared" si="4"/>
        <v>0.61868854306506949</v>
      </c>
      <c r="J14" s="190" t="s">
        <v>411</v>
      </c>
      <c r="K14" s="190" t="s">
        <v>419</v>
      </c>
      <c r="L14" s="204">
        <v>0.30633329999999998</v>
      </c>
      <c r="M14" s="204">
        <v>0.1985333</v>
      </c>
      <c r="N14" s="204">
        <v>0.4951333</v>
      </c>
      <c r="O14" s="176">
        <f t="shared" si="5"/>
        <v>0.12065501229464341</v>
      </c>
      <c r="P14" s="176" t="s">
        <v>449</v>
      </c>
      <c r="Q14" s="176" t="s">
        <v>457</v>
      </c>
      <c r="R14" s="204">
        <v>0.1061</v>
      </c>
      <c r="S14" s="204">
        <v>1.4533330000000001E-2</v>
      </c>
      <c r="T14" s="204">
        <v>0.87936669999999995</v>
      </c>
    </row>
    <row r="15" spans="1:20" x14ac:dyDescent="0.2">
      <c r="A15" s="214"/>
      <c r="B15" s="167">
        <v>4</v>
      </c>
      <c r="C15" s="173">
        <f t="shared" si="3"/>
        <v>0.11902770353922666</v>
      </c>
      <c r="D15" s="173" t="s">
        <v>360</v>
      </c>
      <c r="E15" s="173" t="s">
        <v>369</v>
      </c>
      <c r="F15" s="204">
        <v>8.0633330000000003E-2</v>
      </c>
      <c r="G15" s="204">
        <v>0.24193329999999999</v>
      </c>
      <c r="H15" s="204">
        <v>0.67743330000000002</v>
      </c>
      <c r="I15" s="190">
        <f t="shared" si="4"/>
        <v>0.11918292405638926</v>
      </c>
      <c r="J15" s="190" t="s">
        <v>411</v>
      </c>
      <c r="K15" s="190" t="s">
        <v>420</v>
      </c>
      <c r="L15" s="204">
        <v>0.1048333</v>
      </c>
      <c r="M15" s="204">
        <v>1.5566669999999999E-2</v>
      </c>
      <c r="N15" s="204">
        <v>0.87960000000000005</v>
      </c>
      <c r="O15" s="176">
        <f t="shared" si="5"/>
        <v>0.10660312982998454</v>
      </c>
      <c r="P15" s="176" t="s">
        <v>449</v>
      </c>
      <c r="Q15" s="176" t="s">
        <v>458</v>
      </c>
      <c r="R15" s="204">
        <v>8.2766670000000001E-2</v>
      </c>
      <c r="S15" s="204">
        <v>0.14083329999999999</v>
      </c>
      <c r="T15" s="204">
        <v>0.77639999999999998</v>
      </c>
    </row>
    <row r="16" spans="1:20" x14ac:dyDescent="0.2">
      <c r="A16" s="214"/>
      <c r="B16" s="167">
        <v>5</v>
      </c>
      <c r="C16" s="173">
        <f t="shared" si="3"/>
        <v>0</v>
      </c>
      <c r="D16" s="173" t="s">
        <v>360</v>
      </c>
      <c r="E16" s="173" t="s">
        <v>370</v>
      </c>
      <c r="F16" s="204">
        <v>0</v>
      </c>
      <c r="G16" s="204">
        <v>3.6733330000000002E-2</v>
      </c>
      <c r="H16" s="205">
        <v>0.96326670000000003</v>
      </c>
      <c r="I16" s="190">
        <f t="shared" si="4"/>
        <v>0</v>
      </c>
      <c r="J16" s="190" t="s">
        <v>411</v>
      </c>
      <c r="K16" s="190" t="s">
        <v>421</v>
      </c>
      <c r="L16" s="204">
        <v>0</v>
      </c>
      <c r="M16" s="204">
        <v>9.2266669999999995E-2</v>
      </c>
      <c r="N16" s="204">
        <v>0.90773329999999997</v>
      </c>
      <c r="O16" s="176">
        <f t="shared" si="5"/>
        <v>0.10294618966903056</v>
      </c>
      <c r="P16" s="176" t="s">
        <v>449</v>
      </c>
      <c r="Q16" s="176" t="s">
        <v>459</v>
      </c>
      <c r="R16" s="204">
        <v>8.0600000000000005E-2</v>
      </c>
      <c r="S16" s="204">
        <v>0.1364667</v>
      </c>
      <c r="T16" s="204">
        <v>0.78293330000000005</v>
      </c>
    </row>
    <row r="17" spans="1:20" ht="17" thickBot="1" x14ac:dyDescent="0.25">
      <c r="A17" s="138"/>
      <c r="B17" s="115"/>
      <c r="C17" s="175"/>
      <c r="D17" s="175"/>
      <c r="E17" s="175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</row>
    <row r="18" spans="1:20" x14ac:dyDescent="0.2">
      <c r="A18" s="214" t="s">
        <v>75</v>
      </c>
      <c r="B18" s="167">
        <v>1</v>
      </c>
      <c r="C18" s="173">
        <f t="shared" si="3"/>
        <v>0</v>
      </c>
      <c r="D18" s="173" t="s">
        <v>371</v>
      </c>
      <c r="E18" s="173" t="s">
        <v>372</v>
      </c>
      <c r="F18" s="204">
        <v>0</v>
      </c>
      <c r="G18" s="204">
        <v>8.1333329999999995E-3</v>
      </c>
      <c r="H18" s="205">
        <v>0.99186669999999999</v>
      </c>
      <c r="I18" s="190">
        <f t="shared" ref="I18:I22" si="6">L18/N18</f>
        <v>0</v>
      </c>
      <c r="J18" s="190" t="s">
        <v>422</v>
      </c>
      <c r="K18" s="190" t="s">
        <v>423</v>
      </c>
      <c r="L18" s="204">
        <v>0</v>
      </c>
      <c r="M18" s="204">
        <v>8.2333330000000007E-3</v>
      </c>
      <c r="N18" s="205">
        <v>0.9917667</v>
      </c>
      <c r="O18" s="176">
        <f t="shared" ref="O18:O21" si="7">R18/T18</f>
        <v>0</v>
      </c>
      <c r="P18" s="176" t="s">
        <v>460</v>
      </c>
      <c r="Q18" s="176" t="s">
        <v>461</v>
      </c>
      <c r="R18" s="204">
        <v>0</v>
      </c>
      <c r="S18" s="204">
        <v>8.1333329999999995E-3</v>
      </c>
      <c r="T18" s="205">
        <v>0.99186669999999999</v>
      </c>
    </row>
    <row r="19" spans="1:20" x14ac:dyDescent="0.2">
      <c r="A19" s="214"/>
      <c r="B19" s="167">
        <v>2</v>
      </c>
      <c r="C19" s="173">
        <f t="shared" si="3"/>
        <v>0</v>
      </c>
      <c r="D19" s="173" t="s">
        <v>371</v>
      </c>
      <c r="E19" s="173" t="s">
        <v>373</v>
      </c>
      <c r="F19" s="204">
        <v>0</v>
      </c>
      <c r="G19" s="204">
        <v>8.2333330000000007E-3</v>
      </c>
      <c r="H19" s="205">
        <v>0.9917667</v>
      </c>
      <c r="I19" s="190">
        <f t="shared" si="6"/>
        <v>0</v>
      </c>
      <c r="J19" s="190" t="s">
        <v>422</v>
      </c>
      <c r="K19" s="190" t="s">
        <v>424</v>
      </c>
      <c r="L19" s="204">
        <v>0</v>
      </c>
      <c r="M19" s="204">
        <v>8.9333329999999999E-3</v>
      </c>
      <c r="N19" s="205">
        <v>0.99106669999999997</v>
      </c>
      <c r="O19" s="176">
        <f t="shared" si="7"/>
        <v>0</v>
      </c>
      <c r="P19" s="176" t="s">
        <v>460</v>
      </c>
      <c r="Q19" s="176" t="s">
        <v>462</v>
      </c>
      <c r="R19" s="204">
        <v>0</v>
      </c>
      <c r="S19" s="204">
        <v>8.2333330000000007E-3</v>
      </c>
      <c r="T19" s="205">
        <v>0.9917667</v>
      </c>
    </row>
    <row r="20" spans="1:20" x14ac:dyDescent="0.2">
      <c r="A20" s="214"/>
      <c r="B20" s="167">
        <v>3</v>
      </c>
      <c r="C20" s="173">
        <f t="shared" si="3"/>
        <v>0</v>
      </c>
      <c r="D20" s="173" t="s">
        <v>371</v>
      </c>
      <c r="E20" s="173" t="s">
        <v>374</v>
      </c>
      <c r="F20" s="204">
        <v>0</v>
      </c>
      <c r="G20" s="204">
        <v>8.9333329999999999E-3</v>
      </c>
      <c r="H20" s="205">
        <v>0.99106669999999997</v>
      </c>
      <c r="I20" s="190">
        <f t="shared" si="6"/>
        <v>0</v>
      </c>
      <c r="J20" s="190" t="s">
        <v>422</v>
      </c>
      <c r="K20" s="190" t="s">
        <v>425</v>
      </c>
      <c r="L20" s="204">
        <v>0</v>
      </c>
      <c r="M20" s="204">
        <v>9.2999999999999992E-3</v>
      </c>
      <c r="N20" s="205">
        <v>0.99070000000000003</v>
      </c>
      <c r="O20" s="176">
        <f t="shared" si="7"/>
        <v>0</v>
      </c>
      <c r="P20" s="176" t="s">
        <v>460</v>
      </c>
      <c r="Q20" s="176" t="s">
        <v>463</v>
      </c>
      <c r="R20" s="204">
        <v>0</v>
      </c>
      <c r="S20" s="204">
        <v>8.9333329999999999E-3</v>
      </c>
      <c r="T20" s="205">
        <v>0.99106669999999997</v>
      </c>
    </row>
    <row r="21" spans="1:20" x14ac:dyDescent="0.2">
      <c r="A21" s="214"/>
      <c r="B21" s="167">
        <v>4</v>
      </c>
      <c r="C21" s="173">
        <f t="shared" si="3"/>
        <v>0</v>
      </c>
      <c r="D21" s="173" t="s">
        <v>371</v>
      </c>
      <c r="E21" s="173" t="s">
        <v>375</v>
      </c>
      <c r="F21" s="204">
        <v>0</v>
      </c>
      <c r="G21" s="204">
        <v>9.2999999999999992E-3</v>
      </c>
      <c r="H21" s="205">
        <v>0.99070000000000003</v>
      </c>
      <c r="I21" s="190">
        <f t="shared" si="6"/>
        <v>0</v>
      </c>
      <c r="J21" s="190" t="s">
        <v>422</v>
      </c>
      <c r="K21" s="190" t="s">
        <v>426</v>
      </c>
      <c r="L21" s="204">
        <v>0</v>
      </c>
      <c r="M21" s="204">
        <v>9.0666670000000005E-3</v>
      </c>
      <c r="N21" s="205">
        <v>0.99093330000000002</v>
      </c>
      <c r="O21" s="176">
        <f t="shared" si="7"/>
        <v>0</v>
      </c>
      <c r="P21" s="176" t="s">
        <v>460</v>
      </c>
      <c r="Q21" s="176" t="s">
        <v>464</v>
      </c>
      <c r="R21" s="204">
        <v>0</v>
      </c>
      <c r="S21" s="204">
        <v>9.2999999999999992E-3</v>
      </c>
      <c r="T21" s="205">
        <v>0.99070000000000003</v>
      </c>
    </row>
    <row r="22" spans="1:20" x14ac:dyDescent="0.2">
      <c r="A22" s="214"/>
      <c r="B22" s="167">
        <v>5</v>
      </c>
      <c r="C22" s="173" t="e">
        <f t="shared" si="3"/>
        <v>#VALUE!</v>
      </c>
      <c r="D22" s="173" t="s">
        <v>371</v>
      </c>
      <c r="E22" s="173" t="s">
        <v>365</v>
      </c>
      <c r="F22" s="194" t="s">
        <v>24</v>
      </c>
      <c r="G22" s="194" t="s">
        <v>24</v>
      </c>
      <c r="H22" s="194" t="s">
        <v>24</v>
      </c>
      <c r="I22" s="170">
        <f t="shared" si="6"/>
        <v>0</v>
      </c>
      <c r="J22" s="170" t="s">
        <v>422</v>
      </c>
      <c r="K22" s="170" t="s">
        <v>427</v>
      </c>
      <c r="L22" s="204">
        <v>0</v>
      </c>
      <c r="M22" s="204">
        <v>8.0999999999999996E-3</v>
      </c>
      <c r="N22" s="205">
        <v>0.9919</v>
      </c>
      <c r="O22" s="176"/>
      <c r="P22" s="176" t="s">
        <v>460</v>
      </c>
      <c r="Q22" s="176" t="s">
        <v>465</v>
      </c>
      <c r="R22" s="194" t="s">
        <v>24</v>
      </c>
      <c r="S22" s="194" t="s">
        <v>24</v>
      </c>
      <c r="T22" s="194" t="s">
        <v>24</v>
      </c>
    </row>
    <row r="23" spans="1:20" x14ac:dyDescent="0.2">
      <c r="A23" s="130"/>
      <c r="B23" s="167"/>
      <c r="C23" s="173"/>
      <c r="D23" s="173"/>
      <c r="E23" s="173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</row>
    <row r="24" spans="1:20" x14ac:dyDescent="0.2">
      <c r="A24" s="214" t="s">
        <v>76</v>
      </c>
      <c r="B24" s="167">
        <v>1</v>
      </c>
      <c r="C24" s="173">
        <f t="shared" ref="C24:C28" si="8">F24/H24</f>
        <v>0.19347031563126255</v>
      </c>
      <c r="D24" s="173" t="s">
        <v>371</v>
      </c>
      <c r="E24" s="173" t="s">
        <v>376</v>
      </c>
      <c r="F24" s="204">
        <v>0.15446670000000001</v>
      </c>
      <c r="G24" s="204">
        <v>4.7133330000000001E-2</v>
      </c>
      <c r="H24" s="204">
        <v>0.7984</v>
      </c>
      <c r="I24" s="190">
        <f t="shared" ref="I24:I28" si="9">L24/N24</f>
        <v>0.21572556606477503</v>
      </c>
      <c r="J24" s="190" t="s">
        <v>422</v>
      </c>
      <c r="K24" s="190" t="s">
        <v>428</v>
      </c>
      <c r="L24" s="204">
        <v>0.15053330000000001</v>
      </c>
      <c r="M24" s="204">
        <v>0.15166669999999999</v>
      </c>
      <c r="N24" s="204">
        <v>0.69779999999999998</v>
      </c>
      <c r="O24" s="176">
        <f t="shared" ref="O24:O28" si="10">R24/T24</f>
        <v>0.19347031563126255</v>
      </c>
      <c r="P24" s="176" t="s">
        <v>460</v>
      </c>
      <c r="Q24" s="176" t="s">
        <v>466</v>
      </c>
      <c r="R24" s="204">
        <v>0.15446670000000001</v>
      </c>
      <c r="S24" s="204">
        <v>4.7133330000000001E-2</v>
      </c>
      <c r="T24" s="204">
        <v>0.7984</v>
      </c>
    </row>
    <row r="25" spans="1:20" x14ac:dyDescent="0.2">
      <c r="A25" s="214"/>
      <c r="B25" s="167">
        <v>2</v>
      </c>
      <c r="C25" s="173">
        <f t="shared" si="8"/>
        <v>0.12375450202500562</v>
      </c>
      <c r="D25" s="173" t="s">
        <v>371</v>
      </c>
      <c r="E25" s="173" t="s">
        <v>377</v>
      </c>
      <c r="F25" s="204">
        <v>0.1084667</v>
      </c>
      <c r="G25" s="204">
        <v>1.5066670000000001E-2</v>
      </c>
      <c r="H25" s="204">
        <v>0.87646670000000004</v>
      </c>
      <c r="I25" s="190">
        <f t="shared" si="9"/>
        <v>0.11487214583755531</v>
      </c>
      <c r="J25" s="190" t="s">
        <v>422</v>
      </c>
      <c r="K25" s="190" t="s">
        <v>429</v>
      </c>
      <c r="L25" s="204">
        <v>7.8166669999999994E-2</v>
      </c>
      <c r="M25" s="204">
        <v>0.24136669999999999</v>
      </c>
      <c r="N25" s="204">
        <v>0.68046669999999998</v>
      </c>
      <c r="O25" s="176">
        <f t="shared" si="10"/>
        <v>1.004119460519848</v>
      </c>
      <c r="P25" s="176" t="s">
        <v>460</v>
      </c>
      <c r="Q25" s="176" t="s">
        <v>467</v>
      </c>
      <c r="R25" s="204">
        <v>0.47126669999999998</v>
      </c>
      <c r="S25" s="204">
        <v>5.9400000000000001E-2</v>
      </c>
      <c r="T25" s="204">
        <v>0.46933330000000001</v>
      </c>
    </row>
    <row r="26" spans="1:20" x14ac:dyDescent="0.2">
      <c r="A26" s="214"/>
      <c r="B26" s="167">
        <v>3</v>
      </c>
      <c r="C26" s="173">
        <f t="shared" si="8"/>
        <v>6.9673671716029839E-2</v>
      </c>
      <c r="D26" s="173" t="s">
        <v>371</v>
      </c>
      <c r="E26" s="173" t="s">
        <v>378</v>
      </c>
      <c r="F26" s="204">
        <v>6.163333E-2</v>
      </c>
      <c r="G26" s="204">
        <v>5.3766670000000003E-2</v>
      </c>
      <c r="H26" s="204">
        <v>0.88460000000000005</v>
      </c>
      <c r="I26" s="190">
        <f t="shared" si="9"/>
        <v>0</v>
      </c>
      <c r="J26" s="190" t="s">
        <v>422</v>
      </c>
      <c r="K26" s="190" t="s">
        <v>430</v>
      </c>
      <c r="L26" s="204">
        <v>0</v>
      </c>
      <c r="M26" s="204">
        <v>0.14349999999999999</v>
      </c>
      <c r="N26" s="204">
        <v>0.85650000000000004</v>
      </c>
      <c r="O26" s="176">
        <f t="shared" si="10"/>
        <v>0.12440975340478878</v>
      </c>
      <c r="P26" s="176" t="s">
        <v>460</v>
      </c>
      <c r="Q26" s="176" t="s">
        <v>468</v>
      </c>
      <c r="R26" s="204">
        <v>0.1089</v>
      </c>
      <c r="S26" s="204">
        <v>1.576667E-2</v>
      </c>
      <c r="T26" s="204">
        <v>0.87533329999999998</v>
      </c>
    </row>
    <row r="27" spans="1:20" x14ac:dyDescent="0.2">
      <c r="A27" s="214"/>
      <c r="B27" s="167">
        <v>4</v>
      </c>
      <c r="C27" s="173">
        <f t="shared" si="8"/>
        <v>0</v>
      </c>
      <c r="D27" s="173" t="s">
        <v>371</v>
      </c>
      <c r="E27" s="173" t="s">
        <v>379</v>
      </c>
      <c r="F27" s="204">
        <v>0</v>
      </c>
      <c r="G27" s="204">
        <v>3.8333329999999999E-2</v>
      </c>
      <c r="H27" s="205">
        <v>0.96166669999999999</v>
      </c>
      <c r="I27" s="190">
        <f t="shared" si="9"/>
        <v>6.8757270293607051E-2</v>
      </c>
      <c r="J27" s="190" t="s">
        <v>422</v>
      </c>
      <c r="K27" s="190" t="s">
        <v>431</v>
      </c>
      <c r="L27" s="204">
        <v>6.1100000000000002E-2</v>
      </c>
      <c r="M27" s="204">
        <v>5.0266669999999999E-2</v>
      </c>
      <c r="N27" s="204">
        <v>0.88863329999999996</v>
      </c>
      <c r="O27" s="176">
        <f t="shared" si="10"/>
        <v>0</v>
      </c>
      <c r="P27" s="176" t="s">
        <v>460</v>
      </c>
      <c r="Q27" s="176" t="s">
        <v>469</v>
      </c>
      <c r="R27" s="204">
        <v>0</v>
      </c>
      <c r="S27" s="204">
        <v>0.14313329999999999</v>
      </c>
      <c r="T27" s="204">
        <v>0.85686669999999998</v>
      </c>
    </row>
    <row r="28" spans="1:20" x14ac:dyDescent="0.2">
      <c r="A28" s="214"/>
      <c r="B28" s="167">
        <v>5</v>
      </c>
      <c r="C28" s="173">
        <f t="shared" si="8"/>
        <v>7.0993005006135854E-2</v>
      </c>
      <c r="D28" s="173" t="s">
        <v>371</v>
      </c>
      <c r="E28" s="173" t="s">
        <v>380</v>
      </c>
      <c r="F28" s="204">
        <v>6.2866669999999999E-2</v>
      </c>
      <c r="G28" s="204">
        <v>5.16E-2</v>
      </c>
      <c r="H28" s="204">
        <v>0.88553329999999997</v>
      </c>
      <c r="I28" s="190">
        <f t="shared" si="9"/>
        <v>0</v>
      </c>
      <c r="J28" s="190" t="s">
        <v>422</v>
      </c>
      <c r="K28" s="190" t="s">
        <v>432</v>
      </c>
      <c r="L28" s="204">
        <v>0</v>
      </c>
      <c r="M28" s="204">
        <v>9.1666669999999999E-3</v>
      </c>
      <c r="N28" s="205">
        <v>0.99083330000000003</v>
      </c>
      <c r="O28" s="176">
        <f t="shared" si="10"/>
        <v>0.12586243567753003</v>
      </c>
      <c r="P28" s="176" t="s">
        <v>460</v>
      </c>
      <c r="Q28" s="176" t="s">
        <v>470</v>
      </c>
      <c r="R28" s="204">
        <v>0.1100667</v>
      </c>
      <c r="S28" s="204">
        <v>1.543333E-2</v>
      </c>
      <c r="T28" s="204">
        <v>0.87450000000000006</v>
      </c>
    </row>
    <row r="29" spans="1:20" ht="17" thickBot="1" x14ac:dyDescent="0.25">
      <c r="A29" s="138"/>
      <c r="B29" s="115"/>
      <c r="C29" s="175"/>
      <c r="D29" s="175"/>
      <c r="E29" s="175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</row>
    <row r="30" spans="1:20" x14ac:dyDescent="0.2">
      <c r="A30" s="214" t="s">
        <v>77</v>
      </c>
      <c r="B30" s="167">
        <v>1</v>
      </c>
      <c r="C30" s="173">
        <f t="shared" ref="C30:C34" si="11">F30/H30</f>
        <v>0.12558533349519715</v>
      </c>
      <c r="D30" s="173" t="s">
        <v>381</v>
      </c>
      <c r="E30" s="173" t="s">
        <v>382</v>
      </c>
      <c r="F30" s="204">
        <v>0.1099667</v>
      </c>
      <c r="G30" s="204">
        <v>1.44E-2</v>
      </c>
      <c r="H30" s="204">
        <v>0.87563329999999995</v>
      </c>
      <c r="I30" s="190">
        <f t="shared" ref="I30:I34" si="12">L30/N30</f>
        <v>0</v>
      </c>
      <c r="J30" s="190" t="s">
        <v>422</v>
      </c>
      <c r="K30" s="190" t="s">
        <v>423</v>
      </c>
      <c r="L30" s="204">
        <v>0</v>
      </c>
      <c r="M30" s="204">
        <v>8.8333330000000005E-3</v>
      </c>
      <c r="N30" s="205">
        <v>0.99116669999999996</v>
      </c>
      <c r="O30" s="176">
        <f t="shared" ref="O30:O34" si="13">R30/T30</f>
        <v>0.12558533349519715</v>
      </c>
      <c r="P30" s="176" t="s">
        <v>471</v>
      </c>
      <c r="Q30" s="176" t="s">
        <v>472</v>
      </c>
      <c r="R30" s="204">
        <v>0.1099667</v>
      </c>
      <c r="S30" s="204">
        <v>1.44E-2</v>
      </c>
      <c r="T30" s="204">
        <v>0.87563329999999995</v>
      </c>
    </row>
    <row r="31" spans="1:20" x14ac:dyDescent="0.2">
      <c r="A31" s="214"/>
      <c r="B31" s="167">
        <v>2</v>
      </c>
      <c r="C31" s="173">
        <f t="shared" si="11"/>
        <v>0.35962928859655641</v>
      </c>
      <c r="D31" s="173" t="s">
        <v>381</v>
      </c>
      <c r="E31" s="173" t="s">
        <v>383</v>
      </c>
      <c r="F31" s="204">
        <v>0.26</v>
      </c>
      <c r="G31" s="204">
        <v>1.7033329999999999E-2</v>
      </c>
      <c r="H31" s="204">
        <v>0.72296669999999996</v>
      </c>
      <c r="I31" s="190">
        <f t="shared" si="12"/>
        <v>0</v>
      </c>
      <c r="J31" s="190" t="s">
        <v>422</v>
      </c>
      <c r="K31" s="190" t="s">
        <v>424</v>
      </c>
      <c r="L31" s="204">
        <v>0</v>
      </c>
      <c r="M31" s="204">
        <v>3.8366669999999999E-2</v>
      </c>
      <c r="N31" s="205">
        <v>0.96163330000000002</v>
      </c>
      <c r="O31" s="176">
        <f t="shared" si="13"/>
        <v>0.35962928859655641</v>
      </c>
      <c r="P31" s="176" t="s">
        <v>471</v>
      </c>
      <c r="Q31" s="176" t="s">
        <v>473</v>
      </c>
      <c r="R31" s="204">
        <v>0.26</v>
      </c>
      <c r="S31" s="204">
        <v>1.7033329999999999E-2</v>
      </c>
      <c r="T31" s="204">
        <v>0.72296669999999996</v>
      </c>
    </row>
    <row r="32" spans="1:20" x14ac:dyDescent="0.2">
      <c r="A32" s="214"/>
      <c r="B32" s="167">
        <v>3</v>
      </c>
      <c r="C32" s="173">
        <f t="shared" si="11"/>
        <v>0</v>
      </c>
      <c r="D32" s="173" t="s">
        <v>381</v>
      </c>
      <c r="E32" s="173" t="s">
        <v>384</v>
      </c>
      <c r="F32" s="204">
        <v>0</v>
      </c>
      <c r="G32" s="204">
        <v>8.8333330000000005E-3</v>
      </c>
      <c r="H32" s="205">
        <v>0.99116669999999996</v>
      </c>
      <c r="I32" s="190">
        <f t="shared" si="12"/>
        <v>0</v>
      </c>
      <c r="J32" s="190" t="s">
        <v>422</v>
      </c>
      <c r="K32" s="190" t="s">
        <v>425</v>
      </c>
      <c r="L32" s="204">
        <v>0</v>
      </c>
      <c r="M32" s="204">
        <v>3.56E-2</v>
      </c>
      <c r="N32" s="205">
        <v>0.96440000000000003</v>
      </c>
      <c r="O32" s="176">
        <f t="shared" si="13"/>
        <v>0</v>
      </c>
      <c r="P32" s="176" t="s">
        <v>471</v>
      </c>
      <c r="Q32" s="176" t="s">
        <v>474</v>
      </c>
      <c r="R32" s="204">
        <v>0</v>
      </c>
      <c r="S32" s="204">
        <v>0.14063329999999999</v>
      </c>
      <c r="T32" s="204">
        <v>0.85936670000000004</v>
      </c>
    </row>
    <row r="33" spans="1:20" x14ac:dyDescent="0.2">
      <c r="A33" s="214"/>
      <c r="B33" s="167">
        <v>4</v>
      </c>
      <c r="C33" s="173">
        <f t="shared" si="11"/>
        <v>0.12217482983886957</v>
      </c>
      <c r="D33" s="173" t="s">
        <v>381</v>
      </c>
      <c r="E33" s="173" t="s">
        <v>385</v>
      </c>
      <c r="F33" s="204">
        <v>0.1070333</v>
      </c>
      <c r="G33" s="204">
        <v>1.6899999999999998E-2</v>
      </c>
      <c r="H33" s="204">
        <v>0.87606669999999998</v>
      </c>
      <c r="I33" s="190">
        <f t="shared" si="12"/>
        <v>0</v>
      </c>
      <c r="J33" s="190" t="s">
        <v>422</v>
      </c>
      <c r="K33" s="190" t="s">
        <v>426</v>
      </c>
      <c r="L33" s="204">
        <v>0</v>
      </c>
      <c r="M33" s="204">
        <v>8.566667E-3</v>
      </c>
      <c r="N33" s="205">
        <v>0.99143329999999996</v>
      </c>
      <c r="O33" s="176">
        <f t="shared" si="13"/>
        <v>0</v>
      </c>
      <c r="P33" s="176" t="s">
        <v>471</v>
      </c>
      <c r="Q33" s="176" t="s">
        <v>475</v>
      </c>
      <c r="R33" s="204">
        <v>0</v>
      </c>
      <c r="S33" s="204">
        <v>9.5999999999999992E-3</v>
      </c>
      <c r="T33" s="205">
        <v>0.99039999999999995</v>
      </c>
    </row>
    <row r="34" spans="1:20" x14ac:dyDescent="0.2">
      <c r="A34" s="214"/>
      <c r="B34" s="167">
        <v>5</v>
      </c>
      <c r="C34" s="173" t="e">
        <f t="shared" si="11"/>
        <v>#VALUE!</v>
      </c>
      <c r="D34" s="173" t="s">
        <v>381</v>
      </c>
      <c r="E34" s="173" t="s">
        <v>365</v>
      </c>
      <c r="F34" s="194" t="s">
        <v>24</v>
      </c>
      <c r="G34" s="194" t="s">
        <v>24</v>
      </c>
      <c r="H34" s="194" t="s">
        <v>24</v>
      </c>
      <c r="I34" s="170">
        <f t="shared" si="12"/>
        <v>0</v>
      </c>
      <c r="J34" s="170" t="s">
        <v>422</v>
      </c>
      <c r="K34" s="170" t="s">
        <v>444</v>
      </c>
      <c r="L34" s="204">
        <v>0</v>
      </c>
      <c r="M34" s="204">
        <v>8.4666670000000006E-3</v>
      </c>
      <c r="N34" s="205">
        <v>0.99153329999999995</v>
      </c>
      <c r="O34" s="176">
        <f t="shared" si="13"/>
        <v>0</v>
      </c>
      <c r="P34" s="176" t="s">
        <v>471</v>
      </c>
      <c r="Q34" s="176" t="s">
        <v>476</v>
      </c>
      <c r="R34" s="204">
        <v>0</v>
      </c>
      <c r="S34" s="204">
        <v>8.6999999999999994E-3</v>
      </c>
      <c r="T34" s="205">
        <v>0.99129999999999996</v>
      </c>
    </row>
    <row r="35" spans="1:20" x14ac:dyDescent="0.2">
      <c r="A35" s="130"/>
      <c r="B35" s="167"/>
      <c r="C35" s="173"/>
      <c r="D35" s="173"/>
      <c r="E35" s="173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</row>
    <row r="36" spans="1:20" x14ac:dyDescent="0.2">
      <c r="A36" s="214" t="s">
        <v>78</v>
      </c>
      <c r="B36" s="167">
        <v>1</v>
      </c>
      <c r="C36" s="173">
        <f t="shared" ref="C36:C40" si="14">F36/H36</f>
        <v>0.61493440968718471</v>
      </c>
      <c r="D36" s="173" t="s">
        <v>381</v>
      </c>
      <c r="E36" s="173" t="s">
        <v>386</v>
      </c>
      <c r="F36" s="204">
        <v>0.30470000000000003</v>
      </c>
      <c r="G36" s="204">
        <v>0.19980000000000001</v>
      </c>
      <c r="H36" s="204">
        <v>0.4955</v>
      </c>
      <c r="I36" s="190">
        <f t="shared" ref="I36:I40" si="15">L36/N36</f>
        <v>0</v>
      </c>
      <c r="J36" s="190" t="s">
        <v>422</v>
      </c>
      <c r="K36" s="190" t="s">
        <v>428</v>
      </c>
      <c r="L36" s="204">
        <v>0</v>
      </c>
      <c r="M36" s="204">
        <v>0.14516670000000001</v>
      </c>
      <c r="N36" s="204">
        <v>0.85483330000000002</v>
      </c>
      <c r="O36" s="176">
        <f t="shared" ref="O36:O40" si="16">R36/T36</f>
        <v>0</v>
      </c>
      <c r="P36" s="176" t="s">
        <v>471</v>
      </c>
      <c r="Q36" s="176" t="s">
        <v>477</v>
      </c>
      <c r="R36" s="204">
        <v>0</v>
      </c>
      <c r="S36" s="204">
        <v>0.57516670000000003</v>
      </c>
      <c r="T36" s="204">
        <v>0.42483330000000002</v>
      </c>
    </row>
    <row r="37" spans="1:20" x14ac:dyDescent="0.2">
      <c r="A37" s="214"/>
      <c r="B37" s="167">
        <v>2</v>
      </c>
      <c r="C37" s="173">
        <f t="shared" si="14"/>
        <v>1.0110885160543823</v>
      </c>
      <c r="D37" s="173" t="s">
        <v>381</v>
      </c>
      <c r="E37" s="173" t="s">
        <v>387</v>
      </c>
      <c r="F37" s="204">
        <v>0.34953329999999999</v>
      </c>
      <c r="G37" s="204">
        <v>0.3047667</v>
      </c>
      <c r="H37" s="204">
        <v>0.34570000000000001</v>
      </c>
      <c r="I37" s="190">
        <f t="shared" si="15"/>
        <v>0</v>
      </c>
      <c r="J37" s="190" t="s">
        <v>422</v>
      </c>
      <c r="K37" s="190" t="s">
        <v>429</v>
      </c>
      <c r="L37" s="204">
        <v>0</v>
      </c>
      <c r="M37" s="204">
        <v>0.39443329999999999</v>
      </c>
      <c r="N37" s="204">
        <v>0.60556670000000001</v>
      </c>
      <c r="O37" s="176" t="e">
        <f t="shared" si="16"/>
        <v>#DIV/0!</v>
      </c>
      <c r="P37" s="176" t="s">
        <v>471</v>
      </c>
      <c r="Q37" s="176" t="s">
        <v>478</v>
      </c>
      <c r="R37" s="204">
        <v>0.4201667</v>
      </c>
      <c r="S37" s="204">
        <v>0.5798333</v>
      </c>
      <c r="T37" s="204">
        <v>0</v>
      </c>
    </row>
    <row r="38" spans="1:20" x14ac:dyDescent="0.2">
      <c r="A38" s="214"/>
      <c r="B38" s="167">
        <v>3</v>
      </c>
      <c r="C38" s="173">
        <f t="shared" si="14"/>
        <v>5.1496241441602031</v>
      </c>
      <c r="D38" s="173" t="s">
        <v>381</v>
      </c>
      <c r="E38" s="173" t="s">
        <v>388</v>
      </c>
      <c r="F38" s="204">
        <v>0.79733330000000002</v>
      </c>
      <c r="G38" s="204">
        <v>4.783333E-2</v>
      </c>
      <c r="H38" s="204">
        <v>0.15483330000000001</v>
      </c>
      <c r="I38" s="190">
        <f t="shared" si="15"/>
        <v>0</v>
      </c>
      <c r="J38" s="190" t="s">
        <v>422</v>
      </c>
      <c r="K38" s="190" t="s">
        <v>430</v>
      </c>
      <c r="L38" s="204">
        <v>0</v>
      </c>
      <c r="M38" s="204">
        <v>0.57750000000000001</v>
      </c>
      <c r="N38" s="204">
        <v>0.42249999999999999</v>
      </c>
      <c r="O38" s="176" t="e">
        <f t="shared" si="16"/>
        <v>#DIV/0!</v>
      </c>
      <c r="P38" s="176" t="s">
        <v>471</v>
      </c>
      <c r="Q38" s="176" t="s">
        <v>479</v>
      </c>
      <c r="R38" s="204">
        <v>0.42263329999999999</v>
      </c>
      <c r="S38" s="204">
        <v>0.57736670000000001</v>
      </c>
      <c r="T38" s="204">
        <v>0</v>
      </c>
    </row>
    <row r="39" spans="1:20" x14ac:dyDescent="0.2">
      <c r="A39" s="214"/>
      <c r="B39" s="167">
        <v>4</v>
      </c>
      <c r="C39" s="173">
        <f t="shared" si="14"/>
        <v>0.10510071988423833</v>
      </c>
      <c r="D39" s="173" t="s">
        <v>381</v>
      </c>
      <c r="E39" s="173" t="s">
        <v>389</v>
      </c>
      <c r="F39" s="204">
        <v>8.1733330000000007E-2</v>
      </c>
      <c r="G39" s="204">
        <v>0.1406</v>
      </c>
      <c r="H39" s="204">
        <v>0.77766670000000004</v>
      </c>
      <c r="I39" s="190">
        <f t="shared" si="15"/>
        <v>0</v>
      </c>
      <c r="J39" s="190" t="s">
        <v>422</v>
      </c>
      <c r="K39" s="190" t="s">
        <v>445</v>
      </c>
      <c r="L39" s="204">
        <v>0</v>
      </c>
      <c r="M39" s="204">
        <v>8.1333329999999995E-3</v>
      </c>
      <c r="N39" s="205">
        <v>0.99186669999999999</v>
      </c>
      <c r="O39" s="176" t="e">
        <f t="shared" si="16"/>
        <v>#DIV/0!</v>
      </c>
      <c r="P39" s="176" t="s">
        <v>471</v>
      </c>
      <c r="Q39" s="176" t="s">
        <v>480</v>
      </c>
      <c r="R39" s="204">
        <v>4.5933330000000001E-2</v>
      </c>
      <c r="S39" s="205">
        <v>0.95406670000000005</v>
      </c>
      <c r="T39" s="204">
        <v>0</v>
      </c>
    </row>
    <row r="40" spans="1:20" x14ac:dyDescent="0.2">
      <c r="A40" s="214"/>
      <c r="B40" s="167">
        <v>5</v>
      </c>
      <c r="C40" s="173">
        <f t="shared" si="14"/>
        <v>0</v>
      </c>
      <c r="D40" s="173" t="s">
        <v>381</v>
      </c>
      <c r="E40" s="173" t="s">
        <v>390</v>
      </c>
      <c r="F40" s="204">
        <v>0</v>
      </c>
      <c r="G40" s="204">
        <v>0.58336670000000002</v>
      </c>
      <c r="H40" s="204">
        <v>0.41663329999999998</v>
      </c>
      <c r="I40" s="190">
        <f t="shared" si="15"/>
        <v>0</v>
      </c>
      <c r="J40" s="190" t="s">
        <v>422</v>
      </c>
      <c r="K40" s="190" t="s">
        <v>432</v>
      </c>
      <c r="L40" s="204">
        <v>0</v>
      </c>
      <c r="M40" s="204">
        <v>3.7266670000000002E-2</v>
      </c>
      <c r="N40" s="205">
        <v>0.96273330000000001</v>
      </c>
      <c r="O40" s="176">
        <f t="shared" si="16"/>
        <v>0</v>
      </c>
      <c r="P40" s="176" t="s">
        <v>471</v>
      </c>
      <c r="Q40" s="176" t="s">
        <v>481</v>
      </c>
      <c r="R40" s="204">
        <v>0</v>
      </c>
      <c r="S40" s="204">
        <v>0.14743329999999999</v>
      </c>
      <c r="T40" s="204">
        <v>0.85256670000000001</v>
      </c>
    </row>
    <row r="41" spans="1:20" ht="17" thickBot="1" x14ac:dyDescent="0.25">
      <c r="A41" s="138"/>
      <c r="B41" s="115"/>
      <c r="C41" s="175"/>
      <c r="D41" s="175"/>
      <c r="E41" s="175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</row>
    <row r="42" spans="1:20" x14ac:dyDescent="0.2">
      <c r="A42" s="214" t="s">
        <v>79</v>
      </c>
      <c r="B42" s="167">
        <v>1</v>
      </c>
      <c r="C42" s="173">
        <f t="shared" ref="C42:C46" si="17">F42/H42</f>
        <v>0</v>
      </c>
      <c r="D42" s="173" t="s">
        <v>391</v>
      </c>
      <c r="E42" s="173" t="s">
        <v>392</v>
      </c>
      <c r="F42" s="204">
        <v>0</v>
      </c>
      <c r="G42" s="204">
        <v>8.9333329999999999E-3</v>
      </c>
      <c r="H42" s="205">
        <v>0.99106669999999997</v>
      </c>
      <c r="I42" s="190">
        <f t="shared" ref="I42:I46" si="18">L42/N42</f>
        <v>0</v>
      </c>
      <c r="J42" s="190" t="s">
        <v>433</v>
      </c>
      <c r="K42" s="190" t="s">
        <v>434</v>
      </c>
      <c r="L42" s="204">
        <v>0</v>
      </c>
      <c r="M42" s="204">
        <v>0.14616670000000001</v>
      </c>
      <c r="N42" s="204">
        <v>0.85383330000000002</v>
      </c>
      <c r="O42" s="176">
        <f t="shared" ref="O42:O46" si="19">R42/T42</f>
        <v>0</v>
      </c>
      <c r="P42" s="176" t="s">
        <v>482</v>
      </c>
      <c r="Q42" s="176" t="s">
        <v>483</v>
      </c>
      <c r="R42" s="204">
        <v>0</v>
      </c>
      <c r="S42" s="204">
        <v>8.1333329999999995E-3</v>
      </c>
      <c r="T42" s="205">
        <v>0.99186669999999999</v>
      </c>
    </row>
    <row r="43" spans="1:20" x14ac:dyDescent="0.2">
      <c r="A43" s="214"/>
      <c r="B43" s="167">
        <v>2</v>
      </c>
      <c r="C43" s="173">
        <f t="shared" si="17"/>
        <v>0</v>
      </c>
      <c r="D43" s="173" t="s">
        <v>391</v>
      </c>
      <c r="E43" s="173" t="s">
        <v>393</v>
      </c>
      <c r="F43" s="204">
        <v>0</v>
      </c>
      <c r="G43" s="204">
        <v>8.1333329999999995E-3</v>
      </c>
      <c r="H43" s="205">
        <v>0.99186669999999999</v>
      </c>
      <c r="I43" s="190">
        <f t="shared" si="18"/>
        <v>0</v>
      </c>
      <c r="J43" s="190" t="s">
        <v>433</v>
      </c>
      <c r="K43" s="190" t="s">
        <v>435</v>
      </c>
      <c r="L43" s="204">
        <v>0</v>
      </c>
      <c r="M43" s="204">
        <v>0.2946667</v>
      </c>
      <c r="N43" s="204">
        <v>0.70533330000000005</v>
      </c>
      <c r="O43" s="176">
        <f t="shared" si="19"/>
        <v>0</v>
      </c>
      <c r="P43" s="176" t="s">
        <v>482</v>
      </c>
      <c r="Q43" s="176" t="s">
        <v>484</v>
      </c>
      <c r="R43" s="204">
        <v>0</v>
      </c>
      <c r="S43" s="204">
        <v>0.14613329999999999</v>
      </c>
      <c r="T43" s="204">
        <v>0.85386669999999998</v>
      </c>
    </row>
    <row r="44" spans="1:20" x14ac:dyDescent="0.2">
      <c r="A44" s="214"/>
      <c r="B44" s="167">
        <v>3</v>
      </c>
      <c r="C44" s="173">
        <f t="shared" si="17"/>
        <v>0</v>
      </c>
      <c r="D44" s="173" t="s">
        <v>391</v>
      </c>
      <c r="E44" s="173" t="s">
        <v>394</v>
      </c>
      <c r="F44" s="204">
        <v>0</v>
      </c>
      <c r="G44" s="204">
        <v>9.4999999999999998E-3</v>
      </c>
      <c r="H44" s="205">
        <v>0.99050000000000005</v>
      </c>
      <c r="I44" s="190">
        <f t="shared" si="18"/>
        <v>0</v>
      </c>
      <c r="J44" s="190" t="s">
        <v>433</v>
      </c>
      <c r="K44" s="190" t="s">
        <v>436</v>
      </c>
      <c r="L44" s="204">
        <v>0</v>
      </c>
      <c r="M44" s="204">
        <v>9.1666669999999999E-3</v>
      </c>
      <c r="N44" s="205">
        <v>0.99083330000000003</v>
      </c>
      <c r="O44" s="176">
        <f t="shared" si="19"/>
        <v>0</v>
      </c>
      <c r="P44" s="176" t="s">
        <v>482</v>
      </c>
      <c r="Q44" s="176" t="s">
        <v>485</v>
      </c>
      <c r="R44" s="204">
        <v>0</v>
      </c>
      <c r="S44" s="204">
        <v>3.7033330000000003E-2</v>
      </c>
      <c r="T44" s="205">
        <v>0.96296669999999995</v>
      </c>
    </row>
    <row r="45" spans="1:20" x14ac:dyDescent="0.2">
      <c r="A45" s="214"/>
      <c r="B45" s="167">
        <v>4</v>
      </c>
      <c r="C45" s="173">
        <f t="shared" si="17"/>
        <v>0</v>
      </c>
      <c r="D45" s="173" t="s">
        <v>391</v>
      </c>
      <c r="E45" s="173" t="s">
        <v>395</v>
      </c>
      <c r="F45" s="204">
        <v>0</v>
      </c>
      <c r="G45" s="204">
        <v>7.9333330000000007E-3</v>
      </c>
      <c r="H45" s="205">
        <v>0.99206669999999997</v>
      </c>
      <c r="I45" s="190">
        <f t="shared" si="18"/>
        <v>0</v>
      </c>
      <c r="J45" s="190" t="s">
        <v>433</v>
      </c>
      <c r="K45" s="190" t="s">
        <v>437</v>
      </c>
      <c r="L45" s="204">
        <v>0</v>
      </c>
      <c r="M45" s="204">
        <v>9.1333330000000004E-3</v>
      </c>
      <c r="N45" s="205">
        <v>0.99086669999999999</v>
      </c>
      <c r="O45" s="176">
        <f t="shared" si="19"/>
        <v>0</v>
      </c>
      <c r="P45" s="176" t="s">
        <v>482</v>
      </c>
      <c r="Q45" s="176" t="s">
        <v>486</v>
      </c>
      <c r="R45" s="204">
        <v>0</v>
      </c>
      <c r="S45" s="204">
        <v>8.8333330000000005E-3</v>
      </c>
      <c r="T45" s="205">
        <v>0.99116669999999996</v>
      </c>
    </row>
    <row r="46" spans="1:20" x14ac:dyDescent="0.2">
      <c r="A46" s="214"/>
      <c r="B46" s="167">
        <v>5</v>
      </c>
      <c r="C46" s="173" t="e">
        <f t="shared" si="17"/>
        <v>#VALUE!</v>
      </c>
      <c r="D46" s="173" t="s">
        <v>391</v>
      </c>
      <c r="E46" s="173" t="s">
        <v>396</v>
      </c>
      <c r="F46" s="194" t="s">
        <v>24</v>
      </c>
      <c r="G46" s="194" t="s">
        <v>24</v>
      </c>
      <c r="H46" s="194" t="s">
        <v>24</v>
      </c>
      <c r="I46" s="170">
        <f t="shared" si="18"/>
        <v>0</v>
      </c>
      <c r="J46" s="170" t="s">
        <v>433</v>
      </c>
      <c r="K46" s="170" t="s">
        <v>438</v>
      </c>
      <c r="L46" s="204">
        <v>0</v>
      </c>
      <c r="M46" s="204">
        <v>8.1666670000000007E-3</v>
      </c>
      <c r="N46" s="205">
        <v>0.99183330000000003</v>
      </c>
      <c r="O46" s="176" t="e">
        <f t="shared" si="19"/>
        <v>#VALUE!</v>
      </c>
      <c r="P46" s="176" t="s">
        <v>482</v>
      </c>
      <c r="Q46" s="176" t="s">
        <v>487</v>
      </c>
      <c r="R46" s="194" t="s">
        <v>24</v>
      </c>
      <c r="S46" s="194" t="s">
        <v>24</v>
      </c>
      <c r="T46" s="194" t="s">
        <v>24</v>
      </c>
    </row>
    <row r="47" spans="1:20" x14ac:dyDescent="0.2">
      <c r="A47" s="130"/>
      <c r="B47" s="167"/>
      <c r="C47" s="173"/>
      <c r="D47" s="173"/>
      <c r="E47" s="173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</row>
    <row r="48" spans="1:20" x14ac:dyDescent="0.2">
      <c r="A48" s="214" t="s">
        <v>80</v>
      </c>
      <c r="B48" s="167">
        <v>1</v>
      </c>
      <c r="C48" s="173">
        <f t="shared" ref="C48:C52" si="20">F48/H48</f>
        <v>0</v>
      </c>
      <c r="D48" s="173" t="s">
        <v>391</v>
      </c>
      <c r="E48" s="173" t="s">
        <v>397</v>
      </c>
      <c r="F48" s="204">
        <v>0</v>
      </c>
      <c r="G48" s="204">
        <v>0.58003329999999997</v>
      </c>
      <c r="H48" s="204">
        <v>0.41996670000000003</v>
      </c>
      <c r="I48" s="190" t="e">
        <f t="shared" ref="I48:I52" si="21">L48/N48</f>
        <v>#DIV/0!</v>
      </c>
      <c r="J48" s="190" t="s">
        <v>433</v>
      </c>
      <c r="K48" s="190" t="s">
        <v>439</v>
      </c>
      <c r="L48" s="204">
        <v>0</v>
      </c>
      <c r="M48" s="205">
        <v>1</v>
      </c>
      <c r="N48" s="204">
        <v>0</v>
      </c>
      <c r="O48" s="176">
        <f t="shared" ref="O48:O52" si="22">R48/T48</f>
        <v>0</v>
      </c>
      <c r="P48" s="176" t="s">
        <v>482</v>
      </c>
      <c r="Q48" s="176" t="s">
        <v>488</v>
      </c>
      <c r="R48" s="204">
        <v>0</v>
      </c>
      <c r="S48" s="204">
        <v>0.57613329999999996</v>
      </c>
      <c r="T48" s="204">
        <v>0.42386669999999999</v>
      </c>
    </row>
    <row r="49" spans="1:20" x14ac:dyDescent="0.2">
      <c r="A49" s="214"/>
      <c r="B49" s="167">
        <v>2</v>
      </c>
      <c r="C49" s="173">
        <f t="shared" si="20"/>
        <v>0</v>
      </c>
      <c r="D49" s="173" t="s">
        <v>391</v>
      </c>
      <c r="E49" s="173" t="s">
        <v>398</v>
      </c>
      <c r="F49" s="204">
        <v>0</v>
      </c>
      <c r="G49" s="204">
        <v>0.57613329999999996</v>
      </c>
      <c r="H49" s="204">
        <v>0.42386669999999999</v>
      </c>
      <c r="I49" s="190">
        <f t="shared" si="21"/>
        <v>0</v>
      </c>
      <c r="J49" s="190" t="s">
        <v>433</v>
      </c>
      <c r="K49" s="190" t="s">
        <v>440</v>
      </c>
      <c r="L49" s="204">
        <v>0</v>
      </c>
      <c r="M49" s="204">
        <v>0.57689999999999997</v>
      </c>
      <c r="N49" s="204">
        <v>0.42309999999999998</v>
      </c>
      <c r="O49" s="176">
        <f t="shared" si="22"/>
        <v>0</v>
      </c>
      <c r="P49" s="176" t="s">
        <v>482</v>
      </c>
      <c r="Q49" s="176" t="s">
        <v>489</v>
      </c>
      <c r="R49" s="204">
        <v>0</v>
      </c>
      <c r="S49" s="204">
        <v>0.58503329999999998</v>
      </c>
      <c r="T49" s="204">
        <v>0.41496670000000002</v>
      </c>
    </row>
    <row r="50" spans="1:20" x14ac:dyDescent="0.2">
      <c r="A50" s="214"/>
      <c r="B50" s="167">
        <v>3</v>
      </c>
      <c r="C50" s="173">
        <f t="shared" si="20"/>
        <v>0</v>
      </c>
      <c r="D50" s="173" t="s">
        <v>391</v>
      </c>
      <c r="E50" s="173" t="s">
        <v>399</v>
      </c>
      <c r="F50" s="204">
        <v>0</v>
      </c>
      <c r="G50" s="204">
        <v>0.21773329999999999</v>
      </c>
      <c r="H50" s="194">
        <v>0.78226669999999998</v>
      </c>
      <c r="I50" s="170">
        <f t="shared" si="21"/>
        <v>0</v>
      </c>
      <c r="J50" s="170" t="s">
        <v>433</v>
      </c>
      <c r="K50" s="170" t="s">
        <v>441</v>
      </c>
      <c r="L50" s="204">
        <v>0</v>
      </c>
      <c r="M50" s="204">
        <v>0.3884667</v>
      </c>
      <c r="N50" s="204">
        <v>0.61153329999999995</v>
      </c>
      <c r="O50" s="176">
        <f t="shared" si="22"/>
        <v>0</v>
      </c>
      <c r="P50" s="176" t="s">
        <v>482</v>
      </c>
      <c r="Q50" s="176" t="s">
        <v>490</v>
      </c>
      <c r="R50" s="204">
        <v>0</v>
      </c>
      <c r="S50" s="204">
        <v>0.21336669999999999</v>
      </c>
      <c r="T50" s="204">
        <v>0.78663329999999998</v>
      </c>
    </row>
    <row r="51" spans="1:20" x14ac:dyDescent="0.2">
      <c r="A51" s="214"/>
      <c r="B51" s="167">
        <v>4</v>
      </c>
      <c r="C51" s="173">
        <f t="shared" si="20"/>
        <v>0</v>
      </c>
      <c r="D51" s="173" t="s">
        <v>391</v>
      </c>
      <c r="E51" s="173" t="s">
        <v>400</v>
      </c>
      <c r="F51" s="204">
        <v>0</v>
      </c>
      <c r="G51" s="204">
        <v>3.6033330000000002E-2</v>
      </c>
      <c r="H51" s="205">
        <v>0.96396669999999995</v>
      </c>
      <c r="I51" s="190">
        <f t="shared" si="21"/>
        <v>0</v>
      </c>
      <c r="J51" s="190" t="s">
        <v>433</v>
      </c>
      <c r="K51" s="190" t="s">
        <v>442</v>
      </c>
      <c r="L51" s="204">
        <v>0</v>
      </c>
      <c r="M51" s="204">
        <v>0.1435333</v>
      </c>
      <c r="N51" s="204">
        <v>0.85646670000000003</v>
      </c>
      <c r="O51" s="176">
        <f t="shared" si="22"/>
        <v>0</v>
      </c>
      <c r="P51" s="176" t="s">
        <v>482</v>
      </c>
      <c r="Q51" s="176" t="s">
        <v>491</v>
      </c>
      <c r="R51" s="204">
        <v>0</v>
      </c>
      <c r="S51" s="204">
        <v>3.6733330000000002E-2</v>
      </c>
      <c r="T51" s="205">
        <v>0.96326670000000003</v>
      </c>
    </row>
    <row r="52" spans="1:20" x14ac:dyDescent="0.2">
      <c r="A52" s="214"/>
      <c r="B52" s="167">
        <v>5</v>
      </c>
      <c r="C52" s="173">
        <f t="shared" si="20"/>
        <v>0</v>
      </c>
      <c r="D52" s="173" t="s">
        <v>391</v>
      </c>
      <c r="E52" s="173" t="s">
        <v>401</v>
      </c>
      <c r="F52" s="204">
        <v>0</v>
      </c>
      <c r="G52" s="204">
        <v>8.3333330000000001E-3</v>
      </c>
      <c r="H52" s="205">
        <v>0.99166670000000001</v>
      </c>
      <c r="I52" s="190">
        <f t="shared" si="21"/>
        <v>0</v>
      </c>
      <c r="J52" s="190" t="s">
        <v>433</v>
      </c>
      <c r="K52" s="190" t="s">
        <v>443</v>
      </c>
      <c r="L52" s="204">
        <v>0</v>
      </c>
      <c r="M52" s="204">
        <v>8.633333E-3</v>
      </c>
      <c r="N52" s="205">
        <v>0.99136670000000005</v>
      </c>
      <c r="O52" s="176">
        <f t="shared" si="22"/>
        <v>0</v>
      </c>
      <c r="P52" s="176" t="s">
        <v>482</v>
      </c>
      <c r="Q52" s="176" t="s">
        <v>492</v>
      </c>
      <c r="R52" s="204">
        <v>0</v>
      </c>
      <c r="S52" s="204">
        <v>3.8433330000000002E-2</v>
      </c>
      <c r="T52" s="205">
        <v>0.9615667</v>
      </c>
    </row>
    <row r="53" spans="1:20" ht="17" thickBot="1" x14ac:dyDescent="0.25">
      <c r="A53" s="138"/>
      <c r="B53" s="115"/>
      <c r="C53" s="175"/>
      <c r="D53" s="175"/>
      <c r="E53" s="175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</row>
    <row r="54" spans="1:20" x14ac:dyDescent="0.2">
      <c r="A54" s="214" t="s">
        <v>81</v>
      </c>
      <c r="B54" s="167">
        <v>1</v>
      </c>
      <c r="C54" s="173">
        <f t="shared" ref="C54:C58" si="23">F54/H54</f>
        <v>0</v>
      </c>
      <c r="D54" s="173" t="s">
        <v>402</v>
      </c>
      <c r="E54" s="173" t="s">
        <v>403</v>
      </c>
      <c r="F54" s="192">
        <v>0</v>
      </c>
      <c r="G54" s="192">
        <v>9.3333329999999992E-3</v>
      </c>
      <c r="H54" s="193">
        <v>0.99066670000000001</v>
      </c>
      <c r="I54" s="190">
        <f t="shared" ref="I54:I64" si="24">L54/N54</f>
        <v>0</v>
      </c>
      <c r="J54" s="190" t="s">
        <v>446</v>
      </c>
      <c r="K54" s="190" t="s">
        <v>447</v>
      </c>
      <c r="L54" s="192">
        <v>0</v>
      </c>
      <c r="M54" s="192">
        <v>9.2999999999999992E-3</v>
      </c>
      <c r="N54" s="193">
        <v>0.99070000000000003</v>
      </c>
      <c r="O54" s="176">
        <f t="shared" ref="O54:O56" si="25">R54/T54</f>
        <v>0</v>
      </c>
      <c r="P54" s="176" t="s">
        <v>493</v>
      </c>
      <c r="Q54" s="176" t="s">
        <v>494</v>
      </c>
      <c r="R54" s="192">
        <v>0</v>
      </c>
      <c r="S54" s="192">
        <v>8.5000000000000006E-3</v>
      </c>
      <c r="T54" s="193">
        <v>0.99150000000000005</v>
      </c>
    </row>
    <row r="55" spans="1:20" x14ac:dyDescent="0.2">
      <c r="A55" s="214"/>
      <c r="B55" s="167">
        <v>2</v>
      </c>
      <c r="C55" s="173">
        <f t="shared" si="23"/>
        <v>0</v>
      </c>
      <c r="D55" s="173" t="s">
        <v>402</v>
      </c>
      <c r="E55" s="173" t="s">
        <v>404</v>
      </c>
      <c r="F55" s="192">
        <v>0</v>
      </c>
      <c r="G55" s="192">
        <v>8.5000000000000006E-3</v>
      </c>
      <c r="H55" s="193">
        <v>0.99150000000000005</v>
      </c>
      <c r="I55" s="190" t="e">
        <f t="shared" si="24"/>
        <v>#VALUE!</v>
      </c>
      <c r="J55" s="190" t="s">
        <v>446</v>
      </c>
      <c r="K55" s="190" t="s">
        <v>499</v>
      </c>
      <c r="L55" s="206" t="s">
        <v>24</v>
      </c>
      <c r="M55" s="206" t="s">
        <v>24</v>
      </c>
      <c r="N55" s="206" t="s">
        <v>24</v>
      </c>
      <c r="O55" s="170">
        <f t="shared" si="25"/>
        <v>0</v>
      </c>
      <c r="P55" s="170" t="s">
        <v>493</v>
      </c>
      <c r="Q55" s="170" t="s">
        <v>495</v>
      </c>
      <c r="R55" s="192">
        <v>0</v>
      </c>
      <c r="S55" s="192">
        <v>0.2208667</v>
      </c>
      <c r="T55" s="192">
        <v>0.77913330000000003</v>
      </c>
    </row>
    <row r="56" spans="1:20" x14ac:dyDescent="0.2">
      <c r="A56" s="214"/>
      <c r="B56" s="167">
        <v>3</v>
      </c>
      <c r="C56" s="173" t="e">
        <f t="shared" si="23"/>
        <v>#VALUE!</v>
      </c>
      <c r="D56" s="173" t="s">
        <v>402</v>
      </c>
      <c r="E56" s="173" t="s">
        <v>405</v>
      </c>
      <c r="F56" s="206" t="s">
        <v>24</v>
      </c>
      <c r="G56" s="206" t="s">
        <v>24</v>
      </c>
      <c r="H56" s="206" t="s">
        <v>24</v>
      </c>
      <c r="I56" s="173" t="e">
        <f t="shared" si="24"/>
        <v>#VALUE!</v>
      </c>
      <c r="J56" s="173" t="s">
        <v>446</v>
      </c>
      <c r="K56" s="173" t="s">
        <v>500</v>
      </c>
      <c r="L56" s="192" t="s">
        <v>24</v>
      </c>
      <c r="M56" s="192" t="s">
        <v>24</v>
      </c>
      <c r="N56" s="192" t="s">
        <v>24</v>
      </c>
      <c r="O56" s="176" t="e">
        <f t="shared" si="25"/>
        <v>#VALUE!</v>
      </c>
      <c r="P56" s="176" t="s">
        <v>493</v>
      </c>
      <c r="Q56" s="176" t="s">
        <v>503</v>
      </c>
      <c r="R56" s="194" t="s">
        <v>24</v>
      </c>
      <c r="S56" s="194" t="s">
        <v>24</v>
      </c>
      <c r="T56" s="194" t="s">
        <v>24</v>
      </c>
    </row>
    <row r="57" spans="1:20" x14ac:dyDescent="0.2">
      <c r="A57" s="214"/>
      <c r="B57" s="167">
        <v>4</v>
      </c>
      <c r="C57" s="173">
        <f t="shared" si="23"/>
        <v>0</v>
      </c>
      <c r="D57" s="173" t="s">
        <v>402</v>
      </c>
      <c r="E57" s="173" t="s">
        <v>406</v>
      </c>
      <c r="F57" s="192">
        <v>0</v>
      </c>
      <c r="G57" s="192">
        <v>3.7433330000000001E-2</v>
      </c>
      <c r="H57" s="193">
        <v>0.9625667</v>
      </c>
      <c r="I57" s="190">
        <f t="shared" si="24"/>
        <v>0</v>
      </c>
      <c r="J57" s="190" t="s">
        <v>446</v>
      </c>
      <c r="K57" s="190" t="s">
        <v>448</v>
      </c>
      <c r="L57" s="192">
        <v>0</v>
      </c>
      <c r="M57" s="192">
        <v>3.6066670000000002E-2</v>
      </c>
      <c r="N57" s="193">
        <v>0.96393329999999999</v>
      </c>
      <c r="O57" s="176">
        <f t="shared" ref="O57:O58" si="26">R57/T57</f>
        <v>0</v>
      </c>
      <c r="P57" s="176" t="s">
        <v>493</v>
      </c>
      <c r="Q57" s="176" t="s">
        <v>496</v>
      </c>
      <c r="R57" s="192">
        <v>0</v>
      </c>
      <c r="S57" s="192">
        <v>3.6866669999999997E-2</v>
      </c>
      <c r="T57" s="193">
        <v>0.96313329999999997</v>
      </c>
    </row>
    <row r="58" spans="1:20" x14ac:dyDescent="0.2">
      <c r="A58" s="214"/>
      <c r="B58" s="167">
        <v>5</v>
      </c>
      <c r="C58" s="173" t="e">
        <f t="shared" si="23"/>
        <v>#VALUE!</v>
      </c>
      <c r="D58" s="173" t="s">
        <v>402</v>
      </c>
      <c r="E58" s="173" t="s">
        <v>365</v>
      </c>
      <c r="F58" s="194" t="s">
        <v>24</v>
      </c>
      <c r="G58" s="194" t="s">
        <v>24</v>
      </c>
      <c r="H58" s="194" t="s">
        <v>24</v>
      </c>
      <c r="I58" s="170" t="e">
        <f t="shared" si="24"/>
        <v>#VALUE!</v>
      </c>
      <c r="J58" s="170" t="s">
        <v>446</v>
      </c>
      <c r="K58" s="170" t="s">
        <v>365</v>
      </c>
      <c r="L58" s="206" t="s">
        <v>24</v>
      </c>
      <c r="M58" s="206" t="s">
        <v>24</v>
      </c>
      <c r="N58" s="206" t="s">
        <v>24</v>
      </c>
      <c r="O58" s="170" t="e">
        <f t="shared" si="26"/>
        <v>#VALUE!</v>
      </c>
      <c r="P58" s="170" t="s">
        <v>493</v>
      </c>
      <c r="Q58" s="170" t="s">
        <v>365</v>
      </c>
      <c r="R58" s="194" t="s">
        <v>24</v>
      </c>
      <c r="S58" s="194" t="s">
        <v>24</v>
      </c>
      <c r="T58" s="194" t="s">
        <v>24</v>
      </c>
    </row>
    <row r="59" spans="1:20" x14ac:dyDescent="0.2">
      <c r="A59" s="130"/>
      <c r="B59" s="167"/>
      <c r="C59" s="173"/>
      <c r="D59" s="173"/>
      <c r="E59" s="173"/>
      <c r="F59" s="194"/>
      <c r="G59" s="194"/>
      <c r="H59" s="194"/>
      <c r="I59" s="170"/>
      <c r="J59" s="170"/>
      <c r="K59" s="170"/>
      <c r="L59" s="194"/>
      <c r="M59" s="194"/>
      <c r="N59" s="194"/>
      <c r="O59" s="170"/>
      <c r="P59" s="170"/>
      <c r="Q59" s="170"/>
      <c r="R59" s="194"/>
      <c r="S59" s="194"/>
      <c r="T59" s="194"/>
    </row>
    <row r="60" spans="1:20" x14ac:dyDescent="0.2">
      <c r="A60" s="214" t="s">
        <v>82</v>
      </c>
      <c r="B60" s="167">
        <v>1</v>
      </c>
      <c r="C60" s="173">
        <f t="shared" ref="C60:C64" si="27">F60/H60</f>
        <v>0</v>
      </c>
      <c r="D60" s="173" t="s">
        <v>402</v>
      </c>
      <c r="E60" s="173" t="s">
        <v>407</v>
      </c>
      <c r="F60" s="192">
        <v>0</v>
      </c>
      <c r="G60" s="192">
        <v>0.58726670000000003</v>
      </c>
      <c r="H60" s="192">
        <v>0.41273330000000003</v>
      </c>
      <c r="I60" s="190" t="e">
        <f t="shared" si="24"/>
        <v>#VALUE!</v>
      </c>
      <c r="J60" s="190" t="s">
        <v>446</v>
      </c>
      <c r="K60" s="190" t="s">
        <v>501</v>
      </c>
      <c r="L60" s="192" t="s">
        <v>24</v>
      </c>
      <c r="M60" s="192" t="s">
        <v>24</v>
      </c>
      <c r="N60" s="192" t="s">
        <v>24</v>
      </c>
      <c r="O60" s="176">
        <f t="shared" ref="O60:O64" si="28">R60/T60</f>
        <v>0</v>
      </c>
      <c r="P60" s="176" t="s">
        <v>493</v>
      </c>
      <c r="Q60" s="176" t="s">
        <v>497</v>
      </c>
      <c r="R60" s="192">
        <v>0</v>
      </c>
      <c r="S60" s="192">
        <v>0.57843330000000004</v>
      </c>
      <c r="T60" s="192">
        <v>0.42156670000000002</v>
      </c>
    </row>
    <row r="61" spans="1:20" x14ac:dyDescent="0.2">
      <c r="A61" s="214"/>
      <c r="B61" s="167">
        <v>2</v>
      </c>
      <c r="C61" s="173">
        <f t="shared" si="27"/>
        <v>0</v>
      </c>
      <c r="D61" s="173" t="s">
        <v>402</v>
      </c>
      <c r="E61" s="173" t="s">
        <v>404</v>
      </c>
      <c r="F61" s="192">
        <v>0</v>
      </c>
      <c r="G61" s="192">
        <v>9.2999999999999992E-3</v>
      </c>
      <c r="H61" s="193">
        <v>0.99070000000000003</v>
      </c>
      <c r="I61" s="190" t="e">
        <f t="shared" si="24"/>
        <v>#VALUE!</v>
      </c>
      <c r="J61" s="190" t="s">
        <v>446</v>
      </c>
      <c r="K61" s="190" t="s">
        <v>502</v>
      </c>
      <c r="L61" s="192" t="s">
        <v>24</v>
      </c>
      <c r="M61" s="192" t="s">
        <v>24</v>
      </c>
      <c r="N61" s="192" t="s">
        <v>24</v>
      </c>
      <c r="O61" s="176">
        <f t="shared" si="28"/>
        <v>0</v>
      </c>
      <c r="P61" s="176" t="s">
        <v>493</v>
      </c>
      <c r="Q61" s="176" t="s">
        <v>495</v>
      </c>
      <c r="R61" s="192">
        <v>0</v>
      </c>
      <c r="S61" s="192">
        <v>0.2089</v>
      </c>
      <c r="T61" s="192">
        <v>0.79110000000000003</v>
      </c>
    </row>
    <row r="62" spans="1:20" x14ac:dyDescent="0.2">
      <c r="A62" s="214"/>
      <c r="B62" s="167">
        <v>3</v>
      </c>
      <c r="C62" s="173" t="e">
        <f t="shared" si="27"/>
        <v>#VALUE!</v>
      </c>
      <c r="D62" s="173" t="s">
        <v>402</v>
      </c>
      <c r="E62" s="173" t="s">
        <v>408</v>
      </c>
      <c r="F62" s="194" t="s">
        <v>24</v>
      </c>
      <c r="G62" s="194" t="s">
        <v>24</v>
      </c>
      <c r="H62" s="194" t="s">
        <v>24</v>
      </c>
      <c r="I62" s="170" t="e">
        <f t="shared" si="24"/>
        <v>#VALUE!</v>
      </c>
      <c r="J62" s="170" t="s">
        <v>446</v>
      </c>
      <c r="K62" s="170" t="s">
        <v>500</v>
      </c>
      <c r="L62" s="194" t="s">
        <v>24</v>
      </c>
      <c r="M62" s="194" t="s">
        <v>24</v>
      </c>
      <c r="N62" s="194" t="s">
        <v>24</v>
      </c>
      <c r="O62" s="170" t="e">
        <f t="shared" si="28"/>
        <v>#VALUE!</v>
      </c>
      <c r="P62" s="170" t="s">
        <v>493</v>
      </c>
      <c r="Q62" s="170" t="s">
        <v>504</v>
      </c>
      <c r="R62" s="194" t="s">
        <v>24</v>
      </c>
      <c r="S62" s="194" t="s">
        <v>24</v>
      </c>
      <c r="T62" s="194" t="s">
        <v>24</v>
      </c>
    </row>
    <row r="63" spans="1:20" x14ac:dyDescent="0.2">
      <c r="A63" s="214"/>
      <c r="B63" s="167">
        <v>4</v>
      </c>
      <c r="C63" s="173">
        <f t="shared" si="27"/>
        <v>0</v>
      </c>
      <c r="D63" s="173" t="s">
        <v>402</v>
      </c>
      <c r="E63" s="173" t="s">
        <v>409</v>
      </c>
      <c r="F63" s="192">
        <v>0</v>
      </c>
      <c r="G63" s="192">
        <v>3.6066670000000002E-2</v>
      </c>
      <c r="H63" s="193">
        <v>0.96393329999999999</v>
      </c>
      <c r="I63" s="190">
        <f t="shared" si="24"/>
        <v>0</v>
      </c>
      <c r="J63" s="190" t="s">
        <v>446</v>
      </c>
      <c r="K63" s="190" t="s">
        <v>448</v>
      </c>
      <c r="L63" s="192">
        <v>0</v>
      </c>
      <c r="M63" s="192">
        <v>3.6066670000000002E-2</v>
      </c>
      <c r="N63" s="193">
        <v>0.96393329999999999</v>
      </c>
      <c r="O63" s="176">
        <f t="shared" si="28"/>
        <v>0</v>
      </c>
      <c r="P63" s="176" t="s">
        <v>493</v>
      </c>
      <c r="Q63" s="176" t="s">
        <v>498</v>
      </c>
      <c r="R63" s="192">
        <v>0</v>
      </c>
      <c r="S63" s="192">
        <v>3.61E-2</v>
      </c>
      <c r="T63" s="193">
        <v>0.96389999999999998</v>
      </c>
    </row>
    <row r="64" spans="1:20" ht="17" thickBot="1" x14ac:dyDescent="0.25">
      <c r="A64" s="213"/>
      <c r="B64" s="115">
        <v>5</v>
      </c>
      <c r="C64" s="175" t="e">
        <f t="shared" si="27"/>
        <v>#VALUE!</v>
      </c>
      <c r="D64" s="175" t="s">
        <v>402</v>
      </c>
      <c r="E64" s="175" t="s">
        <v>410</v>
      </c>
      <c r="F64" s="161" t="s">
        <v>24</v>
      </c>
      <c r="G64" s="161" t="s">
        <v>24</v>
      </c>
      <c r="H64" s="161" t="s">
        <v>24</v>
      </c>
      <c r="I64" s="164" t="e">
        <f t="shared" si="24"/>
        <v>#VALUE!</v>
      </c>
      <c r="J64" s="164" t="s">
        <v>446</v>
      </c>
      <c r="K64" s="164" t="s">
        <v>365</v>
      </c>
      <c r="L64" s="161" t="s">
        <v>24</v>
      </c>
      <c r="M64" s="161" t="s">
        <v>24</v>
      </c>
      <c r="N64" s="161" t="s">
        <v>24</v>
      </c>
      <c r="O64" s="164" t="e">
        <f t="shared" si="28"/>
        <v>#VALUE!</v>
      </c>
      <c r="P64" s="164" t="s">
        <v>493</v>
      </c>
      <c r="Q64" s="164" t="s">
        <v>365</v>
      </c>
      <c r="R64" s="161" t="s">
        <v>24</v>
      </c>
      <c r="S64" s="161" t="s">
        <v>24</v>
      </c>
      <c r="T64" s="161" t="s">
        <v>24</v>
      </c>
    </row>
  </sheetData>
  <mergeCells count="16">
    <mergeCell ref="A1:T1"/>
    <mergeCell ref="A42:A46"/>
    <mergeCell ref="A48:A52"/>
    <mergeCell ref="A54:A58"/>
    <mergeCell ref="A60:A64"/>
    <mergeCell ref="A12:A16"/>
    <mergeCell ref="A18:A22"/>
    <mergeCell ref="A24:A28"/>
    <mergeCell ref="A30:A34"/>
    <mergeCell ref="A36:A40"/>
    <mergeCell ref="A2:T2"/>
    <mergeCell ref="A6:A10"/>
    <mergeCell ref="C4:H4"/>
    <mergeCell ref="I4:N4"/>
    <mergeCell ref="O4:T4"/>
    <mergeCell ref="C3:T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3321-7F63-D14D-9462-C3081FB8F285}">
  <dimension ref="A1:Z45"/>
  <sheetViews>
    <sheetView showGridLines="0" zoomScale="110" zoomScaleNormal="11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G31" sqref="G31"/>
    </sheetView>
  </sheetViews>
  <sheetFormatPr baseColWidth="10" defaultRowHeight="16" x14ac:dyDescent="0.2"/>
  <cols>
    <col min="1" max="1" width="21.83203125" customWidth="1"/>
    <col min="2" max="2" width="14.1640625" customWidth="1"/>
    <col min="3" max="3" width="25" customWidth="1"/>
    <col min="4" max="4" width="25.83203125" customWidth="1"/>
    <col min="5" max="5" width="25.6640625" customWidth="1"/>
    <col min="6" max="6" width="25.5" customWidth="1"/>
    <col min="7" max="7" width="26.33203125" customWidth="1"/>
    <col min="8" max="8" width="25.33203125" customWidth="1"/>
    <col min="9" max="9" width="24" customWidth="1"/>
    <col min="11" max="11" width="16" customWidth="1"/>
    <col min="12" max="12" width="23.83203125" customWidth="1"/>
    <col min="13" max="13" width="24.6640625" customWidth="1"/>
    <col min="14" max="14" width="25.33203125" customWidth="1"/>
    <col min="15" max="16" width="25.83203125" customWidth="1"/>
    <col min="17" max="17" width="25.6640625" customWidth="1"/>
    <col min="18" max="18" width="17" customWidth="1"/>
    <col min="19" max="19" width="23.5" customWidth="1"/>
    <col min="20" max="20" width="25.6640625" customWidth="1"/>
    <col min="21" max="21" width="25.33203125" customWidth="1"/>
    <col min="22" max="22" width="24.33203125" customWidth="1"/>
    <col min="23" max="23" width="26" customWidth="1"/>
    <col min="24" max="25" width="25.1640625" customWidth="1"/>
  </cols>
  <sheetData>
    <row r="1" spans="1:26" x14ac:dyDescent="0.2">
      <c r="A1" s="130" t="s">
        <v>175</v>
      </c>
      <c r="B1" s="130"/>
      <c r="C1" s="130"/>
      <c r="D1" s="221"/>
      <c r="E1" s="221"/>
      <c r="F1" s="221"/>
      <c r="G1" s="221"/>
      <c r="H1" s="221"/>
      <c r="I1" s="221"/>
      <c r="L1" s="219"/>
      <c r="M1" s="219"/>
      <c r="N1" s="219"/>
      <c r="O1" s="219"/>
      <c r="P1" s="219"/>
      <c r="Q1" s="219"/>
      <c r="T1" s="219"/>
      <c r="U1" s="219"/>
      <c r="V1" s="219"/>
      <c r="W1" s="219"/>
      <c r="X1" s="219"/>
      <c r="Y1" s="219"/>
    </row>
    <row r="2" spans="1:26" x14ac:dyDescent="0.2">
      <c r="A2" s="130"/>
      <c r="B2" s="130"/>
      <c r="C2" s="130" t="s">
        <v>149</v>
      </c>
      <c r="D2" s="209"/>
      <c r="E2" s="209"/>
      <c r="F2" s="209"/>
      <c r="G2" s="209"/>
      <c r="H2" s="209"/>
      <c r="I2" s="209"/>
      <c r="J2" s="103"/>
      <c r="K2" s="116" t="s">
        <v>173</v>
      </c>
      <c r="L2" s="228"/>
      <c r="M2" s="228"/>
      <c r="N2" s="228"/>
      <c r="O2" s="228"/>
      <c r="P2" s="228"/>
      <c r="Q2" s="228"/>
      <c r="R2" s="103"/>
      <c r="S2" s="103" t="s">
        <v>11</v>
      </c>
      <c r="T2" s="228"/>
      <c r="U2" s="228"/>
      <c r="V2" s="228"/>
      <c r="W2" s="228"/>
      <c r="X2" s="228"/>
      <c r="Y2" s="228"/>
    </row>
    <row r="3" spans="1:26" ht="17" thickBot="1" x14ac:dyDescent="0.25">
      <c r="A3" s="131"/>
      <c r="B3" s="131"/>
      <c r="C3" s="132"/>
      <c r="D3" s="210" t="s">
        <v>96</v>
      </c>
      <c r="E3" s="211"/>
      <c r="F3" s="211"/>
      <c r="G3" s="210" t="s">
        <v>98</v>
      </c>
      <c r="H3" s="211"/>
      <c r="I3" s="211"/>
      <c r="J3" s="117"/>
      <c r="K3" s="117"/>
      <c r="L3" s="225" t="s">
        <v>96</v>
      </c>
      <c r="M3" s="226"/>
      <c r="N3" s="227"/>
      <c r="O3" s="225" t="s">
        <v>98</v>
      </c>
      <c r="P3" s="226"/>
      <c r="Q3" s="227"/>
      <c r="R3" s="117"/>
      <c r="S3" s="118"/>
      <c r="T3" s="225" t="s">
        <v>96</v>
      </c>
      <c r="U3" s="226"/>
      <c r="V3" s="227"/>
      <c r="W3" s="225" t="s">
        <v>98</v>
      </c>
      <c r="X3" s="226"/>
      <c r="Y3" s="227"/>
      <c r="Z3" s="11"/>
    </row>
    <row r="4" spans="1:26" ht="17" thickBot="1" x14ac:dyDescent="0.25">
      <c r="A4" s="130"/>
      <c r="B4" s="133"/>
      <c r="C4" s="134" t="s">
        <v>124</v>
      </c>
      <c r="D4" s="135">
        <v>0.4</v>
      </c>
      <c r="E4" s="136">
        <v>0.5</v>
      </c>
      <c r="F4" s="136">
        <v>0.6</v>
      </c>
      <c r="G4" s="135">
        <v>0.4</v>
      </c>
      <c r="H4" s="136">
        <v>0.5</v>
      </c>
      <c r="I4" s="136">
        <v>0.6</v>
      </c>
      <c r="J4" s="119"/>
      <c r="K4" s="119" t="s">
        <v>124</v>
      </c>
      <c r="L4" s="127">
        <v>0.4</v>
      </c>
      <c r="M4" s="128">
        <v>0.5</v>
      </c>
      <c r="N4" s="128">
        <v>0.6</v>
      </c>
      <c r="O4" s="127">
        <v>0.4</v>
      </c>
      <c r="P4" s="128">
        <v>0.5</v>
      </c>
      <c r="Q4" s="128">
        <v>0.6</v>
      </c>
      <c r="R4" s="119"/>
      <c r="S4" s="106" t="s">
        <v>124</v>
      </c>
      <c r="T4" s="127">
        <v>0.4</v>
      </c>
      <c r="U4" s="128">
        <v>0.5</v>
      </c>
      <c r="V4" s="128">
        <v>0.6</v>
      </c>
      <c r="W4" s="127">
        <v>0.4</v>
      </c>
      <c r="X4" s="128">
        <v>0.5</v>
      </c>
      <c r="Y4" s="129">
        <v>0.6</v>
      </c>
      <c r="Z4" s="11"/>
    </row>
    <row r="5" spans="1:26" ht="17" thickBot="1" x14ac:dyDescent="0.25">
      <c r="A5" s="131" t="s">
        <v>123</v>
      </c>
      <c r="B5" s="133" t="s">
        <v>44</v>
      </c>
      <c r="C5" s="133"/>
      <c r="D5" s="137"/>
      <c r="E5" s="138"/>
      <c r="F5" s="138"/>
      <c r="G5" s="137"/>
      <c r="H5" s="138"/>
      <c r="I5" s="138"/>
      <c r="J5" s="119"/>
      <c r="K5" s="119"/>
      <c r="L5" s="119"/>
      <c r="M5" s="105"/>
      <c r="N5" s="105"/>
      <c r="O5" s="119"/>
      <c r="P5" s="105"/>
      <c r="Q5" s="105"/>
      <c r="R5" s="119"/>
      <c r="S5" s="106"/>
      <c r="T5" s="119"/>
      <c r="U5" s="105"/>
      <c r="V5" s="105"/>
      <c r="W5" s="119"/>
      <c r="X5" s="105"/>
      <c r="Y5" s="107"/>
      <c r="Z5" s="11"/>
    </row>
    <row r="6" spans="1:26" x14ac:dyDescent="0.2">
      <c r="A6" s="130" t="s">
        <v>45</v>
      </c>
      <c r="B6" s="120"/>
      <c r="C6" s="139" t="s">
        <v>125</v>
      </c>
      <c r="D6" s="116"/>
      <c r="E6" s="103"/>
      <c r="F6" s="103"/>
      <c r="G6" s="116"/>
      <c r="H6" s="103"/>
      <c r="I6" s="103"/>
      <c r="J6" s="116"/>
      <c r="K6" s="116" t="s">
        <v>150</v>
      </c>
      <c r="L6" s="116"/>
      <c r="M6" s="103"/>
      <c r="N6" s="103"/>
      <c r="O6" s="116"/>
      <c r="P6" s="103"/>
      <c r="Q6" s="103"/>
      <c r="R6" s="116"/>
      <c r="S6" s="120" t="s">
        <v>150</v>
      </c>
      <c r="T6" s="116"/>
      <c r="U6" s="103"/>
      <c r="V6" s="103"/>
      <c r="W6" s="116"/>
      <c r="X6" s="103"/>
      <c r="Y6" s="121"/>
      <c r="Z6" s="11"/>
    </row>
    <row r="7" spans="1:26" x14ac:dyDescent="0.2">
      <c r="A7" s="130"/>
      <c r="B7" s="140">
        <v>1</v>
      </c>
      <c r="C7" s="139"/>
      <c r="D7" s="116" t="s">
        <v>126</v>
      </c>
      <c r="E7" s="103" t="s">
        <v>125</v>
      </c>
      <c r="F7" s="103" t="s">
        <v>127</v>
      </c>
      <c r="G7" s="116" t="s">
        <v>125</v>
      </c>
      <c r="H7" s="103" t="s">
        <v>125</v>
      </c>
      <c r="I7" s="103" t="s">
        <v>125</v>
      </c>
      <c r="J7" s="116"/>
      <c r="K7" s="116"/>
      <c r="L7" s="116" t="s">
        <v>151</v>
      </c>
      <c r="M7" s="103" t="s">
        <v>155</v>
      </c>
      <c r="N7" s="103" t="s">
        <v>129</v>
      </c>
      <c r="O7" s="116" t="s">
        <v>153</v>
      </c>
      <c r="P7" s="103" t="s">
        <v>158</v>
      </c>
      <c r="Q7" s="103" t="s">
        <v>153</v>
      </c>
      <c r="R7" s="116"/>
      <c r="S7" s="120"/>
      <c r="T7" s="116" t="s">
        <v>125</v>
      </c>
      <c r="U7" s="103" t="s">
        <v>128</v>
      </c>
      <c r="V7" s="103" t="s">
        <v>158</v>
      </c>
      <c r="W7" s="116" t="s">
        <v>157</v>
      </c>
      <c r="X7" s="103" t="s">
        <v>150</v>
      </c>
      <c r="Y7" s="121" t="s">
        <v>128</v>
      </c>
      <c r="Z7" s="11"/>
    </row>
    <row r="8" spans="1:26" x14ac:dyDescent="0.2">
      <c r="A8" s="130"/>
      <c r="B8" s="140">
        <v>2</v>
      </c>
      <c r="C8" s="139"/>
      <c r="D8" s="116" t="s">
        <v>125</v>
      </c>
      <c r="E8" s="103" t="s">
        <v>125</v>
      </c>
      <c r="F8" s="103" t="s">
        <v>125</v>
      </c>
      <c r="G8" s="116" t="s">
        <v>125</v>
      </c>
      <c r="H8" s="103" t="s">
        <v>129</v>
      </c>
      <c r="I8" s="103" t="s">
        <v>125</v>
      </c>
      <c r="J8" s="116"/>
      <c r="K8" s="116"/>
      <c r="L8" s="116" t="s">
        <v>129</v>
      </c>
      <c r="M8" s="103" t="s">
        <v>151</v>
      </c>
      <c r="N8" s="103" t="s">
        <v>127</v>
      </c>
      <c r="O8" s="116" t="s">
        <v>126</v>
      </c>
      <c r="P8" s="103" t="s">
        <v>125</v>
      </c>
      <c r="Q8" s="103" t="s">
        <v>126</v>
      </c>
      <c r="R8" s="116"/>
      <c r="S8" s="120"/>
      <c r="T8" s="116" t="s">
        <v>126</v>
      </c>
      <c r="U8" s="103" t="s">
        <v>165</v>
      </c>
      <c r="V8" s="103" t="s">
        <v>150</v>
      </c>
      <c r="W8" s="116" t="s">
        <v>159</v>
      </c>
      <c r="X8" s="103" t="s">
        <v>166</v>
      </c>
      <c r="Y8" s="121" t="s">
        <v>154</v>
      </c>
      <c r="Z8" s="11"/>
    </row>
    <row r="9" spans="1:26" x14ac:dyDescent="0.2">
      <c r="A9" s="130"/>
      <c r="B9" s="140">
        <v>3</v>
      </c>
      <c r="C9" s="139"/>
      <c r="D9" s="116" t="s">
        <v>125</v>
      </c>
      <c r="E9" s="103" t="s">
        <v>125</v>
      </c>
      <c r="F9" s="103" t="s">
        <v>125</v>
      </c>
      <c r="G9" s="116" t="s">
        <v>125</v>
      </c>
      <c r="H9" s="103" t="s">
        <v>125</v>
      </c>
      <c r="I9" s="103" t="s">
        <v>125</v>
      </c>
      <c r="J9" s="116"/>
      <c r="K9" s="116"/>
      <c r="L9" s="116" t="s">
        <v>127</v>
      </c>
      <c r="M9" s="103" t="s">
        <v>156</v>
      </c>
      <c r="N9" s="103" t="s">
        <v>152</v>
      </c>
      <c r="O9" s="116" t="s">
        <v>150</v>
      </c>
      <c r="P9" s="103" t="s">
        <v>159</v>
      </c>
      <c r="Q9" s="103" t="s">
        <v>150</v>
      </c>
      <c r="R9" s="116"/>
      <c r="S9" s="120"/>
      <c r="T9" s="116" t="s">
        <v>151</v>
      </c>
      <c r="U9" s="103" t="s">
        <v>125</v>
      </c>
      <c r="V9" s="103" t="s">
        <v>151</v>
      </c>
      <c r="W9" s="116" t="s">
        <v>151</v>
      </c>
      <c r="X9" s="103" t="s">
        <v>151</v>
      </c>
      <c r="Y9" s="121" t="s">
        <v>153</v>
      </c>
      <c r="Z9" s="11"/>
    </row>
    <row r="10" spans="1:26" x14ac:dyDescent="0.2">
      <c r="A10" s="130"/>
      <c r="B10" s="140">
        <v>4</v>
      </c>
      <c r="C10" s="139"/>
      <c r="D10" s="116" t="s">
        <v>125</v>
      </c>
      <c r="E10" s="103" t="s">
        <v>128</v>
      </c>
      <c r="F10" s="103" t="s">
        <v>125</v>
      </c>
      <c r="G10" s="116" t="s">
        <v>125</v>
      </c>
      <c r="H10" s="103" t="s">
        <v>125</v>
      </c>
      <c r="I10" s="103" t="s">
        <v>125</v>
      </c>
      <c r="J10" s="116"/>
      <c r="K10" s="116"/>
      <c r="L10" s="116" t="s">
        <v>152</v>
      </c>
      <c r="M10" s="103" t="s">
        <v>157</v>
      </c>
      <c r="N10" s="103"/>
      <c r="O10" s="116" t="s">
        <v>154</v>
      </c>
      <c r="P10" s="103" t="s">
        <v>158</v>
      </c>
      <c r="Q10" s="103" t="s">
        <v>154</v>
      </c>
      <c r="R10" s="116"/>
      <c r="S10" s="120"/>
      <c r="T10" s="116" t="s">
        <v>166</v>
      </c>
      <c r="U10" s="103" t="s">
        <v>159</v>
      </c>
      <c r="V10" s="103" t="s">
        <v>128</v>
      </c>
      <c r="W10" s="116" t="s">
        <v>153</v>
      </c>
      <c r="X10" s="103" t="s">
        <v>167</v>
      </c>
      <c r="Y10" s="121" t="s">
        <v>167</v>
      </c>
      <c r="Z10" s="11"/>
    </row>
    <row r="11" spans="1:26" x14ac:dyDescent="0.2">
      <c r="A11" s="130"/>
      <c r="B11" s="140">
        <v>5</v>
      </c>
      <c r="C11" s="139"/>
      <c r="D11" s="116" t="s">
        <v>125</v>
      </c>
      <c r="E11" s="103" t="s">
        <v>125</v>
      </c>
      <c r="F11" s="103" t="s">
        <v>125</v>
      </c>
      <c r="G11" s="116" t="s">
        <v>125</v>
      </c>
      <c r="H11" s="103" t="s">
        <v>125</v>
      </c>
      <c r="I11" s="103" t="s">
        <v>125</v>
      </c>
      <c r="J11" s="116"/>
      <c r="K11" s="116"/>
      <c r="L11" s="116"/>
      <c r="M11" s="103" t="s">
        <v>125</v>
      </c>
      <c r="N11" s="103"/>
      <c r="O11" s="116" t="s">
        <v>127</v>
      </c>
      <c r="P11" s="103" t="s">
        <v>154</v>
      </c>
      <c r="Q11" s="103" t="s">
        <v>127</v>
      </c>
      <c r="R11" s="116"/>
      <c r="S11" s="120"/>
      <c r="T11" s="116"/>
      <c r="U11" s="103" t="s">
        <v>125</v>
      </c>
      <c r="V11" s="103" t="s">
        <v>168</v>
      </c>
      <c r="W11" s="116" t="s">
        <v>155</v>
      </c>
      <c r="X11" s="103" t="s">
        <v>157</v>
      </c>
      <c r="Y11" s="121" t="s">
        <v>167</v>
      </c>
      <c r="Z11" s="11"/>
    </row>
    <row r="12" spans="1:26" x14ac:dyDescent="0.2">
      <c r="A12" s="130"/>
      <c r="B12" s="140"/>
      <c r="C12" s="139"/>
      <c r="D12" s="116"/>
      <c r="E12" s="103"/>
      <c r="F12" s="103"/>
      <c r="G12" s="116"/>
      <c r="H12" s="103"/>
      <c r="I12" s="103"/>
      <c r="J12" s="116"/>
      <c r="K12" s="116"/>
      <c r="L12" s="116"/>
      <c r="M12" s="103"/>
      <c r="N12" s="103"/>
      <c r="O12" s="116"/>
      <c r="P12" s="103"/>
      <c r="Q12" s="103"/>
      <c r="R12" s="116"/>
      <c r="S12" s="120"/>
      <c r="T12" s="116"/>
      <c r="U12" s="103"/>
      <c r="V12" s="103"/>
      <c r="W12" s="116"/>
      <c r="X12" s="103"/>
      <c r="Y12" s="121"/>
      <c r="Z12" s="11"/>
    </row>
    <row r="13" spans="1:26" x14ac:dyDescent="0.2">
      <c r="A13" s="130"/>
      <c r="B13" s="140"/>
      <c r="C13" s="139"/>
      <c r="D13" s="116"/>
      <c r="E13" s="103"/>
      <c r="F13" s="103"/>
      <c r="G13" s="116"/>
      <c r="H13" s="103"/>
      <c r="I13" s="103"/>
      <c r="J13" s="116"/>
      <c r="K13" s="116"/>
      <c r="L13" s="116"/>
      <c r="M13" s="103"/>
      <c r="N13" s="103"/>
      <c r="O13" s="116"/>
      <c r="P13" s="103"/>
      <c r="Q13" s="103"/>
      <c r="R13" s="116"/>
      <c r="S13" s="120"/>
      <c r="T13" s="116"/>
      <c r="U13" s="103"/>
      <c r="V13" s="103"/>
      <c r="W13" s="116"/>
      <c r="X13" s="103"/>
      <c r="Y13" s="121"/>
      <c r="Z13" s="11"/>
    </row>
    <row r="14" spans="1:26" x14ac:dyDescent="0.2">
      <c r="A14" s="130"/>
      <c r="B14" s="140"/>
      <c r="C14" s="139"/>
      <c r="D14" s="116"/>
      <c r="E14" s="103"/>
      <c r="F14" s="103"/>
      <c r="G14" s="116"/>
      <c r="H14" s="103"/>
      <c r="I14" s="103"/>
      <c r="J14" s="116"/>
      <c r="K14" s="116"/>
      <c r="L14" s="116"/>
      <c r="M14" s="103"/>
      <c r="N14" s="103"/>
      <c r="O14" s="116"/>
      <c r="P14" s="103"/>
      <c r="Q14" s="103"/>
      <c r="R14" s="116"/>
      <c r="S14" s="120"/>
      <c r="T14" s="116"/>
      <c r="U14" s="103"/>
      <c r="V14" s="103"/>
      <c r="W14" s="116"/>
      <c r="X14" s="103"/>
      <c r="Y14" s="121"/>
      <c r="Z14" s="11"/>
    </row>
    <row r="15" spans="1:26" x14ac:dyDescent="0.2">
      <c r="A15" s="130" t="s">
        <v>46</v>
      </c>
      <c r="B15" s="140"/>
      <c r="C15" s="139" t="s">
        <v>130</v>
      </c>
      <c r="D15" s="116"/>
      <c r="E15" s="103"/>
      <c r="F15" s="103"/>
      <c r="G15" s="116"/>
      <c r="H15" s="103"/>
      <c r="I15" s="103"/>
      <c r="J15" s="116"/>
      <c r="K15" s="116" t="s">
        <v>130</v>
      </c>
      <c r="L15" s="116"/>
      <c r="M15" s="103"/>
      <c r="N15" s="103"/>
      <c r="O15" s="116"/>
      <c r="P15" s="103"/>
      <c r="Q15" s="103"/>
      <c r="R15" s="116"/>
      <c r="S15" s="120" t="s">
        <v>130</v>
      </c>
      <c r="T15" s="116"/>
      <c r="U15" s="103"/>
      <c r="V15" s="103"/>
      <c r="W15" s="116"/>
      <c r="X15" s="103"/>
      <c r="Y15" s="121"/>
      <c r="Z15" s="11"/>
    </row>
    <row r="16" spans="1:26" x14ac:dyDescent="0.2">
      <c r="A16" s="130"/>
      <c r="B16" s="140">
        <v>1</v>
      </c>
      <c r="C16" s="139"/>
      <c r="D16" s="116" t="s">
        <v>131</v>
      </c>
      <c r="E16" s="122" t="s">
        <v>136</v>
      </c>
      <c r="F16" s="103" t="s">
        <v>130</v>
      </c>
      <c r="G16" s="123" t="s">
        <v>136</v>
      </c>
      <c r="H16" s="103" t="s">
        <v>130</v>
      </c>
      <c r="I16" s="103" t="s">
        <v>130</v>
      </c>
      <c r="J16" s="116"/>
      <c r="K16" s="116"/>
      <c r="L16" s="116" t="s">
        <v>130</v>
      </c>
      <c r="M16" s="103" t="s">
        <v>130</v>
      </c>
      <c r="N16" s="103" t="s">
        <v>130</v>
      </c>
      <c r="O16" s="116" t="s">
        <v>136</v>
      </c>
      <c r="P16" s="103" t="s">
        <v>130</v>
      </c>
      <c r="Q16" s="103" t="s">
        <v>130</v>
      </c>
      <c r="R16" s="116"/>
      <c r="S16" s="120"/>
      <c r="T16" s="116" t="s">
        <v>133</v>
      </c>
      <c r="U16" s="103" t="s">
        <v>133</v>
      </c>
      <c r="V16" s="103" t="s">
        <v>133</v>
      </c>
      <c r="W16" s="123" t="s">
        <v>170</v>
      </c>
      <c r="X16" s="103" t="s">
        <v>133</v>
      </c>
      <c r="Y16" s="124" t="s">
        <v>169</v>
      </c>
      <c r="Z16" s="11"/>
    </row>
    <row r="17" spans="1:26" x14ac:dyDescent="0.2">
      <c r="A17" s="130"/>
      <c r="B17" s="140">
        <v>2</v>
      </c>
      <c r="C17" s="139"/>
      <c r="D17" s="116" t="s">
        <v>130</v>
      </c>
      <c r="E17" s="103" t="s">
        <v>130</v>
      </c>
      <c r="F17" s="103" t="s">
        <v>130</v>
      </c>
      <c r="G17" s="116" t="s">
        <v>130</v>
      </c>
      <c r="H17" s="103" t="s">
        <v>136</v>
      </c>
      <c r="I17" s="103" t="s">
        <v>130</v>
      </c>
      <c r="J17" s="116"/>
      <c r="K17" s="116"/>
      <c r="L17" s="116" t="s">
        <v>130</v>
      </c>
      <c r="M17" s="103" t="s">
        <v>130</v>
      </c>
      <c r="N17" s="103" t="s">
        <v>130</v>
      </c>
      <c r="O17" s="116" t="s">
        <v>130</v>
      </c>
      <c r="P17" s="103" t="s">
        <v>130</v>
      </c>
      <c r="Q17" s="103" t="s">
        <v>130</v>
      </c>
      <c r="R17" s="116"/>
      <c r="S17" s="120"/>
      <c r="T17" s="123" t="s">
        <v>131</v>
      </c>
      <c r="U17" s="103" t="s">
        <v>130</v>
      </c>
      <c r="V17" s="103" t="s">
        <v>130</v>
      </c>
      <c r="W17" s="123" t="s">
        <v>131</v>
      </c>
      <c r="X17" s="122" t="s">
        <v>171</v>
      </c>
      <c r="Y17" s="124" t="s">
        <v>169</v>
      </c>
      <c r="Z17" s="11"/>
    </row>
    <row r="18" spans="1:26" x14ac:dyDescent="0.2">
      <c r="A18" s="130"/>
      <c r="B18" s="140">
        <v>3</v>
      </c>
      <c r="C18" s="139"/>
      <c r="D18" s="123" t="s">
        <v>136</v>
      </c>
      <c r="E18" s="122" t="s">
        <v>136</v>
      </c>
      <c r="F18" s="122" t="s">
        <v>132</v>
      </c>
      <c r="G18" s="116" t="s">
        <v>130</v>
      </c>
      <c r="H18" s="103" t="s">
        <v>130</v>
      </c>
      <c r="I18" s="122" t="s">
        <v>136</v>
      </c>
      <c r="J18" s="116"/>
      <c r="K18" s="116"/>
      <c r="L18" s="116" t="s">
        <v>130</v>
      </c>
      <c r="M18" s="103" t="s">
        <v>130</v>
      </c>
      <c r="N18" s="103" t="s">
        <v>130</v>
      </c>
      <c r="O18" s="116" t="s">
        <v>136</v>
      </c>
      <c r="P18" s="103" t="s">
        <v>130</v>
      </c>
      <c r="Q18" s="103" t="s">
        <v>130</v>
      </c>
      <c r="R18" s="116"/>
      <c r="S18" s="120"/>
      <c r="T18" s="123" t="s">
        <v>169</v>
      </c>
      <c r="U18" s="122" t="s">
        <v>171</v>
      </c>
      <c r="V18" s="122" t="s">
        <v>169</v>
      </c>
      <c r="W18" s="123" t="s">
        <v>169</v>
      </c>
      <c r="X18" s="103" t="s">
        <v>133</v>
      </c>
      <c r="Y18" s="121" t="s">
        <v>130</v>
      </c>
      <c r="Z18" s="11"/>
    </row>
    <row r="19" spans="1:26" x14ac:dyDescent="0.2">
      <c r="A19" s="130"/>
      <c r="B19" s="140">
        <v>4</v>
      </c>
      <c r="C19" s="139"/>
      <c r="D19" s="123" t="s">
        <v>136</v>
      </c>
      <c r="E19" s="122" t="s">
        <v>135</v>
      </c>
      <c r="F19" s="122" t="s">
        <v>134</v>
      </c>
      <c r="G19" s="116" t="s">
        <v>130</v>
      </c>
      <c r="H19" s="103" t="s">
        <v>136</v>
      </c>
      <c r="I19" s="122" t="s">
        <v>136</v>
      </c>
      <c r="J19" s="116"/>
      <c r="K19" s="116"/>
      <c r="L19" s="116" t="s">
        <v>131</v>
      </c>
      <c r="M19" s="103" t="s">
        <v>130</v>
      </c>
      <c r="N19" s="103" t="s">
        <v>131</v>
      </c>
      <c r="O19" s="116" t="s">
        <v>160</v>
      </c>
      <c r="P19" s="103" t="s">
        <v>131</v>
      </c>
      <c r="Q19" s="103" t="s">
        <v>131</v>
      </c>
      <c r="R19" s="116"/>
      <c r="S19" s="120"/>
      <c r="T19" s="116" t="s">
        <v>133</v>
      </c>
      <c r="U19" s="122" t="s">
        <v>131</v>
      </c>
      <c r="V19" s="122" t="s">
        <v>130</v>
      </c>
      <c r="W19" s="123" t="s">
        <v>169</v>
      </c>
      <c r="X19" s="122" t="s">
        <v>169</v>
      </c>
      <c r="Y19" s="124" t="s">
        <v>170</v>
      </c>
      <c r="Z19" s="11"/>
    </row>
    <row r="20" spans="1:26" x14ac:dyDescent="0.2">
      <c r="A20" s="130"/>
      <c r="B20" s="140">
        <v>5</v>
      </c>
      <c r="C20" s="139"/>
      <c r="D20" s="123" t="s">
        <v>133</v>
      </c>
      <c r="E20" s="122" t="s">
        <v>133</v>
      </c>
      <c r="F20" s="122" t="s">
        <v>133</v>
      </c>
      <c r="G20" s="116" t="s">
        <v>131</v>
      </c>
      <c r="H20" s="103" t="s">
        <v>130</v>
      </c>
      <c r="I20" s="103" t="s">
        <v>130</v>
      </c>
      <c r="J20" s="116"/>
      <c r="K20" s="116"/>
      <c r="L20" s="116"/>
      <c r="M20" s="103" t="s">
        <v>133</v>
      </c>
      <c r="N20" s="122"/>
      <c r="O20" s="116" t="s">
        <v>136</v>
      </c>
      <c r="P20" s="103" t="s">
        <v>130</v>
      </c>
      <c r="Q20" s="103" t="s">
        <v>130</v>
      </c>
      <c r="R20" s="116"/>
      <c r="S20" s="120"/>
      <c r="T20" s="116"/>
      <c r="U20" s="103" t="s">
        <v>133</v>
      </c>
      <c r="V20" s="103" t="s">
        <v>133</v>
      </c>
      <c r="W20" s="116" t="s">
        <v>133</v>
      </c>
      <c r="X20" s="103" t="s">
        <v>133</v>
      </c>
      <c r="Y20" s="124" t="s">
        <v>170</v>
      </c>
      <c r="Z20" s="11"/>
    </row>
    <row r="21" spans="1:26" x14ac:dyDescent="0.2">
      <c r="A21" s="130"/>
      <c r="B21" s="140"/>
      <c r="C21" s="139"/>
      <c r="D21" s="116"/>
      <c r="E21" s="103"/>
      <c r="F21" s="103"/>
      <c r="G21" s="116"/>
      <c r="H21" s="103"/>
      <c r="I21" s="103"/>
      <c r="J21" s="116"/>
      <c r="K21" s="116"/>
      <c r="L21" s="116"/>
      <c r="M21" s="103"/>
      <c r="N21" s="103"/>
      <c r="O21" s="116"/>
      <c r="P21" s="103"/>
      <c r="Q21" s="103"/>
      <c r="R21" s="116"/>
      <c r="S21" s="120"/>
      <c r="T21" s="116"/>
      <c r="U21" s="103"/>
      <c r="V21" s="103"/>
      <c r="W21" s="116"/>
      <c r="X21" s="103"/>
      <c r="Y21" s="121"/>
      <c r="Z21" s="11"/>
    </row>
    <row r="22" spans="1:26" x14ac:dyDescent="0.2">
      <c r="A22" s="130"/>
      <c r="B22" s="140"/>
      <c r="C22" s="139"/>
      <c r="D22" s="116"/>
      <c r="E22" s="103"/>
      <c r="F22" s="103"/>
      <c r="G22" s="116"/>
      <c r="H22" s="103"/>
      <c r="I22" s="103"/>
      <c r="J22" s="116"/>
      <c r="K22" s="116"/>
      <c r="L22" s="116"/>
      <c r="M22" s="103"/>
      <c r="N22" s="103"/>
      <c r="O22" s="116"/>
      <c r="P22" s="103"/>
      <c r="Q22" s="103"/>
      <c r="R22" s="116"/>
      <c r="S22" s="120"/>
      <c r="T22" s="116"/>
      <c r="U22" s="103"/>
      <c r="V22" s="103"/>
      <c r="W22" s="116"/>
      <c r="X22" s="103"/>
      <c r="Y22" s="121"/>
      <c r="Z22" s="11"/>
    </row>
    <row r="23" spans="1:26" x14ac:dyDescent="0.2">
      <c r="A23" s="130" t="s">
        <v>137</v>
      </c>
      <c r="B23" s="140"/>
      <c r="C23" s="139" t="s">
        <v>138</v>
      </c>
      <c r="D23" s="116"/>
      <c r="E23" s="103"/>
      <c r="F23" s="103"/>
      <c r="G23" s="116"/>
      <c r="H23" s="103"/>
      <c r="I23" s="103"/>
      <c r="J23" s="116"/>
      <c r="K23" s="116" t="s">
        <v>138</v>
      </c>
      <c r="L23" s="116"/>
      <c r="M23" s="103"/>
      <c r="N23" s="103"/>
      <c r="O23" s="116"/>
      <c r="P23" s="103"/>
      <c r="Q23" s="103"/>
      <c r="R23" s="116"/>
      <c r="S23" s="120" t="s">
        <v>139</v>
      </c>
      <c r="T23" s="116"/>
      <c r="U23" s="103"/>
      <c r="V23" s="103"/>
      <c r="W23" s="116"/>
      <c r="X23" s="103"/>
      <c r="Y23" s="121"/>
      <c r="Z23" s="11"/>
    </row>
    <row r="24" spans="1:26" x14ac:dyDescent="0.2">
      <c r="A24" s="130"/>
      <c r="B24" s="140">
        <v>1</v>
      </c>
      <c r="C24" s="139"/>
      <c r="D24" s="116" t="s">
        <v>139</v>
      </c>
      <c r="E24" s="103" t="s">
        <v>140</v>
      </c>
      <c r="F24" s="103" t="s">
        <v>145</v>
      </c>
      <c r="G24" s="116" t="s">
        <v>146</v>
      </c>
      <c r="H24" s="103" t="s">
        <v>142</v>
      </c>
      <c r="I24" s="103" t="s">
        <v>147</v>
      </c>
      <c r="J24" s="116"/>
      <c r="K24" s="116"/>
      <c r="L24" s="116" t="s">
        <v>146</v>
      </c>
      <c r="M24" s="103" t="s">
        <v>140</v>
      </c>
      <c r="N24" s="103" t="s">
        <v>146</v>
      </c>
      <c r="O24" s="116" t="s">
        <v>138</v>
      </c>
      <c r="P24" s="103" t="s">
        <v>141</v>
      </c>
      <c r="Q24" s="103" t="s">
        <v>138</v>
      </c>
      <c r="R24" s="116"/>
      <c r="S24" s="120"/>
      <c r="T24" s="116" t="s">
        <v>139</v>
      </c>
      <c r="U24" s="103" t="s">
        <v>139</v>
      </c>
      <c r="V24" s="103" t="s">
        <v>145</v>
      </c>
      <c r="W24" s="116" t="s">
        <v>145</v>
      </c>
      <c r="X24" s="103" t="s">
        <v>140</v>
      </c>
      <c r="Y24" s="121" t="s">
        <v>144</v>
      </c>
      <c r="Z24" s="11"/>
    </row>
    <row r="25" spans="1:26" x14ac:dyDescent="0.2">
      <c r="A25" s="130"/>
      <c r="B25" s="140">
        <v>2</v>
      </c>
      <c r="C25" s="139"/>
      <c r="D25" s="116" t="s">
        <v>144</v>
      </c>
      <c r="E25" s="103" t="s">
        <v>139</v>
      </c>
      <c r="F25" s="103" t="s">
        <v>147</v>
      </c>
      <c r="G25" s="116" t="s">
        <v>143</v>
      </c>
      <c r="H25" s="122" t="s">
        <v>140</v>
      </c>
      <c r="I25" s="103" t="s">
        <v>145</v>
      </c>
      <c r="J25" s="116"/>
      <c r="K25" s="116"/>
      <c r="L25" s="116" t="s">
        <v>138</v>
      </c>
      <c r="M25" s="103" t="s">
        <v>161</v>
      </c>
      <c r="N25" s="103" t="s">
        <v>138</v>
      </c>
      <c r="O25" s="116" t="s">
        <v>138</v>
      </c>
      <c r="P25" s="103" t="s">
        <v>138</v>
      </c>
      <c r="Q25" s="103" t="s">
        <v>138</v>
      </c>
      <c r="R25" s="116"/>
      <c r="S25" s="120"/>
      <c r="T25" s="116" t="s">
        <v>145</v>
      </c>
      <c r="U25" s="103" t="s">
        <v>145</v>
      </c>
      <c r="V25" s="103" t="s">
        <v>139</v>
      </c>
      <c r="W25" s="116" t="s">
        <v>147</v>
      </c>
      <c r="X25" s="122" t="s">
        <v>144</v>
      </c>
      <c r="Y25" s="121" t="s">
        <v>144</v>
      </c>
      <c r="Z25" s="11"/>
    </row>
    <row r="26" spans="1:26" x14ac:dyDescent="0.2">
      <c r="A26" s="130"/>
      <c r="B26" s="140">
        <v>3</v>
      </c>
      <c r="C26" s="139"/>
      <c r="D26" s="116" t="s">
        <v>145</v>
      </c>
      <c r="E26" s="103" t="s">
        <v>139</v>
      </c>
      <c r="F26" s="103" t="s">
        <v>146</v>
      </c>
      <c r="G26" s="116" t="s">
        <v>145</v>
      </c>
      <c r="H26" s="103" t="s">
        <v>138</v>
      </c>
      <c r="I26" s="103" t="s">
        <v>143</v>
      </c>
      <c r="J26" s="116"/>
      <c r="K26" s="116"/>
      <c r="L26" s="116" t="s">
        <v>139</v>
      </c>
      <c r="M26" s="103" t="s">
        <v>143</v>
      </c>
      <c r="N26" s="103" t="s">
        <v>139</v>
      </c>
      <c r="O26" s="116" t="s">
        <v>146</v>
      </c>
      <c r="P26" s="103" t="s">
        <v>138</v>
      </c>
      <c r="Q26" s="103" t="s">
        <v>146</v>
      </c>
      <c r="R26" s="116"/>
      <c r="S26" s="120"/>
      <c r="T26" s="116" t="s">
        <v>172</v>
      </c>
      <c r="U26" s="103" t="s">
        <v>147</v>
      </c>
      <c r="V26" s="103" t="s">
        <v>145</v>
      </c>
      <c r="W26" s="116" t="s">
        <v>143</v>
      </c>
      <c r="X26" s="103" t="s">
        <v>143</v>
      </c>
      <c r="Y26" s="121" t="s">
        <v>147</v>
      </c>
      <c r="Z26" s="11"/>
    </row>
    <row r="27" spans="1:26" x14ac:dyDescent="0.2">
      <c r="A27" s="130"/>
      <c r="B27" s="140">
        <v>4</v>
      </c>
      <c r="C27" s="139"/>
      <c r="D27" s="116" t="s">
        <v>140</v>
      </c>
      <c r="E27" s="103" t="s">
        <v>141</v>
      </c>
      <c r="F27" s="103" t="s">
        <v>147</v>
      </c>
      <c r="G27" s="116" t="s">
        <v>146</v>
      </c>
      <c r="H27" s="103" t="s">
        <v>143</v>
      </c>
      <c r="I27" s="103" t="s">
        <v>147</v>
      </c>
      <c r="J27" s="116"/>
      <c r="K27" s="116"/>
      <c r="L27" s="116" t="s">
        <v>146</v>
      </c>
      <c r="M27" s="103" t="s">
        <v>145</v>
      </c>
      <c r="N27" s="103" t="s">
        <v>146</v>
      </c>
      <c r="O27" s="116" t="s">
        <v>138</v>
      </c>
      <c r="P27" s="103" t="s">
        <v>147</v>
      </c>
      <c r="Q27" s="103" t="s">
        <v>138</v>
      </c>
      <c r="R27" s="116"/>
      <c r="S27" s="120"/>
      <c r="T27" s="116" t="s">
        <v>139</v>
      </c>
      <c r="U27" s="103" t="s">
        <v>142</v>
      </c>
      <c r="V27" s="103" t="s">
        <v>145</v>
      </c>
      <c r="W27" s="116" t="s">
        <v>141</v>
      </c>
      <c r="X27" s="103" t="s">
        <v>139</v>
      </c>
      <c r="Y27" s="121" t="s">
        <v>145</v>
      </c>
      <c r="Z27" s="11"/>
    </row>
    <row r="28" spans="1:26" x14ac:dyDescent="0.2">
      <c r="A28" s="130"/>
      <c r="B28" s="140">
        <v>5</v>
      </c>
      <c r="C28" s="139"/>
      <c r="D28" s="116" t="s">
        <v>139</v>
      </c>
      <c r="E28" s="103" t="s">
        <v>139</v>
      </c>
      <c r="F28" s="103" t="s">
        <v>142</v>
      </c>
      <c r="G28" s="116" t="s">
        <v>141</v>
      </c>
      <c r="H28" s="103" t="s">
        <v>141</v>
      </c>
      <c r="I28" s="103" t="s">
        <v>143</v>
      </c>
      <c r="J28" s="116"/>
      <c r="K28" s="116"/>
      <c r="L28" s="116"/>
      <c r="M28" s="103" t="s">
        <v>139</v>
      </c>
      <c r="N28" s="103"/>
      <c r="O28" s="116" t="s">
        <v>143</v>
      </c>
      <c r="P28" s="103" t="s">
        <v>143</v>
      </c>
      <c r="Q28" s="103" t="s">
        <v>143</v>
      </c>
      <c r="R28" s="116"/>
      <c r="S28" s="120"/>
      <c r="T28" s="116" t="s">
        <v>139</v>
      </c>
      <c r="U28" s="103" t="s">
        <v>139</v>
      </c>
      <c r="V28" s="103" t="s">
        <v>139</v>
      </c>
      <c r="W28" s="116" t="s">
        <v>147</v>
      </c>
      <c r="X28" s="103" t="s">
        <v>139</v>
      </c>
      <c r="Y28" s="121" t="s">
        <v>139</v>
      </c>
      <c r="Z28" s="11"/>
    </row>
    <row r="29" spans="1:26" x14ac:dyDescent="0.2">
      <c r="A29" s="130"/>
      <c r="B29" s="140"/>
      <c r="C29" s="139"/>
      <c r="D29" s="116"/>
      <c r="E29" s="103"/>
      <c r="F29" s="103"/>
      <c r="G29" s="116"/>
      <c r="H29" s="103"/>
      <c r="I29" s="103"/>
      <c r="J29" s="116"/>
      <c r="K29" s="116"/>
      <c r="L29" s="116"/>
      <c r="M29" s="103"/>
      <c r="N29" s="103"/>
      <c r="O29" s="116"/>
      <c r="P29" s="103"/>
      <c r="Q29" s="103"/>
      <c r="R29" s="116"/>
      <c r="S29" s="120"/>
      <c r="T29" s="116"/>
      <c r="U29" s="103"/>
      <c r="V29" s="103"/>
      <c r="W29" s="116"/>
      <c r="X29" s="103"/>
      <c r="Y29" s="121"/>
      <c r="Z29" s="11"/>
    </row>
    <row r="30" spans="1:26" x14ac:dyDescent="0.2">
      <c r="A30" s="130"/>
      <c r="B30" s="140"/>
      <c r="C30" s="139"/>
      <c r="D30" s="116"/>
      <c r="E30" s="103"/>
      <c r="F30" s="103"/>
      <c r="G30" s="116"/>
      <c r="H30" s="103"/>
      <c r="I30" s="103"/>
      <c r="J30" s="116"/>
      <c r="K30" s="116"/>
      <c r="L30" s="116"/>
      <c r="M30" s="103"/>
      <c r="N30" s="103"/>
      <c r="O30" s="116"/>
      <c r="P30" s="103"/>
      <c r="Q30" s="103"/>
      <c r="R30" s="116"/>
      <c r="S30" s="120"/>
      <c r="T30" s="116"/>
      <c r="U30" s="103"/>
      <c r="V30" s="103"/>
      <c r="W30" s="116"/>
      <c r="X30" s="103"/>
      <c r="Y30" s="121"/>
      <c r="Z30" s="11"/>
    </row>
    <row r="31" spans="1:26" x14ac:dyDescent="0.2">
      <c r="A31" s="130" t="s">
        <v>47</v>
      </c>
      <c r="B31" s="140"/>
      <c r="C31" s="139"/>
      <c r="D31" s="116"/>
      <c r="E31" s="103"/>
      <c r="F31" s="103"/>
      <c r="G31" s="116"/>
      <c r="H31" s="103"/>
      <c r="I31" s="103"/>
      <c r="J31" s="116"/>
      <c r="K31" s="116" t="s">
        <v>162</v>
      </c>
      <c r="L31" s="116"/>
      <c r="M31" s="103"/>
      <c r="N31" s="103"/>
      <c r="O31" s="116"/>
      <c r="P31" s="103"/>
      <c r="Q31" s="103"/>
      <c r="R31" s="116"/>
      <c r="S31" s="120"/>
      <c r="T31" s="116"/>
      <c r="U31" s="103"/>
      <c r="V31" s="103"/>
      <c r="W31" s="116"/>
      <c r="X31" s="103"/>
      <c r="Y31" s="121"/>
      <c r="Z31" s="11"/>
    </row>
    <row r="32" spans="1:26" x14ac:dyDescent="0.2">
      <c r="A32" s="130"/>
      <c r="B32" s="140">
        <v>1</v>
      </c>
      <c r="C32" s="139"/>
      <c r="D32" s="116"/>
      <c r="E32" s="103"/>
      <c r="F32" s="103"/>
      <c r="G32" s="116"/>
      <c r="H32" s="103"/>
      <c r="I32" s="103"/>
      <c r="J32" s="116"/>
      <c r="K32" s="116"/>
      <c r="L32" s="116" t="s">
        <v>162</v>
      </c>
      <c r="M32" s="103" t="s">
        <v>162</v>
      </c>
      <c r="N32" s="103" t="s">
        <v>162</v>
      </c>
      <c r="O32" s="116" t="s">
        <v>164</v>
      </c>
      <c r="P32" s="103" t="s">
        <v>164</v>
      </c>
      <c r="Q32" s="103" t="s">
        <v>164</v>
      </c>
      <c r="R32" s="116"/>
      <c r="S32" s="120"/>
      <c r="T32" s="116"/>
      <c r="U32" s="103"/>
      <c r="V32" s="103"/>
      <c r="W32" s="116"/>
      <c r="X32" s="103"/>
      <c r="Y32" s="121"/>
      <c r="Z32" s="11"/>
    </row>
    <row r="33" spans="1:26" x14ac:dyDescent="0.2">
      <c r="A33" s="130"/>
      <c r="B33" s="140">
        <v>2</v>
      </c>
      <c r="C33" s="139"/>
      <c r="D33" s="116"/>
      <c r="E33" s="103"/>
      <c r="F33" s="103"/>
      <c r="G33" s="116"/>
      <c r="H33" s="103"/>
      <c r="I33" s="103"/>
      <c r="J33" s="116"/>
      <c r="K33" s="116"/>
      <c r="L33" s="116" t="s">
        <v>162</v>
      </c>
      <c r="M33" s="103" t="s">
        <v>162</v>
      </c>
      <c r="N33" s="103" t="s">
        <v>162</v>
      </c>
      <c r="O33" s="116" t="s">
        <v>164</v>
      </c>
      <c r="P33" s="103" t="s">
        <v>164</v>
      </c>
      <c r="Q33" s="103" t="s">
        <v>164</v>
      </c>
      <c r="R33" s="116"/>
      <c r="S33" s="120"/>
      <c r="T33" s="116"/>
      <c r="U33" s="103"/>
      <c r="V33" s="103"/>
      <c r="W33" s="116"/>
      <c r="X33" s="103"/>
      <c r="Y33" s="121"/>
      <c r="Z33" s="11"/>
    </row>
    <row r="34" spans="1:26" x14ac:dyDescent="0.2">
      <c r="A34" s="130"/>
      <c r="B34" s="140">
        <v>3</v>
      </c>
      <c r="C34" s="139"/>
      <c r="D34" s="116"/>
      <c r="E34" s="103"/>
      <c r="F34" s="103"/>
      <c r="G34" s="116"/>
      <c r="H34" s="103"/>
      <c r="I34" s="103"/>
      <c r="J34" s="116"/>
      <c r="K34" s="116"/>
      <c r="L34" s="116" t="s">
        <v>162</v>
      </c>
      <c r="M34" s="103" t="s">
        <v>162</v>
      </c>
      <c r="N34" s="103" t="s">
        <v>162</v>
      </c>
      <c r="O34" s="116" t="s">
        <v>164</v>
      </c>
      <c r="P34" s="103" t="s">
        <v>164</v>
      </c>
      <c r="Q34" s="103" t="s">
        <v>164</v>
      </c>
      <c r="R34" s="116"/>
      <c r="S34" s="120"/>
      <c r="T34" s="116"/>
      <c r="U34" s="103"/>
      <c r="V34" s="103"/>
      <c r="W34" s="116"/>
      <c r="X34" s="103"/>
      <c r="Y34" s="121"/>
      <c r="Z34" s="11"/>
    </row>
    <row r="35" spans="1:26" x14ac:dyDescent="0.2">
      <c r="A35" s="130"/>
      <c r="B35" s="140">
        <v>4</v>
      </c>
      <c r="C35" s="139"/>
      <c r="D35" s="116"/>
      <c r="E35" s="103"/>
      <c r="F35" s="103"/>
      <c r="G35" s="116"/>
      <c r="H35" s="103"/>
      <c r="I35" s="103"/>
      <c r="J35" s="116"/>
      <c r="K35" s="116"/>
      <c r="L35" s="116" t="s">
        <v>163</v>
      </c>
      <c r="M35" s="103" t="s">
        <v>164</v>
      </c>
      <c r="N35" s="103" t="s">
        <v>163</v>
      </c>
      <c r="O35" s="116" t="s">
        <v>163</v>
      </c>
      <c r="P35" s="103" t="s">
        <v>164</v>
      </c>
      <c r="Q35" s="103" t="s">
        <v>163</v>
      </c>
      <c r="R35" s="116"/>
      <c r="S35" s="120"/>
      <c r="T35" s="116"/>
      <c r="U35" s="103"/>
      <c r="V35" s="103"/>
      <c r="W35" s="116"/>
      <c r="X35" s="103"/>
      <c r="Y35" s="121"/>
      <c r="Z35" s="11"/>
    </row>
    <row r="36" spans="1:26" x14ac:dyDescent="0.2">
      <c r="A36" s="130"/>
      <c r="B36" s="140">
        <v>5</v>
      </c>
      <c r="C36" s="139"/>
      <c r="D36" s="116"/>
      <c r="E36" s="103"/>
      <c r="F36" s="103"/>
      <c r="G36" s="116"/>
      <c r="H36" s="103"/>
      <c r="I36" s="103"/>
      <c r="J36" s="116"/>
      <c r="K36" s="116"/>
      <c r="L36" s="116"/>
      <c r="M36" s="103" t="s">
        <v>164</v>
      </c>
      <c r="N36" s="103"/>
      <c r="O36" s="116" t="s">
        <v>164</v>
      </c>
      <c r="P36" s="103" t="s">
        <v>163</v>
      </c>
      <c r="Q36" s="103" t="s">
        <v>164</v>
      </c>
      <c r="R36" s="116"/>
      <c r="S36" s="120"/>
      <c r="T36" s="116"/>
      <c r="U36" s="103"/>
      <c r="V36" s="103"/>
      <c r="W36" s="116"/>
      <c r="X36" s="103"/>
      <c r="Y36" s="121"/>
      <c r="Z36" s="11"/>
    </row>
    <row r="37" spans="1:26" x14ac:dyDescent="0.2">
      <c r="A37" s="130"/>
      <c r="B37" s="140"/>
      <c r="C37" s="139"/>
      <c r="D37" s="116"/>
      <c r="E37" s="103"/>
      <c r="F37" s="103"/>
      <c r="G37" s="116"/>
      <c r="H37" s="103"/>
      <c r="I37" s="103"/>
      <c r="J37" s="116"/>
      <c r="K37" s="116"/>
      <c r="L37" s="116"/>
      <c r="M37" s="103"/>
      <c r="N37" s="103"/>
      <c r="O37" s="116"/>
      <c r="P37" s="103"/>
      <c r="Q37" s="103"/>
      <c r="R37" s="116"/>
      <c r="S37" s="120"/>
      <c r="T37" s="116"/>
      <c r="U37" s="103"/>
      <c r="V37" s="103"/>
      <c r="W37" s="116"/>
      <c r="X37" s="103"/>
      <c r="Y37" s="121"/>
      <c r="Z37" s="11"/>
    </row>
    <row r="38" spans="1:26" x14ac:dyDescent="0.2">
      <c r="A38" s="130"/>
      <c r="B38" s="140"/>
      <c r="C38" s="139"/>
      <c r="D38" s="116"/>
      <c r="E38" s="103"/>
      <c r="F38" s="103"/>
      <c r="G38" s="116"/>
      <c r="H38" s="103"/>
      <c r="I38" s="103"/>
      <c r="J38" s="116"/>
      <c r="K38" s="116"/>
      <c r="L38" s="116"/>
      <c r="M38" s="103"/>
      <c r="N38" s="103"/>
      <c r="O38" s="116"/>
      <c r="P38" s="103"/>
      <c r="Q38" s="103"/>
      <c r="R38" s="116"/>
      <c r="S38" s="120"/>
      <c r="T38" s="116"/>
      <c r="U38" s="103"/>
      <c r="V38" s="103"/>
      <c r="W38" s="116"/>
      <c r="X38" s="103"/>
      <c r="Y38" s="121"/>
      <c r="Z38" s="11"/>
    </row>
    <row r="39" spans="1:26" x14ac:dyDescent="0.2">
      <c r="A39" s="130" t="s">
        <v>48</v>
      </c>
      <c r="B39" s="140"/>
      <c r="C39" s="139" t="s">
        <v>148</v>
      </c>
      <c r="D39" s="116"/>
      <c r="E39" s="103"/>
      <c r="F39" s="103"/>
      <c r="G39" s="116"/>
      <c r="H39" s="103"/>
      <c r="I39" s="103"/>
      <c r="J39" s="116"/>
      <c r="K39" s="116" t="s">
        <v>148</v>
      </c>
      <c r="L39" s="116"/>
      <c r="M39" s="103"/>
      <c r="N39" s="103"/>
      <c r="O39" s="116"/>
      <c r="P39" s="103"/>
      <c r="Q39" s="103"/>
      <c r="R39" s="116"/>
      <c r="S39" s="120" t="s">
        <v>148</v>
      </c>
      <c r="T39" s="116"/>
      <c r="U39" s="103"/>
      <c r="V39" s="103"/>
      <c r="W39" s="116"/>
      <c r="X39" s="103"/>
      <c r="Y39" s="121"/>
      <c r="Z39" s="11"/>
    </row>
    <row r="40" spans="1:26" x14ac:dyDescent="0.2">
      <c r="A40" s="130"/>
      <c r="B40" s="141">
        <v>1</v>
      </c>
      <c r="C40" s="120"/>
      <c r="D40" s="116" t="s">
        <v>148</v>
      </c>
      <c r="E40" s="103" t="s">
        <v>148</v>
      </c>
      <c r="F40" s="103" t="s">
        <v>148</v>
      </c>
      <c r="G40" s="116" t="s">
        <v>148</v>
      </c>
      <c r="H40" s="103" t="s">
        <v>148</v>
      </c>
      <c r="I40" s="103" t="s">
        <v>148</v>
      </c>
      <c r="J40" s="116"/>
      <c r="K40" s="116"/>
      <c r="L40" s="116" t="s">
        <v>148</v>
      </c>
      <c r="M40" s="103" t="s">
        <v>148</v>
      </c>
      <c r="N40" s="103" t="s">
        <v>148</v>
      </c>
      <c r="O40" s="116" t="s">
        <v>148</v>
      </c>
      <c r="P40" s="103" t="s">
        <v>148</v>
      </c>
      <c r="Q40" s="103" t="s">
        <v>148</v>
      </c>
      <c r="R40" s="116"/>
      <c r="S40" s="120"/>
      <c r="T40" s="116" t="s">
        <v>148</v>
      </c>
      <c r="U40" s="103" t="s">
        <v>148</v>
      </c>
      <c r="V40" s="103" t="s">
        <v>148</v>
      </c>
      <c r="W40" s="116" t="s">
        <v>148</v>
      </c>
      <c r="X40" s="103" t="s">
        <v>148</v>
      </c>
      <c r="Y40" s="121" t="s">
        <v>148</v>
      </c>
      <c r="Z40" s="11"/>
    </row>
    <row r="41" spans="1:26" x14ac:dyDescent="0.2">
      <c r="A41" s="103"/>
      <c r="B41" s="141">
        <v>2</v>
      </c>
      <c r="C41" s="120"/>
      <c r="D41" s="116" t="s">
        <v>148</v>
      </c>
      <c r="E41" s="103" t="s">
        <v>148</v>
      </c>
      <c r="F41" s="103" t="s">
        <v>148</v>
      </c>
      <c r="G41" s="116" t="s">
        <v>148</v>
      </c>
      <c r="H41" s="103" t="s">
        <v>148</v>
      </c>
      <c r="I41" s="103" t="s">
        <v>148</v>
      </c>
      <c r="J41" s="116"/>
      <c r="K41" s="116"/>
      <c r="L41" s="116" t="s">
        <v>148</v>
      </c>
      <c r="M41" s="103" t="s">
        <v>148</v>
      </c>
      <c r="N41" s="103" t="s">
        <v>148</v>
      </c>
      <c r="O41" s="116" t="s">
        <v>148</v>
      </c>
      <c r="P41" s="103" t="s">
        <v>148</v>
      </c>
      <c r="Q41" s="103" t="s">
        <v>148</v>
      </c>
      <c r="R41" s="116"/>
      <c r="S41" s="120"/>
      <c r="T41" s="116" t="s">
        <v>148</v>
      </c>
      <c r="U41" s="103" t="s">
        <v>148</v>
      </c>
      <c r="V41" s="103" t="s">
        <v>148</v>
      </c>
      <c r="W41" s="116" t="s">
        <v>148</v>
      </c>
      <c r="X41" s="103" t="s">
        <v>148</v>
      </c>
      <c r="Y41" s="121" t="s">
        <v>148</v>
      </c>
      <c r="Z41" s="11"/>
    </row>
    <row r="42" spans="1:26" x14ac:dyDescent="0.2">
      <c r="A42" s="103"/>
      <c r="B42" s="141">
        <v>3</v>
      </c>
      <c r="C42" s="120"/>
      <c r="D42" s="116" t="s">
        <v>148</v>
      </c>
      <c r="E42" s="103" t="s">
        <v>148</v>
      </c>
      <c r="F42" s="103" t="s">
        <v>148</v>
      </c>
      <c r="G42" s="116" t="s">
        <v>148</v>
      </c>
      <c r="H42" s="103" t="s">
        <v>148</v>
      </c>
      <c r="I42" s="103" t="s">
        <v>148</v>
      </c>
      <c r="J42" s="116"/>
      <c r="K42" s="116"/>
      <c r="L42" s="116" t="s">
        <v>148</v>
      </c>
      <c r="M42" s="103" t="s">
        <v>148</v>
      </c>
      <c r="N42" s="103" t="s">
        <v>148</v>
      </c>
      <c r="O42" s="116" t="s">
        <v>148</v>
      </c>
      <c r="P42" s="103" t="s">
        <v>148</v>
      </c>
      <c r="Q42" s="103" t="s">
        <v>148</v>
      </c>
      <c r="R42" s="116"/>
      <c r="S42" s="120"/>
      <c r="T42" s="116" t="s">
        <v>148</v>
      </c>
      <c r="U42" s="103" t="s">
        <v>148</v>
      </c>
      <c r="V42" s="103" t="s">
        <v>148</v>
      </c>
      <c r="W42" s="116" t="s">
        <v>148</v>
      </c>
      <c r="X42" s="103" t="s">
        <v>148</v>
      </c>
      <c r="Y42" s="121" t="s">
        <v>148</v>
      </c>
      <c r="Z42" s="11"/>
    </row>
    <row r="43" spans="1:26" x14ac:dyDescent="0.2">
      <c r="A43" s="103"/>
      <c r="B43" s="141">
        <v>4</v>
      </c>
      <c r="C43" s="120"/>
      <c r="D43" s="116" t="s">
        <v>148</v>
      </c>
      <c r="E43" s="103" t="s">
        <v>148</v>
      </c>
      <c r="F43" s="103" t="s">
        <v>148</v>
      </c>
      <c r="G43" s="116" t="s">
        <v>148</v>
      </c>
      <c r="H43" s="103" t="s">
        <v>148</v>
      </c>
      <c r="I43" s="103" t="s">
        <v>148</v>
      </c>
      <c r="J43" s="116"/>
      <c r="K43" s="116"/>
      <c r="L43" s="116" t="s">
        <v>148</v>
      </c>
      <c r="M43" s="103" t="s">
        <v>148</v>
      </c>
      <c r="N43" s="103" t="s">
        <v>148</v>
      </c>
      <c r="O43" s="116" t="s">
        <v>148</v>
      </c>
      <c r="P43" s="103" t="s">
        <v>148</v>
      </c>
      <c r="Q43" s="103" t="s">
        <v>148</v>
      </c>
      <c r="R43" s="116"/>
      <c r="S43" s="120"/>
      <c r="T43" s="116" t="s">
        <v>148</v>
      </c>
      <c r="U43" s="103" t="s">
        <v>148</v>
      </c>
      <c r="V43" s="103" t="s">
        <v>148</v>
      </c>
      <c r="W43" s="116" t="s">
        <v>148</v>
      </c>
      <c r="X43" s="103" t="s">
        <v>148</v>
      </c>
      <c r="Y43" s="121" t="s">
        <v>148</v>
      </c>
      <c r="Z43" s="11"/>
    </row>
    <row r="44" spans="1:26" ht="17" thickBot="1" x14ac:dyDescent="0.25">
      <c r="A44" s="105"/>
      <c r="B44" s="142">
        <v>5</v>
      </c>
      <c r="C44" s="106"/>
      <c r="D44" s="119" t="s">
        <v>148</v>
      </c>
      <c r="E44" s="105" t="s">
        <v>148</v>
      </c>
      <c r="F44" s="105" t="s">
        <v>148</v>
      </c>
      <c r="G44" s="119" t="s">
        <v>148</v>
      </c>
      <c r="H44" s="105" t="s">
        <v>148</v>
      </c>
      <c r="I44" s="105" t="s">
        <v>148</v>
      </c>
      <c r="J44" s="119"/>
      <c r="K44" s="119"/>
      <c r="L44" s="119" t="s">
        <v>148</v>
      </c>
      <c r="M44" s="105" t="s">
        <v>148</v>
      </c>
      <c r="N44" s="105" t="s">
        <v>148</v>
      </c>
      <c r="O44" s="119" t="s">
        <v>148</v>
      </c>
      <c r="P44" s="105" t="s">
        <v>148</v>
      </c>
      <c r="Q44" s="105" t="s">
        <v>148</v>
      </c>
      <c r="R44" s="119"/>
      <c r="S44" s="106"/>
      <c r="T44" s="119" t="s">
        <v>148</v>
      </c>
      <c r="U44" s="105" t="s">
        <v>148</v>
      </c>
      <c r="V44" s="105" t="s">
        <v>148</v>
      </c>
      <c r="W44" s="119" t="s">
        <v>148</v>
      </c>
      <c r="X44" s="105" t="s">
        <v>148</v>
      </c>
      <c r="Y44" s="107" t="s">
        <v>148</v>
      </c>
      <c r="Z44" s="11"/>
    </row>
    <row r="45" spans="1:26" x14ac:dyDescent="0.2">
      <c r="C45" s="11"/>
    </row>
  </sheetData>
  <mergeCells count="9">
    <mergeCell ref="T3:V3"/>
    <mergeCell ref="W3:Y3"/>
    <mergeCell ref="D1:I2"/>
    <mergeCell ref="L1:Q2"/>
    <mergeCell ref="T1:Y2"/>
    <mergeCell ref="D3:F3"/>
    <mergeCell ref="G3:I3"/>
    <mergeCell ref="L3:N3"/>
    <mergeCell ref="O3:Q3"/>
  </mergeCells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89A5-2F14-284B-821A-380ACB24CBE3}">
  <dimension ref="A1:J44"/>
  <sheetViews>
    <sheetView showGridLines="0" zoomScale="110" zoomScaleNormal="110" workbookViewId="0">
      <selection sqref="A1:I44"/>
    </sheetView>
  </sheetViews>
  <sheetFormatPr baseColWidth="10" defaultRowHeight="16" x14ac:dyDescent="0.2"/>
  <cols>
    <col min="1" max="1" width="21.5" customWidth="1"/>
    <col min="3" max="3" width="24.5" customWidth="1"/>
    <col min="4" max="4" width="24.83203125" customWidth="1"/>
    <col min="5" max="5" width="25.1640625" customWidth="1"/>
    <col min="6" max="6" width="24.1640625" customWidth="1"/>
    <col min="7" max="7" width="24.5" customWidth="1"/>
    <col min="8" max="8" width="24.83203125" customWidth="1"/>
    <col min="9" max="9" width="26.6640625" customWidth="1"/>
  </cols>
  <sheetData>
    <row r="1" spans="1:10" x14ac:dyDescent="0.2">
      <c r="A1" s="130" t="s">
        <v>175</v>
      </c>
      <c r="B1" s="130"/>
      <c r="C1" s="130"/>
      <c r="D1" s="221"/>
      <c r="E1" s="221"/>
      <c r="F1" s="221"/>
      <c r="G1" s="221"/>
      <c r="H1" s="221"/>
      <c r="I1" s="221"/>
      <c r="J1" s="11"/>
    </row>
    <row r="2" spans="1:10" x14ac:dyDescent="0.2">
      <c r="A2" s="130"/>
      <c r="B2" s="130"/>
      <c r="C2" s="143" t="s">
        <v>173</v>
      </c>
      <c r="D2" s="209"/>
      <c r="E2" s="209"/>
      <c r="F2" s="209"/>
      <c r="G2" s="209"/>
      <c r="H2" s="209"/>
      <c r="I2" s="209"/>
      <c r="J2" s="11"/>
    </row>
    <row r="3" spans="1:10" ht="17" thickBot="1" x14ac:dyDescent="0.25">
      <c r="A3" s="131"/>
      <c r="B3" s="131"/>
      <c r="C3" s="132"/>
      <c r="D3" s="210" t="s">
        <v>96</v>
      </c>
      <c r="E3" s="211"/>
      <c r="F3" s="229"/>
      <c r="G3" s="210" t="s">
        <v>98</v>
      </c>
      <c r="H3" s="211"/>
      <c r="I3" s="211"/>
      <c r="J3" s="11"/>
    </row>
    <row r="4" spans="1:10" ht="17" thickBot="1" x14ac:dyDescent="0.25">
      <c r="A4" s="130"/>
      <c r="B4" s="133"/>
      <c r="C4" s="137" t="s">
        <v>124</v>
      </c>
      <c r="D4" s="135">
        <v>0.4</v>
      </c>
      <c r="E4" s="136">
        <v>0.5</v>
      </c>
      <c r="F4" s="136">
        <v>0.6</v>
      </c>
      <c r="G4" s="135">
        <v>0.4</v>
      </c>
      <c r="H4" s="136">
        <v>0.5</v>
      </c>
      <c r="I4" s="136">
        <v>0.6</v>
      </c>
      <c r="J4" s="11"/>
    </row>
    <row r="5" spans="1:10" ht="17" thickBot="1" x14ac:dyDescent="0.25">
      <c r="A5" s="131" t="s">
        <v>123</v>
      </c>
      <c r="B5" s="133" t="s">
        <v>44</v>
      </c>
      <c r="C5" s="137"/>
      <c r="D5" s="137"/>
      <c r="E5" s="138"/>
      <c r="F5" s="138"/>
      <c r="G5" s="137"/>
      <c r="H5" s="138"/>
      <c r="I5" s="138"/>
      <c r="J5" s="11"/>
    </row>
    <row r="6" spans="1:10" x14ac:dyDescent="0.2">
      <c r="A6" s="130" t="s">
        <v>45</v>
      </c>
      <c r="B6" s="139"/>
      <c r="C6" s="143" t="s">
        <v>150</v>
      </c>
      <c r="D6" s="116"/>
      <c r="E6" s="103"/>
      <c r="F6" s="103"/>
      <c r="G6" s="116"/>
      <c r="H6" s="103"/>
      <c r="I6" s="103"/>
      <c r="J6" s="11"/>
    </row>
    <row r="7" spans="1:10" x14ac:dyDescent="0.2">
      <c r="A7" s="130"/>
      <c r="B7" s="140">
        <v>1</v>
      </c>
      <c r="C7" s="143"/>
      <c r="D7" s="116" t="s">
        <v>151</v>
      </c>
      <c r="E7" s="103" t="s">
        <v>155</v>
      </c>
      <c r="F7" s="103" t="s">
        <v>129</v>
      </c>
      <c r="G7" s="116" t="s">
        <v>153</v>
      </c>
      <c r="H7" s="103" t="s">
        <v>158</v>
      </c>
      <c r="I7" s="103" t="s">
        <v>153</v>
      </c>
      <c r="J7" s="11"/>
    </row>
    <row r="8" spans="1:10" x14ac:dyDescent="0.2">
      <c r="A8" s="130"/>
      <c r="B8" s="140">
        <v>2</v>
      </c>
      <c r="C8" s="143"/>
      <c r="D8" s="116" t="s">
        <v>129</v>
      </c>
      <c r="E8" s="103" t="s">
        <v>151</v>
      </c>
      <c r="F8" s="103" t="s">
        <v>127</v>
      </c>
      <c r="G8" s="116" t="s">
        <v>126</v>
      </c>
      <c r="H8" s="103" t="s">
        <v>125</v>
      </c>
      <c r="I8" s="103" t="s">
        <v>126</v>
      </c>
      <c r="J8" s="11"/>
    </row>
    <row r="9" spans="1:10" x14ac:dyDescent="0.2">
      <c r="A9" s="130"/>
      <c r="B9" s="140">
        <v>3</v>
      </c>
      <c r="C9" s="143"/>
      <c r="D9" s="116" t="s">
        <v>127</v>
      </c>
      <c r="E9" s="103" t="s">
        <v>156</v>
      </c>
      <c r="F9" s="103" t="s">
        <v>152</v>
      </c>
      <c r="G9" s="116" t="s">
        <v>150</v>
      </c>
      <c r="H9" s="103" t="s">
        <v>159</v>
      </c>
      <c r="I9" s="103" t="s">
        <v>150</v>
      </c>
      <c r="J9" s="11"/>
    </row>
    <row r="10" spans="1:10" x14ac:dyDescent="0.2">
      <c r="A10" s="130"/>
      <c r="B10" s="140">
        <v>4</v>
      </c>
      <c r="C10" s="143"/>
      <c r="D10" s="116" t="s">
        <v>152</v>
      </c>
      <c r="E10" s="103" t="s">
        <v>157</v>
      </c>
      <c r="F10" s="103"/>
      <c r="G10" s="116" t="s">
        <v>154</v>
      </c>
      <c r="H10" s="103" t="s">
        <v>158</v>
      </c>
      <c r="I10" s="103" t="s">
        <v>154</v>
      </c>
      <c r="J10" s="11"/>
    </row>
    <row r="11" spans="1:10" x14ac:dyDescent="0.2">
      <c r="A11" s="130"/>
      <c r="B11" s="140">
        <v>5</v>
      </c>
      <c r="C11" s="143"/>
      <c r="D11" s="116"/>
      <c r="E11" s="103" t="s">
        <v>125</v>
      </c>
      <c r="F11" s="103"/>
      <c r="G11" s="116" t="s">
        <v>127</v>
      </c>
      <c r="H11" s="103" t="s">
        <v>154</v>
      </c>
      <c r="I11" s="103" t="s">
        <v>127</v>
      </c>
      <c r="J11" s="11"/>
    </row>
    <row r="12" spans="1:10" x14ac:dyDescent="0.2">
      <c r="A12" s="130"/>
      <c r="B12" s="140"/>
      <c r="C12" s="143"/>
      <c r="D12" s="116"/>
      <c r="E12" s="103"/>
      <c r="F12" s="103"/>
      <c r="G12" s="116"/>
      <c r="H12" s="103"/>
      <c r="I12" s="103"/>
      <c r="J12" s="11"/>
    </row>
    <row r="13" spans="1:10" x14ac:dyDescent="0.2">
      <c r="A13" s="130"/>
      <c r="B13" s="140"/>
      <c r="C13" s="143"/>
      <c r="D13" s="116"/>
      <c r="E13" s="103"/>
      <c r="F13" s="103"/>
      <c r="G13" s="116"/>
      <c r="H13" s="103"/>
      <c r="I13" s="103"/>
      <c r="J13" s="11"/>
    </row>
    <row r="14" spans="1:10" x14ac:dyDescent="0.2">
      <c r="A14" s="130"/>
      <c r="B14" s="140"/>
      <c r="C14" s="143"/>
      <c r="D14" s="116"/>
      <c r="E14" s="103"/>
      <c r="F14" s="103"/>
      <c r="G14" s="116"/>
      <c r="H14" s="103"/>
      <c r="I14" s="103"/>
      <c r="J14" s="11"/>
    </row>
    <row r="15" spans="1:10" x14ac:dyDescent="0.2">
      <c r="A15" s="130" t="s">
        <v>46</v>
      </c>
      <c r="B15" s="140"/>
      <c r="C15" s="143" t="s">
        <v>130</v>
      </c>
      <c r="D15" s="116"/>
      <c r="E15" s="103"/>
      <c r="F15" s="103"/>
      <c r="G15" s="116"/>
      <c r="H15" s="103"/>
      <c r="I15" s="103"/>
      <c r="J15" s="11"/>
    </row>
    <row r="16" spans="1:10" x14ac:dyDescent="0.2">
      <c r="A16" s="130"/>
      <c r="B16" s="140">
        <v>1</v>
      </c>
      <c r="C16" s="143"/>
      <c r="D16" s="116" t="s">
        <v>130</v>
      </c>
      <c r="E16" s="103" t="s">
        <v>130</v>
      </c>
      <c r="F16" s="103" t="s">
        <v>130</v>
      </c>
      <c r="G16" s="116" t="s">
        <v>136</v>
      </c>
      <c r="H16" s="103" t="s">
        <v>130</v>
      </c>
      <c r="I16" s="103" t="s">
        <v>130</v>
      </c>
      <c r="J16" s="11"/>
    </row>
    <row r="17" spans="1:10" x14ac:dyDescent="0.2">
      <c r="A17" s="130"/>
      <c r="B17" s="140">
        <v>2</v>
      </c>
      <c r="C17" s="143"/>
      <c r="D17" s="116" t="s">
        <v>130</v>
      </c>
      <c r="E17" s="103" t="s">
        <v>130</v>
      </c>
      <c r="F17" s="103" t="s">
        <v>130</v>
      </c>
      <c r="G17" s="116" t="s">
        <v>130</v>
      </c>
      <c r="H17" s="103" t="s">
        <v>130</v>
      </c>
      <c r="I17" s="103" t="s">
        <v>130</v>
      </c>
      <c r="J17" s="11"/>
    </row>
    <row r="18" spans="1:10" x14ac:dyDescent="0.2">
      <c r="A18" s="130"/>
      <c r="B18" s="140">
        <v>3</v>
      </c>
      <c r="C18" s="143"/>
      <c r="D18" s="116" t="s">
        <v>130</v>
      </c>
      <c r="E18" s="103" t="s">
        <v>130</v>
      </c>
      <c r="F18" s="103" t="s">
        <v>130</v>
      </c>
      <c r="G18" s="116" t="s">
        <v>136</v>
      </c>
      <c r="H18" s="103" t="s">
        <v>130</v>
      </c>
      <c r="I18" s="103" t="s">
        <v>130</v>
      </c>
      <c r="J18" s="11"/>
    </row>
    <row r="19" spans="1:10" x14ac:dyDescent="0.2">
      <c r="A19" s="130"/>
      <c r="B19" s="140">
        <v>4</v>
      </c>
      <c r="C19" s="143"/>
      <c r="D19" s="116" t="s">
        <v>131</v>
      </c>
      <c r="E19" s="103" t="s">
        <v>130</v>
      </c>
      <c r="F19" s="103" t="s">
        <v>131</v>
      </c>
      <c r="G19" s="116" t="s">
        <v>160</v>
      </c>
      <c r="H19" s="103" t="s">
        <v>131</v>
      </c>
      <c r="I19" s="103" t="s">
        <v>131</v>
      </c>
      <c r="J19" s="11"/>
    </row>
    <row r="20" spans="1:10" x14ac:dyDescent="0.2">
      <c r="A20" s="130"/>
      <c r="B20" s="140">
        <v>5</v>
      </c>
      <c r="C20" s="143"/>
      <c r="D20" s="116"/>
      <c r="E20" s="103" t="s">
        <v>133</v>
      </c>
      <c r="F20" s="122"/>
      <c r="G20" s="116" t="s">
        <v>136</v>
      </c>
      <c r="H20" s="103" t="s">
        <v>130</v>
      </c>
      <c r="I20" s="103" t="s">
        <v>130</v>
      </c>
      <c r="J20" s="11"/>
    </row>
    <row r="21" spans="1:10" x14ac:dyDescent="0.2">
      <c r="A21" s="130"/>
      <c r="B21" s="140"/>
      <c r="C21" s="143"/>
      <c r="D21" s="116"/>
      <c r="E21" s="103"/>
      <c r="F21" s="103"/>
      <c r="G21" s="116"/>
      <c r="H21" s="103"/>
      <c r="I21" s="103"/>
      <c r="J21" s="11"/>
    </row>
    <row r="22" spans="1:10" x14ac:dyDescent="0.2">
      <c r="A22" s="130"/>
      <c r="B22" s="140"/>
      <c r="C22" s="143"/>
      <c r="D22" s="116"/>
      <c r="E22" s="103"/>
      <c r="F22" s="103"/>
      <c r="G22" s="116"/>
      <c r="H22" s="103"/>
      <c r="I22" s="103"/>
      <c r="J22" s="11"/>
    </row>
    <row r="23" spans="1:10" x14ac:dyDescent="0.2">
      <c r="A23" s="130" t="s">
        <v>137</v>
      </c>
      <c r="B23" s="140"/>
      <c r="C23" s="143" t="s">
        <v>138</v>
      </c>
      <c r="D23" s="116"/>
      <c r="E23" s="103"/>
      <c r="F23" s="103"/>
      <c r="G23" s="116"/>
      <c r="H23" s="103"/>
      <c r="I23" s="103"/>
      <c r="J23" s="11"/>
    </row>
    <row r="24" spans="1:10" x14ac:dyDescent="0.2">
      <c r="A24" s="130"/>
      <c r="B24" s="140">
        <v>1</v>
      </c>
      <c r="C24" s="143"/>
      <c r="D24" s="116" t="s">
        <v>146</v>
      </c>
      <c r="E24" s="103" t="s">
        <v>140</v>
      </c>
      <c r="F24" s="103" t="s">
        <v>146</v>
      </c>
      <c r="G24" s="116" t="s">
        <v>138</v>
      </c>
      <c r="H24" s="103" t="s">
        <v>141</v>
      </c>
      <c r="I24" s="103" t="s">
        <v>138</v>
      </c>
      <c r="J24" s="11"/>
    </row>
    <row r="25" spans="1:10" x14ac:dyDescent="0.2">
      <c r="A25" s="130"/>
      <c r="B25" s="140">
        <v>2</v>
      </c>
      <c r="C25" s="143"/>
      <c r="D25" s="116" t="s">
        <v>138</v>
      </c>
      <c r="E25" s="103" t="s">
        <v>161</v>
      </c>
      <c r="F25" s="103" t="s">
        <v>138</v>
      </c>
      <c r="G25" s="116" t="s">
        <v>138</v>
      </c>
      <c r="H25" s="103" t="s">
        <v>138</v>
      </c>
      <c r="I25" s="103" t="s">
        <v>138</v>
      </c>
      <c r="J25" s="11"/>
    </row>
    <row r="26" spans="1:10" x14ac:dyDescent="0.2">
      <c r="A26" s="130"/>
      <c r="B26" s="140">
        <v>3</v>
      </c>
      <c r="C26" s="143"/>
      <c r="D26" s="116" t="s">
        <v>139</v>
      </c>
      <c r="E26" s="103" t="s">
        <v>143</v>
      </c>
      <c r="F26" s="103" t="s">
        <v>139</v>
      </c>
      <c r="G26" s="116" t="s">
        <v>146</v>
      </c>
      <c r="H26" s="103" t="s">
        <v>138</v>
      </c>
      <c r="I26" s="103" t="s">
        <v>146</v>
      </c>
      <c r="J26" s="11"/>
    </row>
    <row r="27" spans="1:10" x14ac:dyDescent="0.2">
      <c r="A27" s="130"/>
      <c r="B27" s="140">
        <v>4</v>
      </c>
      <c r="C27" s="143"/>
      <c r="D27" s="116" t="s">
        <v>146</v>
      </c>
      <c r="E27" s="103" t="s">
        <v>145</v>
      </c>
      <c r="F27" s="103" t="s">
        <v>146</v>
      </c>
      <c r="G27" s="116" t="s">
        <v>138</v>
      </c>
      <c r="H27" s="103" t="s">
        <v>147</v>
      </c>
      <c r="I27" s="103" t="s">
        <v>138</v>
      </c>
      <c r="J27" s="11"/>
    </row>
    <row r="28" spans="1:10" x14ac:dyDescent="0.2">
      <c r="A28" s="130"/>
      <c r="B28" s="140">
        <v>5</v>
      </c>
      <c r="C28" s="143"/>
      <c r="D28" s="116"/>
      <c r="E28" s="103" t="s">
        <v>139</v>
      </c>
      <c r="F28" s="103"/>
      <c r="G28" s="116" t="s">
        <v>143</v>
      </c>
      <c r="H28" s="103" t="s">
        <v>143</v>
      </c>
      <c r="I28" s="103" t="s">
        <v>143</v>
      </c>
      <c r="J28" s="11"/>
    </row>
    <row r="29" spans="1:10" x14ac:dyDescent="0.2">
      <c r="A29" s="130"/>
      <c r="B29" s="140"/>
      <c r="C29" s="143"/>
      <c r="D29" s="116"/>
      <c r="E29" s="103"/>
      <c r="F29" s="103"/>
      <c r="G29" s="116"/>
      <c r="H29" s="103"/>
      <c r="I29" s="103"/>
      <c r="J29" s="11"/>
    </row>
    <row r="30" spans="1:10" x14ac:dyDescent="0.2">
      <c r="A30" s="130"/>
      <c r="B30" s="140"/>
      <c r="C30" s="143"/>
      <c r="D30" s="116"/>
      <c r="E30" s="103"/>
      <c r="F30" s="103"/>
      <c r="G30" s="116"/>
      <c r="H30" s="103"/>
      <c r="I30" s="103"/>
      <c r="J30" s="11"/>
    </row>
    <row r="31" spans="1:10" x14ac:dyDescent="0.2">
      <c r="A31" s="130" t="s">
        <v>47</v>
      </c>
      <c r="B31" s="140"/>
      <c r="C31" s="143" t="s">
        <v>162</v>
      </c>
      <c r="D31" s="116"/>
      <c r="E31" s="103"/>
      <c r="F31" s="103"/>
      <c r="G31" s="116"/>
      <c r="H31" s="103"/>
      <c r="I31" s="103"/>
      <c r="J31" s="11"/>
    </row>
    <row r="32" spans="1:10" x14ac:dyDescent="0.2">
      <c r="A32" s="130"/>
      <c r="B32" s="140">
        <v>1</v>
      </c>
      <c r="C32" s="143"/>
      <c r="D32" s="116" t="s">
        <v>162</v>
      </c>
      <c r="E32" s="103" t="s">
        <v>162</v>
      </c>
      <c r="F32" s="103" t="s">
        <v>162</v>
      </c>
      <c r="G32" s="116" t="s">
        <v>164</v>
      </c>
      <c r="H32" s="103" t="s">
        <v>164</v>
      </c>
      <c r="I32" s="103" t="s">
        <v>164</v>
      </c>
      <c r="J32" s="11"/>
    </row>
    <row r="33" spans="1:10" x14ac:dyDescent="0.2">
      <c r="A33" s="130"/>
      <c r="B33" s="140">
        <v>2</v>
      </c>
      <c r="C33" s="143"/>
      <c r="D33" s="116" t="s">
        <v>162</v>
      </c>
      <c r="E33" s="103" t="s">
        <v>162</v>
      </c>
      <c r="F33" s="103" t="s">
        <v>162</v>
      </c>
      <c r="G33" s="116" t="s">
        <v>164</v>
      </c>
      <c r="H33" s="103" t="s">
        <v>164</v>
      </c>
      <c r="I33" s="103" t="s">
        <v>164</v>
      </c>
      <c r="J33" s="11"/>
    </row>
    <row r="34" spans="1:10" x14ac:dyDescent="0.2">
      <c r="A34" s="130"/>
      <c r="B34" s="140">
        <v>3</v>
      </c>
      <c r="C34" s="143"/>
      <c r="D34" s="116" t="s">
        <v>162</v>
      </c>
      <c r="E34" s="103" t="s">
        <v>162</v>
      </c>
      <c r="F34" s="103" t="s">
        <v>162</v>
      </c>
      <c r="G34" s="116" t="s">
        <v>164</v>
      </c>
      <c r="H34" s="103" t="s">
        <v>164</v>
      </c>
      <c r="I34" s="103" t="s">
        <v>164</v>
      </c>
      <c r="J34" s="11"/>
    </row>
    <row r="35" spans="1:10" x14ac:dyDescent="0.2">
      <c r="A35" s="130"/>
      <c r="B35" s="140">
        <v>4</v>
      </c>
      <c r="C35" s="143"/>
      <c r="D35" s="116" t="s">
        <v>163</v>
      </c>
      <c r="E35" s="103" t="s">
        <v>164</v>
      </c>
      <c r="F35" s="103" t="s">
        <v>163</v>
      </c>
      <c r="G35" s="116" t="s">
        <v>163</v>
      </c>
      <c r="H35" s="103" t="s">
        <v>164</v>
      </c>
      <c r="I35" s="103" t="s">
        <v>163</v>
      </c>
      <c r="J35" s="11"/>
    </row>
    <row r="36" spans="1:10" x14ac:dyDescent="0.2">
      <c r="A36" s="130"/>
      <c r="B36" s="140">
        <v>5</v>
      </c>
      <c r="C36" s="143"/>
      <c r="D36" s="116"/>
      <c r="E36" s="103" t="s">
        <v>164</v>
      </c>
      <c r="F36" s="103"/>
      <c r="G36" s="116" t="s">
        <v>164</v>
      </c>
      <c r="H36" s="103" t="s">
        <v>163</v>
      </c>
      <c r="I36" s="103" t="s">
        <v>164</v>
      </c>
      <c r="J36" s="11"/>
    </row>
    <row r="37" spans="1:10" x14ac:dyDescent="0.2">
      <c r="A37" s="130"/>
      <c r="B37" s="140"/>
      <c r="C37" s="143"/>
      <c r="D37" s="116"/>
      <c r="E37" s="103"/>
      <c r="F37" s="103"/>
      <c r="G37" s="116"/>
      <c r="H37" s="103"/>
      <c r="I37" s="103"/>
      <c r="J37" s="11"/>
    </row>
    <row r="38" spans="1:10" x14ac:dyDescent="0.2">
      <c r="A38" s="130"/>
      <c r="B38" s="140"/>
      <c r="C38" s="143"/>
      <c r="D38" s="116"/>
      <c r="E38" s="103"/>
      <c r="F38" s="103"/>
      <c r="G38" s="116"/>
      <c r="H38" s="103"/>
      <c r="I38" s="103"/>
      <c r="J38" s="11"/>
    </row>
    <row r="39" spans="1:10" x14ac:dyDescent="0.2">
      <c r="A39" s="130" t="s">
        <v>48</v>
      </c>
      <c r="B39" s="140"/>
      <c r="C39" s="143" t="s">
        <v>148</v>
      </c>
      <c r="D39" s="116"/>
      <c r="E39" s="103"/>
      <c r="F39" s="103"/>
      <c r="G39" s="116"/>
      <c r="H39" s="103"/>
      <c r="I39" s="103"/>
      <c r="J39" s="11"/>
    </row>
    <row r="40" spans="1:10" x14ac:dyDescent="0.2">
      <c r="A40" s="130"/>
      <c r="B40" s="141">
        <v>1</v>
      </c>
      <c r="C40" s="143"/>
      <c r="D40" s="116" t="s">
        <v>148</v>
      </c>
      <c r="E40" s="103" t="s">
        <v>148</v>
      </c>
      <c r="F40" s="103" t="s">
        <v>148</v>
      </c>
      <c r="G40" s="116" t="s">
        <v>148</v>
      </c>
      <c r="H40" s="103" t="s">
        <v>148</v>
      </c>
      <c r="I40" s="103" t="s">
        <v>148</v>
      </c>
      <c r="J40" s="11"/>
    </row>
    <row r="41" spans="1:10" x14ac:dyDescent="0.2">
      <c r="A41" s="103"/>
      <c r="B41" s="125">
        <v>2</v>
      </c>
      <c r="C41" s="116"/>
      <c r="D41" s="116" t="s">
        <v>148</v>
      </c>
      <c r="E41" s="103" t="s">
        <v>148</v>
      </c>
      <c r="F41" s="103" t="s">
        <v>148</v>
      </c>
      <c r="G41" s="116" t="s">
        <v>148</v>
      </c>
      <c r="H41" s="103" t="s">
        <v>148</v>
      </c>
      <c r="I41" s="103" t="s">
        <v>148</v>
      </c>
      <c r="J41" s="11"/>
    </row>
    <row r="42" spans="1:10" x14ac:dyDescent="0.2">
      <c r="A42" s="103"/>
      <c r="B42" s="125">
        <v>3</v>
      </c>
      <c r="C42" s="116"/>
      <c r="D42" s="116" t="s">
        <v>148</v>
      </c>
      <c r="E42" s="103" t="s">
        <v>148</v>
      </c>
      <c r="F42" s="103" t="s">
        <v>148</v>
      </c>
      <c r="G42" s="116" t="s">
        <v>148</v>
      </c>
      <c r="H42" s="103" t="s">
        <v>148</v>
      </c>
      <c r="I42" s="103" t="s">
        <v>148</v>
      </c>
      <c r="J42" s="11"/>
    </row>
    <row r="43" spans="1:10" x14ac:dyDescent="0.2">
      <c r="A43" s="103"/>
      <c r="B43" s="125">
        <v>4</v>
      </c>
      <c r="C43" s="116"/>
      <c r="D43" s="116" t="s">
        <v>148</v>
      </c>
      <c r="E43" s="103" t="s">
        <v>148</v>
      </c>
      <c r="F43" s="103" t="s">
        <v>148</v>
      </c>
      <c r="G43" s="116" t="s">
        <v>148</v>
      </c>
      <c r="H43" s="103" t="s">
        <v>148</v>
      </c>
      <c r="I43" s="103" t="s">
        <v>148</v>
      </c>
      <c r="J43" s="11"/>
    </row>
    <row r="44" spans="1:10" ht="17" thickBot="1" x14ac:dyDescent="0.25">
      <c r="A44" s="105"/>
      <c r="B44" s="126">
        <v>5</v>
      </c>
      <c r="C44" s="119"/>
      <c r="D44" s="119" t="s">
        <v>148</v>
      </c>
      <c r="E44" s="105" t="s">
        <v>148</v>
      </c>
      <c r="F44" s="105" t="s">
        <v>148</v>
      </c>
      <c r="G44" s="119" t="s">
        <v>148</v>
      </c>
      <c r="H44" s="105" t="s">
        <v>148</v>
      </c>
      <c r="I44" s="105" t="s">
        <v>148</v>
      </c>
      <c r="J44" s="11"/>
    </row>
  </sheetData>
  <mergeCells count="3">
    <mergeCell ref="D1:I2"/>
    <mergeCell ref="D3:F3"/>
    <mergeCell ref="G3:I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C476-991F-D24E-8DE6-962C87EED04C}">
  <dimension ref="A1:I44"/>
  <sheetViews>
    <sheetView showGridLines="0" zoomScale="112" zoomScaleNormal="112" workbookViewId="0">
      <selection sqref="A1:I44"/>
    </sheetView>
  </sheetViews>
  <sheetFormatPr baseColWidth="10" defaultRowHeight="16" x14ac:dyDescent="0.2"/>
  <cols>
    <col min="1" max="1" width="21.6640625" customWidth="1"/>
    <col min="3" max="4" width="24.1640625" customWidth="1"/>
    <col min="5" max="5" width="25" customWidth="1"/>
    <col min="6" max="6" width="24.6640625" customWidth="1"/>
    <col min="7" max="7" width="23.5" customWidth="1"/>
    <col min="8" max="8" width="24" customWidth="1"/>
    <col min="9" max="9" width="24.1640625" customWidth="1"/>
  </cols>
  <sheetData>
    <row r="1" spans="1:9" x14ac:dyDescent="0.2">
      <c r="A1" s="130" t="s">
        <v>174</v>
      </c>
      <c r="B1" s="130"/>
      <c r="C1" s="130"/>
      <c r="D1" s="221"/>
      <c r="E1" s="221"/>
      <c r="F1" s="221"/>
      <c r="G1" s="221"/>
      <c r="H1" s="221"/>
      <c r="I1" s="221"/>
    </row>
    <row r="2" spans="1:9" x14ac:dyDescent="0.2">
      <c r="A2" s="130"/>
      <c r="B2" s="130"/>
      <c r="C2" s="130" t="s">
        <v>11</v>
      </c>
      <c r="D2" s="209"/>
      <c r="E2" s="209"/>
      <c r="F2" s="209"/>
      <c r="G2" s="209"/>
      <c r="H2" s="209"/>
      <c r="I2" s="209"/>
    </row>
    <row r="3" spans="1:9" ht="17" thickBot="1" x14ac:dyDescent="0.25">
      <c r="A3" s="131"/>
      <c r="B3" s="131"/>
      <c r="C3" s="144"/>
      <c r="D3" s="210" t="s">
        <v>96</v>
      </c>
      <c r="E3" s="211"/>
      <c r="F3" s="229"/>
      <c r="G3" s="210" t="s">
        <v>98</v>
      </c>
      <c r="H3" s="211"/>
      <c r="I3" s="229"/>
    </row>
    <row r="4" spans="1:9" ht="17" thickBot="1" x14ac:dyDescent="0.25">
      <c r="A4" s="130"/>
      <c r="B4" s="133"/>
      <c r="C4" s="133" t="s">
        <v>124</v>
      </c>
      <c r="D4" s="135">
        <v>0.4</v>
      </c>
      <c r="E4" s="136">
        <v>0.5</v>
      </c>
      <c r="F4" s="136">
        <v>0.6</v>
      </c>
      <c r="G4" s="135">
        <v>0.4</v>
      </c>
      <c r="H4" s="136">
        <v>0.5</v>
      </c>
      <c r="I4" s="145">
        <v>0.6</v>
      </c>
    </row>
    <row r="5" spans="1:9" ht="17" thickBot="1" x14ac:dyDescent="0.25">
      <c r="A5" s="131" t="s">
        <v>123</v>
      </c>
      <c r="B5" s="110" t="s">
        <v>44</v>
      </c>
      <c r="C5" s="133"/>
      <c r="D5" s="119"/>
      <c r="E5" s="105"/>
      <c r="F5" s="105"/>
      <c r="G5" s="119"/>
      <c r="H5" s="105"/>
      <c r="I5" s="107"/>
    </row>
    <row r="6" spans="1:9" x14ac:dyDescent="0.2">
      <c r="A6" s="130" t="s">
        <v>45</v>
      </c>
      <c r="B6" s="139"/>
      <c r="C6" s="139" t="s">
        <v>150</v>
      </c>
      <c r="D6" s="116"/>
      <c r="E6" s="103"/>
      <c r="F6" s="103"/>
      <c r="G6" s="116"/>
      <c r="H6" s="103"/>
      <c r="I6" s="121"/>
    </row>
    <row r="7" spans="1:9" x14ac:dyDescent="0.2">
      <c r="A7" s="130"/>
      <c r="B7" s="140">
        <v>1</v>
      </c>
      <c r="C7" s="139"/>
      <c r="D7" s="116" t="s">
        <v>125</v>
      </c>
      <c r="E7" s="103" t="s">
        <v>128</v>
      </c>
      <c r="F7" s="103" t="s">
        <v>158</v>
      </c>
      <c r="G7" s="116" t="s">
        <v>157</v>
      </c>
      <c r="H7" s="103" t="s">
        <v>150</v>
      </c>
      <c r="I7" s="121" t="s">
        <v>128</v>
      </c>
    </row>
    <row r="8" spans="1:9" x14ac:dyDescent="0.2">
      <c r="A8" s="130"/>
      <c r="B8" s="140">
        <v>2</v>
      </c>
      <c r="C8" s="139"/>
      <c r="D8" s="116" t="s">
        <v>126</v>
      </c>
      <c r="E8" s="103" t="s">
        <v>165</v>
      </c>
      <c r="F8" s="103" t="s">
        <v>150</v>
      </c>
      <c r="G8" s="116" t="s">
        <v>159</v>
      </c>
      <c r="H8" s="103" t="s">
        <v>166</v>
      </c>
      <c r="I8" s="121" t="s">
        <v>154</v>
      </c>
    </row>
    <row r="9" spans="1:9" x14ac:dyDescent="0.2">
      <c r="A9" s="130"/>
      <c r="B9" s="140">
        <v>3</v>
      </c>
      <c r="C9" s="139"/>
      <c r="D9" s="116" t="s">
        <v>151</v>
      </c>
      <c r="E9" s="103" t="s">
        <v>125</v>
      </c>
      <c r="F9" s="103" t="s">
        <v>151</v>
      </c>
      <c r="G9" s="116" t="s">
        <v>151</v>
      </c>
      <c r="H9" s="103" t="s">
        <v>151</v>
      </c>
      <c r="I9" s="121" t="s">
        <v>153</v>
      </c>
    </row>
    <row r="10" spans="1:9" x14ac:dyDescent="0.2">
      <c r="A10" s="130"/>
      <c r="B10" s="140">
        <v>4</v>
      </c>
      <c r="C10" s="139"/>
      <c r="D10" s="116" t="s">
        <v>166</v>
      </c>
      <c r="E10" s="103" t="s">
        <v>159</v>
      </c>
      <c r="F10" s="103" t="s">
        <v>128</v>
      </c>
      <c r="G10" s="116" t="s">
        <v>153</v>
      </c>
      <c r="H10" s="103" t="s">
        <v>167</v>
      </c>
      <c r="I10" s="121" t="s">
        <v>167</v>
      </c>
    </row>
    <row r="11" spans="1:9" x14ac:dyDescent="0.2">
      <c r="A11" s="130"/>
      <c r="B11" s="140">
        <v>5</v>
      </c>
      <c r="C11" s="139"/>
      <c r="D11" s="116"/>
      <c r="E11" s="103" t="s">
        <v>125</v>
      </c>
      <c r="F11" s="103" t="s">
        <v>168</v>
      </c>
      <c r="G11" s="116" t="s">
        <v>155</v>
      </c>
      <c r="H11" s="103" t="s">
        <v>157</v>
      </c>
      <c r="I11" s="121" t="s">
        <v>167</v>
      </c>
    </row>
    <row r="12" spans="1:9" x14ac:dyDescent="0.2">
      <c r="A12" s="130"/>
      <c r="B12" s="140"/>
      <c r="C12" s="139"/>
      <c r="D12" s="116"/>
      <c r="E12" s="103"/>
      <c r="F12" s="103"/>
      <c r="G12" s="116"/>
      <c r="H12" s="103"/>
      <c r="I12" s="121"/>
    </row>
    <row r="13" spans="1:9" x14ac:dyDescent="0.2">
      <c r="A13" s="130"/>
      <c r="B13" s="140"/>
      <c r="C13" s="139"/>
      <c r="D13" s="116"/>
      <c r="E13" s="103"/>
      <c r="F13" s="103"/>
      <c r="G13" s="116"/>
      <c r="H13" s="103"/>
      <c r="I13" s="121"/>
    </row>
    <row r="14" spans="1:9" x14ac:dyDescent="0.2">
      <c r="A14" s="130"/>
      <c r="B14" s="140"/>
      <c r="C14" s="139"/>
      <c r="D14" s="116"/>
      <c r="E14" s="103"/>
      <c r="F14" s="103"/>
      <c r="G14" s="116"/>
      <c r="H14" s="103"/>
      <c r="I14" s="121"/>
    </row>
    <row r="15" spans="1:9" x14ac:dyDescent="0.2">
      <c r="A15" s="130" t="s">
        <v>46</v>
      </c>
      <c r="B15" s="140"/>
      <c r="C15" s="139" t="s">
        <v>130</v>
      </c>
      <c r="D15" s="116"/>
      <c r="E15" s="103"/>
      <c r="F15" s="103"/>
      <c r="G15" s="116"/>
      <c r="H15" s="103"/>
      <c r="I15" s="121"/>
    </row>
    <row r="16" spans="1:9" x14ac:dyDescent="0.2">
      <c r="A16" s="130"/>
      <c r="B16" s="140">
        <v>1</v>
      </c>
      <c r="C16" s="139"/>
      <c r="D16" s="116" t="s">
        <v>133</v>
      </c>
      <c r="E16" s="103" t="s">
        <v>133</v>
      </c>
      <c r="F16" s="103" t="s">
        <v>133</v>
      </c>
      <c r="G16" s="123" t="s">
        <v>170</v>
      </c>
      <c r="H16" s="103" t="s">
        <v>133</v>
      </c>
      <c r="I16" s="124" t="s">
        <v>169</v>
      </c>
    </row>
    <row r="17" spans="1:9" x14ac:dyDescent="0.2">
      <c r="A17" s="130"/>
      <c r="B17" s="140">
        <v>2</v>
      </c>
      <c r="C17" s="139"/>
      <c r="D17" s="123" t="s">
        <v>131</v>
      </c>
      <c r="E17" s="103" t="s">
        <v>130</v>
      </c>
      <c r="F17" s="103" t="s">
        <v>130</v>
      </c>
      <c r="G17" s="123" t="s">
        <v>131</v>
      </c>
      <c r="H17" s="122" t="s">
        <v>171</v>
      </c>
      <c r="I17" s="124" t="s">
        <v>169</v>
      </c>
    </row>
    <row r="18" spans="1:9" x14ac:dyDescent="0.2">
      <c r="A18" s="130"/>
      <c r="B18" s="140">
        <v>3</v>
      </c>
      <c r="C18" s="139"/>
      <c r="D18" s="123" t="s">
        <v>169</v>
      </c>
      <c r="E18" s="122" t="s">
        <v>171</v>
      </c>
      <c r="F18" s="122" t="s">
        <v>169</v>
      </c>
      <c r="G18" s="123" t="s">
        <v>169</v>
      </c>
      <c r="H18" s="103" t="s">
        <v>133</v>
      </c>
      <c r="I18" s="121" t="s">
        <v>130</v>
      </c>
    </row>
    <row r="19" spans="1:9" x14ac:dyDescent="0.2">
      <c r="A19" s="130"/>
      <c r="B19" s="140">
        <v>4</v>
      </c>
      <c r="C19" s="139"/>
      <c r="D19" s="116" t="s">
        <v>133</v>
      </c>
      <c r="E19" s="122" t="s">
        <v>131</v>
      </c>
      <c r="F19" s="122" t="s">
        <v>130</v>
      </c>
      <c r="G19" s="123" t="s">
        <v>169</v>
      </c>
      <c r="H19" s="122" t="s">
        <v>169</v>
      </c>
      <c r="I19" s="124" t="s">
        <v>170</v>
      </c>
    </row>
    <row r="20" spans="1:9" x14ac:dyDescent="0.2">
      <c r="A20" s="130"/>
      <c r="B20" s="140">
        <v>5</v>
      </c>
      <c r="C20" s="139"/>
      <c r="D20" s="116"/>
      <c r="E20" s="103" t="s">
        <v>133</v>
      </c>
      <c r="F20" s="103" t="s">
        <v>133</v>
      </c>
      <c r="G20" s="116" t="s">
        <v>133</v>
      </c>
      <c r="H20" s="103" t="s">
        <v>133</v>
      </c>
      <c r="I20" s="124" t="s">
        <v>170</v>
      </c>
    </row>
    <row r="21" spans="1:9" x14ac:dyDescent="0.2">
      <c r="A21" s="130"/>
      <c r="B21" s="140"/>
      <c r="C21" s="139"/>
      <c r="D21" s="116"/>
      <c r="E21" s="103"/>
      <c r="F21" s="103"/>
      <c r="G21" s="116"/>
      <c r="H21" s="103"/>
      <c r="I21" s="121"/>
    </row>
    <row r="22" spans="1:9" x14ac:dyDescent="0.2">
      <c r="A22" s="130"/>
      <c r="B22" s="140"/>
      <c r="C22" s="139"/>
      <c r="D22" s="116"/>
      <c r="E22" s="103"/>
      <c r="F22" s="103"/>
      <c r="G22" s="116"/>
      <c r="H22" s="103"/>
      <c r="I22" s="121"/>
    </row>
    <row r="23" spans="1:9" x14ac:dyDescent="0.2">
      <c r="A23" s="130" t="s">
        <v>137</v>
      </c>
      <c r="B23" s="140"/>
      <c r="C23" s="139" t="s">
        <v>139</v>
      </c>
      <c r="D23" s="116"/>
      <c r="E23" s="103"/>
      <c r="F23" s="103"/>
      <c r="G23" s="116"/>
      <c r="H23" s="103"/>
      <c r="I23" s="121"/>
    </row>
    <row r="24" spans="1:9" x14ac:dyDescent="0.2">
      <c r="A24" s="130"/>
      <c r="B24" s="140">
        <v>1</v>
      </c>
      <c r="C24" s="139"/>
      <c r="D24" s="116" t="s">
        <v>139</v>
      </c>
      <c r="E24" s="103" t="s">
        <v>139</v>
      </c>
      <c r="F24" s="103" t="s">
        <v>145</v>
      </c>
      <c r="G24" s="116" t="s">
        <v>145</v>
      </c>
      <c r="H24" s="103" t="s">
        <v>140</v>
      </c>
      <c r="I24" s="121" t="s">
        <v>144</v>
      </c>
    </row>
    <row r="25" spans="1:9" x14ac:dyDescent="0.2">
      <c r="A25" s="130"/>
      <c r="B25" s="140">
        <v>2</v>
      </c>
      <c r="C25" s="139"/>
      <c r="D25" s="116" t="s">
        <v>145</v>
      </c>
      <c r="E25" s="103" t="s">
        <v>145</v>
      </c>
      <c r="F25" s="103" t="s">
        <v>139</v>
      </c>
      <c r="G25" s="116" t="s">
        <v>147</v>
      </c>
      <c r="H25" s="122" t="s">
        <v>144</v>
      </c>
      <c r="I25" s="121" t="s">
        <v>144</v>
      </c>
    </row>
    <row r="26" spans="1:9" x14ac:dyDescent="0.2">
      <c r="A26" s="130"/>
      <c r="B26" s="140">
        <v>3</v>
      </c>
      <c r="C26" s="139"/>
      <c r="D26" s="116" t="s">
        <v>172</v>
      </c>
      <c r="E26" s="103" t="s">
        <v>147</v>
      </c>
      <c r="F26" s="103" t="s">
        <v>145</v>
      </c>
      <c r="G26" s="116" t="s">
        <v>143</v>
      </c>
      <c r="H26" s="103" t="s">
        <v>143</v>
      </c>
      <c r="I26" s="121" t="s">
        <v>147</v>
      </c>
    </row>
    <row r="27" spans="1:9" x14ac:dyDescent="0.2">
      <c r="A27" s="130"/>
      <c r="B27" s="140">
        <v>4</v>
      </c>
      <c r="C27" s="139"/>
      <c r="D27" s="116" t="s">
        <v>139</v>
      </c>
      <c r="E27" s="103" t="s">
        <v>142</v>
      </c>
      <c r="F27" s="103" t="s">
        <v>145</v>
      </c>
      <c r="G27" s="116" t="s">
        <v>141</v>
      </c>
      <c r="H27" s="103" t="s">
        <v>139</v>
      </c>
      <c r="I27" s="121" t="s">
        <v>145</v>
      </c>
    </row>
    <row r="28" spans="1:9" x14ac:dyDescent="0.2">
      <c r="A28" s="130"/>
      <c r="B28" s="140">
        <v>5</v>
      </c>
      <c r="C28" s="139"/>
      <c r="D28" s="116" t="s">
        <v>139</v>
      </c>
      <c r="E28" s="103" t="s">
        <v>139</v>
      </c>
      <c r="F28" s="103" t="s">
        <v>139</v>
      </c>
      <c r="G28" s="116" t="s">
        <v>147</v>
      </c>
      <c r="H28" s="103" t="s">
        <v>139</v>
      </c>
      <c r="I28" s="121" t="s">
        <v>139</v>
      </c>
    </row>
    <row r="29" spans="1:9" x14ac:dyDescent="0.2">
      <c r="A29" s="130"/>
      <c r="B29" s="140"/>
      <c r="C29" s="139"/>
      <c r="D29" s="116"/>
      <c r="E29" s="103"/>
      <c r="F29" s="103"/>
      <c r="G29" s="116"/>
      <c r="H29" s="103"/>
      <c r="I29" s="121"/>
    </row>
    <row r="30" spans="1:9" x14ac:dyDescent="0.2">
      <c r="A30" s="130"/>
      <c r="B30" s="140"/>
      <c r="C30" s="139"/>
      <c r="D30" s="116"/>
      <c r="E30" s="103"/>
      <c r="F30" s="103"/>
      <c r="G30" s="116"/>
      <c r="H30" s="103"/>
      <c r="I30" s="121"/>
    </row>
    <row r="31" spans="1:9" x14ac:dyDescent="0.2">
      <c r="A31" s="130" t="s">
        <v>47</v>
      </c>
      <c r="B31" s="140"/>
      <c r="C31" s="139" t="s">
        <v>24</v>
      </c>
      <c r="D31" s="116"/>
      <c r="E31" s="103"/>
      <c r="F31" s="103"/>
      <c r="G31" s="116"/>
      <c r="H31" s="103"/>
      <c r="I31" s="121"/>
    </row>
    <row r="32" spans="1:9" x14ac:dyDescent="0.2">
      <c r="A32" s="130"/>
      <c r="B32" s="140">
        <v>1</v>
      </c>
      <c r="C32" s="139"/>
      <c r="D32" s="116"/>
      <c r="E32" s="103"/>
      <c r="F32" s="103"/>
      <c r="G32" s="116"/>
      <c r="H32" s="103"/>
      <c r="I32" s="121"/>
    </row>
    <row r="33" spans="1:9" x14ac:dyDescent="0.2">
      <c r="A33" s="130"/>
      <c r="B33" s="140">
        <v>2</v>
      </c>
      <c r="C33" s="139"/>
      <c r="D33" s="116"/>
      <c r="E33" s="103"/>
      <c r="F33" s="103"/>
      <c r="G33" s="116"/>
      <c r="H33" s="103"/>
      <c r="I33" s="121"/>
    </row>
    <row r="34" spans="1:9" x14ac:dyDescent="0.2">
      <c r="A34" s="130"/>
      <c r="B34" s="140">
        <v>3</v>
      </c>
      <c r="C34" s="139"/>
      <c r="D34" s="116"/>
      <c r="E34" s="103"/>
      <c r="F34" s="103"/>
      <c r="G34" s="116"/>
      <c r="H34" s="103"/>
      <c r="I34" s="121"/>
    </row>
    <row r="35" spans="1:9" x14ac:dyDescent="0.2">
      <c r="A35" s="130"/>
      <c r="B35" s="140">
        <v>4</v>
      </c>
      <c r="C35" s="139"/>
      <c r="D35" s="116"/>
      <c r="E35" s="103"/>
      <c r="F35" s="103"/>
      <c r="G35" s="116"/>
      <c r="H35" s="103"/>
      <c r="I35" s="121"/>
    </row>
    <row r="36" spans="1:9" x14ac:dyDescent="0.2">
      <c r="A36" s="130"/>
      <c r="B36" s="140">
        <v>5</v>
      </c>
      <c r="C36" s="139"/>
      <c r="D36" s="116"/>
      <c r="E36" s="103"/>
      <c r="F36" s="103"/>
      <c r="G36" s="116"/>
      <c r="H36" s="103"/>
      <c r="I36" s="121"/>
    </row>
    <row r="37" spans="1:9" x14ac:dyDescent="0.2">
      <c r="A37" s="130"/>
      <c r="B37" s="140"/>
      <c r="C37" s="139"/>
      <c r="D37" s="116"/>
      <c r="E37" s="103"/>
      <c r="F37" s="103"/>
      <c r="G37" s="116"/>
      <c r="H37" s="103"/>
      <c r="I37" s="121"/>
    </row>
    <row r="38" spans="1:9" x14ac:dyDescent="0.2">
      <c r="A38" s="130"/>
      <c r="B38" s="140"/>
      <c r="C38" s="139"/>
      <c r="D38" s="116"/>
      <c r="E38" s="103"/>
      <c r="F38" s="103"/>
      <c r="G38" s="116"/>
      <c r="H38" s="103"/>
      <c r="I38" s="121"/>
    </row>
    <row r="39" spans="1:9" x14ac:dyDescent="0.2">
      <c r="A39" s="130" t="s">
        <v>48</v>
      </c>
      <c r="B39" s="140"/>
      <c r="C39" s="139" t="s">
        <v>148</v>
      </c>
      <c r="D39" s="116"/>
      <c r="E39" s="103"/>
      <c r="F39" s="103"/>
      <c r="G39" s="116"/>
      <c r="H39" s="103"/>
      <c r="I39" s="121"/>
    </row>
    <row r="40" spans="1:9" x14ac:dyDescent="0.2">
      <c r="A40" s="130"/>
      <c r="B40" s="141">
        <v>1</v>
      </c>
      <c r="C40" s="139"/>
      <c r="D40" s="116" t="s">
        <v>148</v>
      </c>
      <c r="E40" s="103" t="s">
        <v>148</v>
      </c>
      <c r="F40" s="103" t="s">
        <v>148</v>
      </c>
      <c r="G40" s="116" t="s">
        <v>148</v>
      </c>
      <c r="H40" s="103" t="s">
        <v>148</v>
      </c>
      <c r="I40" s="121" t="s">
        <v>148</v>
      </c>
    </row>
    <row r="41" spans="1:9" x14ac:dyDescent="0.2">
      <c r="A41" s="130"/>
      <c r="B41" s="141">
        <v>2</v>
      </c>
      <c r="C41" s="139"/>
      <c r="D41" s="116" t="s">
        <v>148</v>
      </c>
      <c r="E41" s="103" t="s">
        <v>148</v>
      </c>
      <c r="F41" s="103" t="s">
        <v>148</v>
      </c>
      <c r="G41" s="116" t="s">
        <v>148</v>
      </c>
      <c r="H41" s="103" t="s">
        <v>148</v>
      </c>
      <c r="I41" s="121" t="s">
        <v>148</v>
      </c>
    </row>
    <row r="42" spans="1:9" x14ac:dyDescent="0.2">
      <c r="A42" s="130"/>
      <c r="B42" s="141">
        <v>3</v>
      </c>
      <c r="C42" s="139"/>
      <c r="D42" s="116" t="s">
        <v>148</v>
      </c>
      <c r="E42" s="103" t="s">
        <v>148</v>
      </c>
      <c r="F42" s="103" t="s">
        <v>148</v>
      </c>
      <c r="G42" s="116" t="s">
        <v>148</v>
      </c>
      <c r="H42" s="103" t="s">
        <v>148</v>
      </c>
      <c r="I42" s="121" t="s">
        <v>148</v>
      </c>
    </row>
    <row r="43" spans="1:9" x14ac:dyDescent="0.2">
      <c r="A43" s="130"/>
      <c r="B43" s="141">
        <v>4</v>
      </c>
      <c r="C43" s="139"/>
      <c r="D43" s="116" t="s">
        <v>148</v>
      </c>
      <c r="E43" s="103" t="s">
        <v>148</v>
      </c>
      <c r="F43" s="103" t="s">
        <v>148</v>
      </c>
      <c r="G43" s="116" t="s">
        <v>148</v>
      </c>
      <c r="H43" s="103" t="s">
        <v>148</v>
      </c>
      <c r="I43" s="121" t="s">
        <v>148</v>
      </c>
    </row>
    <row r="44" spans="1:9" ht="17" thickBot="1" x14ac:dyDescent="0.25">
      <c r="A44" s="138"/>
      <c r="B44" s="142">
        <v>5</v>
      </c>
      <c r="C44" s="133"/>
      <c r="D44" s="119" t="s">
        <v>148</v>
      </c>
      <c r="E44" s="105" t="s">
        <v>148</v>
      </c>
      <c r="F44" s="105" t="s">
        <v>148</v>
      </c>
      <c r="G44" s="119" t="s">
        <v>148</v>
      </c>
      <c r="H44" s="105" t="s">
        <v>148</v>
      </c>
      <c r="I44" s="107" t="s">
        <v>148</v>
      </c>
    </row>
  </sheetData>
  <mergeCells count="3">
    <mergeCell ref="D1:I2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Persistent Homology Overview</vt:lpstr>
      <vt:lpstr>Mapper Sensitivity Matrix</vt:lpstr>
      <vt:lpstr>output 5.40.5 Datasets (2)</vt:lpstr>
      <vt:lpstr>output 5.50.5 Datasets</vt:lpstr>
      <vt:lpstr>output 5.60.5 Datasets (2)</vt:lpstr>
      <vt:lpstr>Final Test-DryBean Prec Rec F1</vt:lpstr>
      <vt:lpstr>Final Test-Adult Prec Rec F1</vt:lpstr>
      <vt:lpstr>Final Test-HTRU2 Prec Rec F1 </vt:lpstr>
      <vt:lpstr>Final 3-Fold 3-HTRU2 Compare </vt:lpstr>
      <vt:lpstr>Final 3-Fold 3-HTRU2 P-HDI</vt:lpstr>
      <vt:lpstr>Final Test 3-HTRU2 Compare</vt:lpstr>
      <vt:lpstr>Final Test-HTRU2 P-HDI</vt:lpstr>
      <vt:lpstr>Final 3-Fold 3-DryBean Compare </vt:lpstr>
      <vt:lpstr>Final 3-Fold 3-DryBean P-HDI</vt:lpstr>
      <vt:lpstr>Final Test 3-DryBean Compare</vt:lpstr>
      <vt:lpstr>Final Test-DryBean P-HDI</vt:lpstr>
      <vt:lpstr>Final 3-Fold 3-Adult Compare </vt:lpstr>
      <vt:lpstr>Final 3-Fold 3-Adult P-HDI</vt:lpstr>
      <vt:lpstr>Final Test 3-Adult Compare</vt:lpstr>
      <vt:lpstr>Final Test-Adult P-HDI </vt:lpstr>
      <vt:lpstr>Final 3-Fold 3-dataset Compare</vt:lpstr>
      <vt:lpstr>Final 3-Fold 3-datasets P-HDI</vt:lpstr>
      <vt:lpstr>Final Test 3-dataset Compare</vt:lpstr>
      <vt:lpstr>Final Test 3-dataset P-HDII</vt:lpstr>
      <vt:lpstr>Adult Dataset Optimal Parameter</vt:lpstr>
      <vt:lpstr>Dry Bean Optimal Parameters</vt:lpstr>
      <vt:lpstr>HTRU2 Optimal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Joseph</dc:creator>
  <cp:lastModifiedBy>Brian Joseph</cp:lastModifiedBy>
  <dcterms:created xsi:type="dcterms:W3CDTF">2024-03-16T13:05:32Z</dcterms:created>
  <dcterms:modified xsi:type="dcterms:W3CDTF">2026-06-14T14:07:01Z</dcterms:modified>
</cp:coreProperties>
</file>